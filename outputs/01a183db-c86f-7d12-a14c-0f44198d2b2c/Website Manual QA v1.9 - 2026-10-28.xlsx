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Override PartName="/xl/qa19/worksheets/sheet1.xml" ContentType="application/vnd.openxmlformats-officedocument.spreadsheetml.worksheet+xml"/>
  <Override PartName="/xl/qa19/worksheets/sheet2.xml" ContentType="application/vnd.openxmlformats-officedocument.spreadsheetml.worksheet+xml"/>
  <Override PartName="/xl/qa19/tables/table1.xml" ContentType="application/vnd.openxmlformats-officedocument.spreadsheetml.table+xml"/>
  <Override PartName="/xl/qa19/worksheets/sheet3.xml" ContentType="application/vnd.openxmlformats-officedocument.spreadsheetml.worksheet+xml"/>
  <Override PartName="/xl/qa19/tables/table2.xml" ContentType="application/vnd.openxmlformats-officedocument.spreadsheetml.table+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sheets>
    <sheet name="Run Overview" sheetId="9" r:id="rIdQA19S1"/>
    <sheet name="V 1.9 TEST" sheetId="10" r:id="rIdQA19S2"/>
    <sheet name="UX Backlog" sheetId="11" r:id="rIdQA19S3"/>
    <sheet state="visible" name="V 1.8 TEST" sheetId="1" r:id="rId5"/>
    <sheet state="visible" name=" V 1.7 TEST" sheetId="2" r:id="rId6"/>
    <sheet state="visible" name="V 1.6 TEST" sheetId="3" r:id="rId7"/>
    <sheet state="visible" name="V 1.5 TEST" sheetId="4" r:id="rId8"/>
    <sheet state="visible" name="Known Issues" sheetId="5" r:id="rId9"/>
    <sheet state="visible" name="QA Template" sheetId="6" r:id="rId10"/>
    <sheet state="visible" name="Accounts" sheetId="7" r:id="rId11"/>
    <sheet state="visible" name="Chart1 Website Test Suite V1.6 " sheetId="8" r:id="rId12"/>
  </sheets>
  <definedNames>
    <definedName hidden="1" localSheetId="3" name="_xlnm._FilterDatabase">'V 1.8 TEST'!$A$1:$Z$529</definedName>
    <definedName hidden="1" localSheetId="5" name="_xlnm._FilterDatabase">'V 1.6 TEST'!$A$1:$AA$101</definedName>
  </definedNames>
  <calcPr fullCalcOnLoad="1" forceFullCalc="1" calcMode="auto"/>
</workbook>
</file>

<file path=xl/sharedStrings.xml><?xml version="1.0" encoding="utf-8"?>
<sst xmlns="http://schemas.openxmlformats.org/spreadsheetml/2006/main" count="8755" uniqueCount="2493">
  <si>
    <t>Status</t>
  </si>
  <si>
    <t>Test ID</t>
  </si>
  <si>
    <t>Suite</t>
  </si>
  <si>
    <t>Steps</t>
  </si>
  <si>
    <t>Expected Result</t>
  </si>
  <si>
    <t>Feature</t>
  </si>
  <si>
    <t>Priority</t>
  </si>
  <si>
    <t>Persona</t>
  </si>
  <si>
    <t>Preconditions</t>
  </si>
  <si>
    <t>Actual Result</t>
  </si>
  <si>
    <t>Notes</t>
  </si>
  <si>
    <t>Evidence Link</t>
  </si>
  <si>
    <t>Run Date</t>
  </si>
  <si>
    <t>Not Run</t>
  </si>
  <si>
    <t>GO-MAN-001</t>
  </si>
  <si>
    <t>Public Website</t>
  </si>
  <si>
    <t>Pass</t>
  </si>
  <si>
    <t>Open the home page; wait for the page to fully load; check above-the-fold content; scroll to bottom</t>
  </si>
  <si>
    <t>Home page loads without console-visible broken UI; main brand/content is clear; no missing critical images; footer is reachable</t>
  </si>
  <si>
    <t>Home page load</t>
  </si>
  <si>
    <t>Retest</t>
  </si>
  <si>
    <t>P0</t>
  </si>
  <si>
    <t>Visitor</t>
  </si>
  <si>
    <t>Production or local site is running</t>
  </si>
  <si>
    <t>Functionally clean, however there are multiple improvements to be made on the Landing Page</t>
  </si>
  <si>
    <t>Bugs will be reported</t>
  </si>
  <si>
    <t>GO-MAN-002</t>
  </si>
  <si>
    <t>Open home page; click each main nav item; use browser back; repeat for logo/home link</t>
  </si>
  <si>
    <t>Every nav item routes to the expected page; no 404; active page content matches navigation label</t>
  </si>
  <si>
    <t>Desktop navigation</t>
  </si>
  <si>
    <t>Site is running on desktop viewport</t>
  </si>
  <si>
    <t>GO-MAN-003</t>
  </si>
  <si>
    <t>Mobile navigation</t>
  </si>
  <si>
    <t>Resize to mobile or use phone; open mobile menu; tap every nav item; close and reopen menu</t>
  </si>
  <si>
    <t>Mobile menu is usable; links work; menu does not overlap content; menu can be dismissed</t>
  </si>
  <si>
    <t>Site is running on mobile viewport</t>
  </si>
  <si>
    <t>GO-MAN-004</t>
  </si>
  <si>
    <t>Landing CTAs</t>
  </si>
  <si>
    <t>Site is running</t>
  </si>
  <si>
    <t>Open home page; click primary CTA; return; click secondary CTAs; check destination pages</t>
  </si>
  <si>
    <t>CTAs route to intended signup/pricing/contact/project pages; labels match destination intent</t>
  </si>
  <si>
    <t>GO-MAN-005</t>
  </si>
  <si>
    <t>Responsive layout</t>
  </si>
  <si>
    <t>P1</t>
  </si>
  <si>
    <t>Check home/pricing/projects/about/FAQ pages at 390px 768px and desktop widths</t>
  </si>
  <si>
    <t>Use desktop tablet and mobile widths</t>
  </si>
  <si>
    <t>No horizontal scrolling; text does not overlap; buttons fit; sections remain readable</t>
  </si>
  <si>
    <t>GO-MAN-006</t>
  </si>
  <si>
    <t>Image and asset loading</t>
  </si>
  <si>
    <t>Open key public pages; look for broken images/icons; refresh once</t>
  </si>
  <si>
    <t>Images/icons render correctly; no obvious layout jumps due to missing assets</t>
  </si>
  <si>
    <t>GO-MAN-007</t>
  </si>
  <si>
    <t>FAQ page</t>
  </si>
  <si>
    <t>FAQ page exists</t>
  </si>
  <si>
    <t>Open FAQ; expand/collapse each FAQ item; check links if present</t>
  </si>
  <si>
    <t>FAQ controls work; content is readable; links open expected destinations</t>
  </si>
  <si>
    <t>Test is passed but the information is innacurate, we need to update the FAQ to reflect the real business proposition we are offering</t>
  </si>
  <si>
    <t>GO-MAN-008</t>
  </si>
  <si>
    <t>About page</t>
  </si>
  <si>
    <t>About page exists</t>
  </si>
  <si>
    <t>Fail</t>
  </si>
  <si>
    <t>Open About; scan page content; test visible links/buttons</t>
  </si>
  <si>
    <t>About content is readable and current; links/buttons work; no typo-heavy or placeholder content</t>
  </si>
  <si>
    <t>Same as FAQ</t>
  </si>
  <si>
    <t>GO-MAN-009</t>
  </si>
  <si>
    <t>Pricing page</t>
  </si>
  <si>
    <t>Polar products configured</t>
  </si>
  <si>
    <t>Open pricing page; inspect all tiers and intervals; toggle monthly/annual if available</t>
  </si>
  <si>
    <t>Functionality is there but test is failed but the information is innacurate, we need to update the FAQ to reflect the real business proposition we are offering</t>
  </si>
  <si>
    <t>Pricing is understandable; member vs company benefits are clear; checkout buttons are visible</t>
  </si>
  <si>
    <t>We offer a community newsletter but we don't have one. See what we need in order to have one.</t>
  </si>
  <si>
    <t>GO-MAN-010</t>
  </si>
  <si>
    <t>404/not-found experience</t>
  </si>
  <si>
    <t>P2</t>
  </si>
  <si>
    <t>Open a nonsense URL such as /this-page-does-not-exist</t>
  </si>
  <si>
    <t>User sees a graceful not-found or redirect experience; no raw error stack</t>
  </si>
  <si>
    <t>GO-MAN-011</t>
  </si>
  <si>
    <t>Auth</t>
  </si>
  <si>
    <t>Functionality is there but test is failed but the information is innacurate, we need to update the ABOIT US to reflect the real business proposition we are offering</t>
  </si>
  <si>
    <t>Signup flow</t>
  </si>
  <si>
    <t>Test email available</t>
  </si>
  <si>
    <t>Open signup; create account; complete required fields; submit</t>
  </si>
  <si>
    <t>Account is created; user lands on expected next page; no duplicate or confusing messages</t>
  </si>
  <si>
    <t>GO-MAN-012</t>
  </si>
  <si>
    <t>Login flow</t>
  </si>
  <si>
    <t>Free User</t>
  </si>
  <si>
    <t>Existing account available</t>
  </si>
  <si>
    <t>Open login; enter valid credentials; submit</t>
  </si>
  <si>
    <t>User logs in; protected nav/profile state appears; no unexpected redirect loop</t>
  </si>
  <si>
    <t>GO-MAN-013</t>
  </si>
  <si>
    <t>Invalid login</t>
  </si>
  <si>
    <t>Login page available</t>
  </si>
  <si>
    <t>Enter invalid credentials; submit</t>
  </si>
  <si>
    <t>Clear error appears; password is not exposed; form remains usable</t>
  </si>
  <si>
    <t>GO-MAN-014</t>
  </si>
  <si>
    <t>Logout flow</t>
  </si>
  <si>
    <t>Logged-in User</t>
  </si>
  <si>
    <t>User is logged in</t>
  </si>
  <si>
    <t>Use profile/menu logout action; confirm logged-out state</t>
  </si>
  <si>
    <t>Session ends; protected links redirect or hide; public pages still work</t>
  </si>
  <si>
    <t>GO-MAN-015</t>
  </si>
  <si>
    <t>Password reset</t>
  </si>
  <si>
    <t>Reset password page and email service configured</t>
  </si>
  <si>
    <t>Open reset password; enter test account email; submit</t>
  </si>
  <si>
    <t>User receives success state; reset email is sent if email service is configured</t>
  </si>
  <si>
    <t>GO-MAN-016</t>
  </si>
  <si>
    <t>Protected route redirect</t>
  </si>
  <si>
    <t>Logged out</t>
  </si>
  <si>
    <t>Open /dashboard /billing /admin /project/create directly</t>
  </si>
  <si>
    <t>Logged-out visitor is redirected or shown auth-required state; no protected data is visible</t>
  </si>
  <si>
    <t>GO-MAN-017</t>
  </si>
  <si>
    <t>Session persistence</t>
  </si>
  <si>
    <t>Refresh current page; close and reopen browser tab; revisit site</t>
  </si>
  <si>
    <t>Session remains valid if expected; user identity and nav state are stable</t>
  </si>
  <si>
    <t>GO-MAN-018</t>
  </si>
  <si>
    <t>Onboarding</t>
  </si>
  <si>
    <t>Start onboarding</t>
  </si>
  <si>
    <t>Logged in as member</t>
  </si>
  <si>
    <t>Open onboarding page; begin onboarding flow</t>
  </si>
  <si>
    <t>Onboarding starts cleanly; first step is clear; progress is visible if expected</t>
  </si>
  <si>
    <t>GO-MAN-019</t>
  </si>
  <si>
    <t>Complete required fields</t>
  </si>
  <si>
    <t>Onboarding available</t>
  </si>
  <si>
    <t>Complete every required onboarding step with valid values; submit final step</t>
  </si>
  <si>
    <t>Profile is saved; completion state appears; user can proceed to CV generation</t>
  </si>
  <si>
    <t>GO-MAN-020</t>
  </si>
  <si>
    <t>Validation errors</t>
  </si>
  <si>
    <t>Leave required fields empty; enter invalid URLs; exceed long text limits; submit</t>
  </si>
  <si>
    <t>Helpful validation errors appear; entered valid data is preserved; user can correct and continue</t>
  </si>
  <si>
    <t>GO-MAN-021</t>
  </si>
  <si>
    <t>Back/forward navigation</t>
  </si>
  <si>
    <t xml:space="preserve">Reset password throrws error Failed to send reset email. Please try again </t>
  </si>
  <si>
    <t>Onboarding in progress</t>
  </si>
  <si>
    <t>Move forward several steps; go back; edit previous values; move forward again</t>
  </si>
  <si>
    <t>Previously entered values persist; progress remains correct; no data loss</t>
  </si>
  <si>
    <t>GO-MAN-022</t>
  </si>
  <si>
    <t>Mobile onboarding</t>
  </si>
  <si>
    <t>Mobile viewport</t>
  </si>
  <si>
    <t>Complete onboarding on mobile viewport</t>
  </si>
  <si>
    <t>Controls are tappable; inputs fit screen; progress and buttons remain visible</t>
  </si>
  <si>
    <t>GO-MAN-023</t>
  </si>
  <si>
    <t>Profile</t>
  </si>
  <si>
    <t>View own profile</t>
  </si>
  <si>
    <t>Profile data exists</t>
  </si>
  <si>
    <t>Open profile page; inspect displayed fields</t>
  </si>
  <si>
    <t>Profile displays current user data; no private admin-only fields are shown</t>
  </si>
  <si>
    <t>Blocked</t>
  </si>
  <si>
    <t>GO-MAN-024</t>
  </si>
  <si>
    <t>Edit profile</t>
  </si>
  <si>
    <t>Profile page available</t>
  </si>
  <si>
    <t>Edit display name role tools portfolio links and visibility settings; save</t>
  </si>
  <si>
    <t>Changes save successfully and persist after refresh</t>
  </si>
  <si>
    <t>GO-MAN-025</t>
  </si>
  <si>
    <t>Profile invalid social URL</t>
  </si>
  <si>
    <t>Profile editor available</t>
  </si>
  <si>
    <t>Enter social/portfolio URL without http/https; save</t>
  </si>
  <si>
    <t>Validation error appears; invalid URL is not silently accepted</t>
  </si>
  <si>
    <t>GO-MAN-026</t>
  </si>
  <si>
    <t>Privacy settings</t>
  </si>
  <si>
    <t>Toggle public/private or visibility settings; save; view from another account if possible</t>
  </si>
  <si>
    <t>Visibility settings persist and affect what other users can see</t>
  </si>
  <si>
    <t>GO-MAN-027</t>
  </si>
  <si>
    <t>CV</t>
  </si>
  <si>
    <t>Generate CV</t>
  </si>
  <si>
    <t>Onboarding profile completed</t>
  </si>
  <si>
    <t>Open CV page; click generate; wait for result</t>
  </si>
  <si>
    <t>CV is generated from profile data; title summary sections appear; no invented facts are obvious</t>
  </si>
  <si>
    <t>GO-MAN-028</t>
  </si>
  <si>
    <t>AI unavailable fallback</t>
  </si>
  <si>
    <t>AI key disabled or unavailable in test env</t>
  </si>
  <si>
    <t>Generate CV without AI service configured</t>
  </si>
  <si>
    <t>CV still generates with deterministic summary; user is not blocked by AI</t>
  </si>
  <si>
    <t>GO-MAN-029</t>
  </si>
  <si>
    <t>Edit CV</t>
  </si>
  <si>
    <t>CV exists</t>
  </si>
  <si>
    <t>Edit CV title summary and at least one section; save</t>
  </si>
  <si>
    <t>Edits persist after refresh; formatting remains readable</t>
  </si>
  <si>
    <t>GO-MAN-030</t>
  </si>
  <si>
    <t>Publish CV</t>
  </si>
  <si>
    <t>Draft CV exists</t>
  </si>
  <si>
    <t>Click publish/approve; confirm if prompted</t>
  </si>
  <si>
    <t>CV status becomes active/published; user receives clear success state</t>
  </si>
  <si>
    <t>GO-MAN-031</t>
  </si>
  <si>
    <t>CV visibility</t>
  </si>
  <si>
    <t>CV exists and second account available</t>
  </si>
  <si>
    <t>Change CV visibility settings; view user/project application context from another account</t>
  </si>
  <si>
    <t>CV is visible only where expected based on settings</t>
  </si>
  <si>
    <t>GO-MAN-032</t>
  </si>
  <si>
    <t>CV mobile usability</t>
  </si>
  <si>
    <t>Open CV page; edit and publish on mobile</t>
  </si>
  <si>
    <t>CV editor and publish controls are usable; no clipped text/buttons</t>
  </si>
  <si>
    <t>GO-MAN-033</t>
  </si>
  <si>
    <t>Projects</t>
  </si>
  <si>
    <t>Project listing visitor</t>
  </si>
  <si>
    <t>Projects exist with different statuses/visibility</t>
  </si>
  <si>
    <t>Open /projects while logged out; inspect visible projects</t>
  </si>
  <si>
    <t>Visitor sees only public discoverable projects; no private/draft/pending projects appear</t>
  </si>
  <si>
    <t>GO-MAN-034</t>
  </si>
  <si>
    <t>We will not be using AI for creation and updates of CV at the moment maybe in the future, all mentions for AI being used or consent formes need to be removed.</t>
  </si>
  <si>
    <t>Project detail visitor</t>
  </si>
  <si>
    <t>Public hiring/live/completed project exists</t>
  </si>
  <si>
    <t>Open a public project detail page</t>
  </si>
  <si>
    <t>Project detail loads; visible fields are appropriate for visitor; apply controls require login/membership</t>
  </si>
  <si>
    <t>GO-MAN-035</t>
  </si>
  <si>
    <t>Private project access</t>
  </si>
  <si>
    <t>Visitor or unrelated user</t>
  </si>
  <si>
    <t>Private project exists</t>
  </si>
  <si>
    <t>Open private project URL as visitor/unrelated account</t>
  </si>
  <si>
    <t>Access is denied or redirected; private details are not visible</t>
  </si>
  <si>
    <t>GO-MAN-036</t>
  </si>
  <si>
    <t>Free user create block</t>
  </si>
  <si>
    <t>Logged in without active company membership</t>
  </si>
  <si>
    <t>Open /project/create; attempt project creation</t>
  </si>
  <si>
    <t>User is blocked with clear Company/Partner membership requirement</t>
  </si>
  <si>
    <t>GO-MAN-037</t>
  </si>
  <si>
    <t>Member user create block</t>
  </si>
  <si>
    <t>Member Subscriber</t>
  </si>
  <si>
    <t>Logged in with member tier only</t>
  </si>
  <si>
    <t>Member cannot create project; copy explains company tier requirement</t>
  </si>
  <si>
    <t>GO-MAN-038</t>
  </si>
  <si>
    <t>Company create project new source</t>
  </si>
  <si>
    <t>Company Subscriber</t>
  </si>
  <si>
    <t>Company account active</t>
  </si>
  <si>
    <t>Open /project/create; fill valid fields; choose new source project; submit</t>
  </si>
  <si>
    <t>Project is created as draft; source project is created; user becomes owner/admin/team member</t>
  </si>
  <si>
    <t>GO-MAN-039</t>
  </si>
  <si>
    <t>Company create project existing source</t>
  </si>
  <si>
    <t>Company owns existing source project</t>
  </si>
  <si>
    <t>Create another project using existing source project</t>
  </si>
  <si>
    <t>Project links to selected source project; source project project list updates</t>
  </si>
  <si>
    <t>GO-MAN-040</t>
  </si>
  <si>
    <t>Project form validation</t>
  </si>
  <si>
    <t>Project create form available</t>
  </si>
  <si>
    <t>Submit empty form; enter invalid budget duration role visibility/type values</t>
  </si>
  <si>
    <t>Clear field errors appear; invalid project is not created</t>
  </si>
  <si>
    <t>GO-MAN-041</t>
  </si>
  <si>
    <t>Owner edit draft</t>
  </si>
  <si>
    <t>Project Owner</t>
  </si>
  <si>
    <t>Draft project exists</t>
  </si>
  <si>
    <t>Open project edit page; change title description budget duration roles; save</t>
  </si>
  <si>
    <t>Changes save and persist; owner remains authorized</t>
  </si>
  <si>
    <t>GO-MAN-042</t>
  </si>
  <si>
    <t>Owner status restriction</t>
  </si>
  <si>
    <t>Attempt to change status to hiring/live/completed/rejected as non-admin owner</t>
  </si>
  <si>
    <t>Owner is blocked from admin-only status transitions</t>
  </si>
  <si>
    <t>GO-MAN-043</t>
  </si>
  <si>
    <t>Admin publish project</t>
  </si>
  <si>
    <t>Platform Admin</t>
  </si>
  <si>
    <t>Draft/pending project exists</t>
  </si>
  <si>
    <t>Open admin/project edit; set status to hiring; save</t>
  </si>
  <si>
    <t>Project becomes public/discoverable according to visibility and status</t>
  </si>
  <si>
    <t>GO-MAN-044</t>
  </si>
  <si>
    <t>Admin reject project</t>
  </si>
  <si>
    <t>Project exists</t>
  </si>
  <si>
    <t>Set project status to rejected; save; check discovery</t>
  </si>
  <si>
    <t>Rejected project is hidden from public discovery; owner/admin can still inspect as intended</t>
  </si>
  <si>
    <t>GO-MAN-045</t>
  </si>
  <si>
    <t>Archive project</t>
  </si>
  <si>
    <t>Project Owner or Admin</t>
  </si>
  <si>
    <t>Archive project; refresh projects list; open direct URL as owner and unrelated user</t>
  </si>
  <si>
    <t>Archived project disappears from discovery; owner/admin can access; unrelated user cannot</t>
  </si>
  <si>
    <t>GO-MAN-046</t>
  </si>
  <si>
    <t>Restore project</t>
  </si>
  <si>
    <t>Archived project exists</t>
  </si>
  <si>
    <t>Restore/unarchive project if UI supports it; refresh list</t>
  </si>
  <si>
    <t>Project visibility returns according to status/visibility rules</t>
  </si>
  <si>
    <t>GO-MAN-047</t>
  </si>
  <si>
    <t>Delete own project</t>
  </si>
  <si>
    <t>I should not be able to select source projects from other projects that I am not the owner of or I haven't created as a company subscriber. I also as a company subscriber should be able to see the projects I have created as drafts under my projects and allow me to edit them even though they are only in draft and not approved by the admin. I also managed to create duplicates projects somehow, the project i created is called TEST 5 maybe you can use some info in the way it was created to help you or I will try to catch .har file.</t>
  </si>
  <si>
    <t>Owner project exists</t>
  </si>
  <si>
    <t>Delete project; confirm; check project list and direct URL</t>
  </si>
  <si>
    <t>Project is removed; direct URL no longer loads; related applications are removed or inaccessible</t>
  </si>
  <si>
    <t>GO-MAN-048</t>
  </si>
  <si>
    <t>Admin delete any project</t>
  </si>
  <si>
    <t>Project owned by another user exists</t>
  </si>
  <si>
    <t>Delete another user's project as admin; confirm</t>
  </si>
  <si>
    <t>Admin can delete; project disappears; owner no longer sees it</t>
  </si>
  <si>
    <t>GO-MAN-049</t>
  </si>
  <si>
    <t>Non-owner delete block</t>
  </si>
  <si>
    <t>Unrelated User</t>
  </si>
  <si>
    <t>Attempt delete/edit project via UI/direct URL</t>
  </si>
  <si>
    <t>Access is denied; no project data changes</t>
  </si>
  <si>
    <t>GO-MAN-050</t>
  </si>
  <si>
    <t>Applications</t>
  </si>
  <si>
    <t>Apply requires membership</t>
  </si>
  <si>
    <t>Public hiring project exists</t>
  </si>
  <si>
    <t>Open hiring project; click apply; attempt application</t>
  </si>
  <si>
    <t>Free user is blocked with clear membership requirement</t>
  </si>
  <si>
    <t>Users can update their project status. This must be stopped because it creates issues with admin, creator users can only observe the current status of their project and you can suggest to contact support if they want an update on their project.</t>
  </si>
  <si>
    <t>Owner cannot inspect it and it doesn't show in /myprojets it only can be seen in admin and can be updated to a different status.</t>
  </si>
  <si>
    <t>GO-MAN-051</t>
  </si>
  <si>
    <t>Open project; apply with role motivation availability</t>
  </si>
  <si>
    <t>Application is created as pending; user sees success; project owner can see it</t>
  </si>
  <si>
    <t>Member apply to hiring project</t>
  </si>
  <si>
    <t>Public hiring project exists and active CV exists</t>
  </si>
  <si>
    <t>GO-MAN-052</t>
  </si>
  <si>
    <t>Apply to project; edit CV afterwards; inspect application as project owner/admin</t>
  </si>
  <si>
    <t>Application retains original CV snapshot; later CV edits do not alter historical application</t>
  </si>
  <si>
    <t>CV snapshot on apply</t>
  </si>
  <si>
    <t>CV exists and project accepts applications</t>
  </si>
  <si>
    <t>GO-MAN-053</t>
  </si>
  <si>
    <t>Attempt to apply again to same project</t>
  </si>
  <si>
    <t>Duplicate application is blocked with clear message</t>
  </si>
  <si>
    <t>Duplicate apply blocked</t>
  </si>
  <si>
    <t>User already has pending/approved application</t>
  </si>
  <si>
    <t>GO-MAN-054</t>
  </si>
  <si>
    <t>Open own/team project; attempt to apply</t>
  </si>
  <si>
    <t>Application is blocked because user is already a project member</t>
  </si>
  <si>
    <t>Project member cannot apply</t>
  </si>
  <si>
    <t>Project Team Member</t>
  </si>
  <si>
    <t>User is already owner/admin/team member of project</t>
  </si>
  <si>
    <t>GO-MAN-055</t>
  </si>
  <si>
    <t>Attempt application to project that is not hiring</t>
  </si>
  <si>
    <t>Application is blocked; user sees not accepting applications message</t>
  </si>
  <si>
    <t>Apply to non-hiring project blocked</t>
  </si>
  <si>
    <t>Project with completed/live/draft status exists</t>
  </si>
  <si>
    <t>GO-MAN-056</t>
  </si>
  <si>
    <t>Open project applications/admin area</t>
  </si>
  <si>
    <t>Owner sees applications for their project; applicant data and CV snapshot display correctly</t>
  </si>
  <si>
    <t>The admin user cannot delete a project, only archive it</t>
  </si>
  <si>
    <t>Owner views applications</t>
  </si>
  <si>
    <t>Project has applications</t>
  </si>
  <si>
    <t>GO-MAN-057</t>
  </si>
  <si>
    <t>Attempt to open project applications endpoint/page for another owner's project</t>
  </si>
  <si>
    <t>Access is denied; application data is not visible</t>
  </si>
  <si>
    <t>Unrelated user cannot view applications</t>
  </si>
  <si>
    <t>GO-MAN-058</t>
  </si>
  <si>
    <t>Approve applicant</t>
  </si>
  <si>
    <t>Application status becomes approved; applicant is added to team members; applicant sees team/project membership</t>
  </si>
  <si>
    <t>Approve application</t>
  </si>
  <si>
    <t>Pending application exists</t>
  </si>
  <si>
    <t>GO-MAN-059</t>
  </si>
  <si>
    <t>Reject applicant</t>
  </si>
  <si>
    <t>Application status becomes rejected; applicant is not added to project team</t>
  </si>
  <si>
    <t>Reject application</t>
  </si>
  <si>
    <t>GO-MAN-060</t>
  </si>
  <si>
    <t>Open own applications; cancel application</t>
  </si>
  <si>
    <t>Application status becomes cancelled; project team membership does not change</t>
  </si>
  <si>
    <t>Applicant cancels application</t>
  </si>
  <si>
    <t>I want the creator to be able to see the moment the user applied and the current user profile as well two different links, the functionality is good as it is, but I also want creators to be able to observe public profiles with their latests updates</t>
  </si>
  <si>
    <t>Pending own application exists</t>
  </si>
  <si>
    <t>GO-MAN-061</t>
  </si>
  <si>
    <t>Admin</t>
  </si>
  <si>
    <t>Open /admin and child admin URLs as visitor and non-admin user</t>
  </si>
  <si>
    <t>Access denied or redirected; no admin data visible</t>
  </si>
  <si>
    <t>Admin route protection</t>
  </si>
  <si>
    <t>Visitor or Non-admin</t>
  </si>
  <si>
    <t>Admin pages exist</t>
  </si>
  <si>
    <t>GO-MAN-062</t>
  </si>
  <si>
    <t>Open /admin/dashboard</t>
  </si>
  <si>
    <t>Dashboard loads without error; metrics/cards are visible and plausible</t>
  </si>
  <si>
    <t>Admin dashboard loads</t>
  </si>
  <si>
    <t>Admin account active</t>
  </si>
  <si>
    <t>GO-MAN-063</t>
  </si>
  <si>
    <t>Open /admin/users; search/filter if available; inspect user details</t>
  </si>
  <si>
    <t>Users list loads; no sensitive secrets shown; admin actions are clear</t>
  </si>
  <si>
    <t>Admin users page</t>
  </si>
  <si>
    <t>Users exist</t>
  </si>
  <si>
    <t>GO-MAN-064</t>
  </si>
  <si>
    <t>Open /admin/projects; filter statuses; open project actions</t>
  </si>
  <si>
    <t>Admin sees projects across owners; actions match permissions</t>
  </si>
  <si>
    <t>Admin projects page</t>
  </si>
  <si>
    <t>Projects exist</t>
  </si>
  <si>
    <t>GO-MAN-065</t>
  </si>
  <si>
    <t>Open /admin/subscriptions</t>
  </si>
  <si>
    <t>Orders/events/subscription statuses display correctly; no raw broken timestamps</t>
  </si>
  <si>
    <t>Admin subscriptions page</t>
  </si>
  <si>
    <t>Polar sandbox data exists</t>
  </si>
  <si>
    <t>N/A</t>
  </si>
  <si>
    <t>GO-MAN-066</t>
  </si>
  <si>
    <t>Open /make-admin or call bootstrap flow; make test account admin</t>
  </si>
  <si>
    <t>Test account gains admin access; bootstrap secret should be removed after first admin</t>
  </si>
  <si>
    <t>Make admin bootstrap</t>
  </si>
  <si>
    <t>Initial Admin Setup</t>
  </si>
  <si>
    <t>ADMIN_BOOTSTRAP_SECRET configured in local/staging only</t>
  </si>
  <si>
    <t>GO-MAN-067</t>
  </si>
  <si>
    <t>Billing</t>
  </si>
  <si>
    <t>On pricing/subscribe page inspect Member monthly Member annual Company monthly Company annual buttons</t>
  </si>
  <si>
    <t>Each button maps to the correct tier and interval product</t>
  </si>
  <si>
    <t>Pricing product mapping</t>
  </si>
  <si>
    <t>Visitor or Logged-in User</t>
  </si>
  <si>
    <t>Four Polar product IDs configured</t>
  </si>
  <si>
    <t>GO-MAN-068</t>
  </si>
  <si>
    <t>Click Member monthly subscribe; inspect Polar checkout page</t>
  </si>
  <si>
    <t>Checkout opens sandbox product; product name price currency and recurrence are correct</t>
  </si>
  <si>
    <t>Member monthly checkout</t>
  </si>
  <si>
    <t>Polar sandbox configured</t>
  </si>
  <si>
    <t>GO-MAN-069</t>
  </si>
  <si>
    <t>Click Member annual subscribe; inspect Polar checkout page</t>
  </si>
  <si>
    <t>Checkout opens annual member product; yearly recurrence wording is clear</t>
  </si>
  <si>
    <t>Member annual checkout</t>
  </si>
  <si>
    <t>GO-MAN-070</t>
  </si>
  <si>
    <t>Click Company monthly subscribe; inspect Polar checkout page</t>
  </si>
  <si>
    <t>Checkout opens company monthly product; benefits/tier are correct</t>
  </si>
  <si>
    <t>Company monthly checkout</t>
  </si>
  <si>
    <t>GO-MAN-071</t>
  </si>
  <si>
    <t>Click Company annual subscribe; inspect Polar checkout page</t>
  </si>
  <si>
    <t>Checkout opens company annual product; yearly recurrence wording is clear</t>
  </si>
  <si>
    <t>Company annual checkout</t>
  </si>
  <si>
    <t>GO-MAN-072</t>
  </si>
  <si>
    <t>Inspect checkout email/customer fields</t>
  </si>
  <si>
    <t>Email is prefilled/locked where Polar supports it; user cannot buy under spoofed identity from app UI</t>
  </si>
  <si>
    <t>Checkout identity</t>
  </si>
  <si>
    <t>Polar sandbox checkout opened</t>
  </si>
  <si>
    <t>GO-MAN-073</t>
  </si>
  <si>
    <t>Pay using card 4242 4242 4242 4242 future expiry any CVC</t>
  </si>
  <si>
    <t>Payment succeeds; user returns to success URL; no live payment is charged</t>
  </si>
  <si>
    <t>Sandbox payment success</t>
  </si>
  <si>
    <t>GO-MAN-074</t>
  </si>
  <si>
    <t>Wait on success page after payment; refresh if needed</t>
  </si>
  <si>
    <t>Success page reflects activated subscription after webhook; user permissions update</t>
  </si>
  <si>
    <t>Success activation polling</t>
  </si>
  <si>
    <t>Subscriber</t>
  </si>
  <si>
    <t>Payment completed and webhook configured</t>
  </si>
  <si>
    <t>GO-MAN-075</t>
  </si>
  <si>
    <t>After successful payment inspect users/{uid} orders subscription_events processed_webhooks</t>
  </si>
  <si>
    <t>User has activeMember membershipTier polarCustomerId subscriptionId subscriptionEndsAt; order/event/webhook docs exist</t>
  </si>
  <si>
    <t>Firestore subscription data</t>
  </si>
  <si>
    <t>Firebase console access available</t>
  </si>
  <si>
    <t>GO-MAN-076</t>
  </si>
  <si>
    <t>Open /billing</t>
  </si>
  <si>
    <t>Billing page shows active subscription status period end and portal/cancel controls</t>
  </si>
  <si>
    <t>Billing page active subscription</t>
  </si>
  <si>
    <t>Active subscription exists</t>
  </si>
  <si>
    <t>GO-MAN-077</t>
  </si>
  <si>
    <t>Click manage billing/portal button</t>
  </si>
  <si>
    <t>Polar portal opens using customer session; user sees own subscription only</t>
  </si>
  <si>
    <t>Billing portal opens</t>
  </si>
  <si>
    <t>polarCustomerId exists</t>
  </si>
  <si>
    <t>GO-MAN-078</t>
  </si>
  <si>
    <t>Cancel via /billing or Polar portal; return to app; refresh billing</t>
  </si>
  <si>
    <t>Status becomes canceled; willRenew false; access remains until subscriptionEndsAt</t>
  </si>
  <si>
    <t>Cancel subscription</t>
  </si>
  <si>
    <t>Active sandbox subscription exists</t>
  </si>
  <si>
    <t>GO-MAN-079</t>
  </si>
  <si>
    <t>Redeliver same webhook event from Polar dashboard</t>
  </si>
  <si>
    <t>No duplicate order/event records are created; app state remains correct</t>
  </si>
  <si>
    <t>Webhook replay idempotency</t>
  </si>
  <si>
    <t>Admin/Developer</t>
  </si>
  <si>
    <t>Polar dashboard webhook event available</t>
  </si>
  <si>
    <t>GO-MAN-080</t>
  </si>
  <si>
    <t>Cause subscription.revoked or equivalent; refresh app as subscriber</t>
  </si>
  <si>
    <t>activeMember becomes false; member-only actions are blocked</t>
  </si>
  <si>
    <t>Revoked subscription access</t>
  </si>
  <si>
    <t>Sandbox revoked event can be triggered or simulated</t>
  </si>
  <si>
    <t>GO-MAN-081</t>
  </si>
  <si>
    <t>Issue full refund in Polar sandbox; wait for webhook</t>
  </si>
  <si>
    <t>Order marked refunded; activeMember false; subscription/access state is correct</t>
  </si>
  <si>
    <t>Full refund access</t>
  </si>
  <si>
    <t>Sandbox paid order exists</t>
  </si>
  <si>
    <t>GO-MAN-082</t>
  </si>
  <si>
    <t>Issue partial refund if supported; wait for webhook</t>
  </si>
  <si>
    <t>Order marked refunded/updated as appropriate; access is not unexpectedly revoked</t>
  </si>
  <si>
    <t>Partial refund access</t>
  </si>
  <si>
    <t>GO-MAN-083</t>
  </si>
  <si>
    <t>Trigger subscription.updated with past_due behavior in staging/sandbox if possible</t>
  </si>
  <si>
    <t>User remains active during grace/retry window; lastPaymentFailed or status reflects past_due</t>
  </si>
  <si>
    <t>Past due grace</t>
  </si>
  <si>
    <t>Sandbox can trigger past_due or event replay</t>
  </si>
  <si>
    <t xml:space="preserve">There are two You are an offical galactic omnivore member they might be a bug or a feature asking the user to do the same thing if they kill the pop-up. </t>
  </si>
  <si>
    <t>GO-MAN-084</t>
  </si>
  <si>
    <t>Firestore Rules</t>
  </si>
  <si>
    <t>As unauthenticated or unrelated user attempt client read of private project</t>
  </si>
  <si>
    <t>Read is denied; only server/admin or project members can access as intended</t>
  </si>
  <si>
    <t>Private projects read protection</t>
  </si>
  <si>
    <t>Developer</t>
  </si>
  <si>
    <t>Firebase Rules Playground or emulator available</t>
  </si>
  <si>
    <t>GO-MAN-085</t>
  </si>
  <si>
    <t>Attempt client read of draft/pending public project as visitor</t>
  </si>
  <si>
    <t>Read is denied or unavailable from client discovery path</t>
  </si>
  <si>
    <t>Draft/pending project protection</t>
  </si>
  <si>
    <t>All are pass except for processed_webhooks, because I don't know how to test them.</t>
  </si>
  <si>
    <t>GO-MAN-086</t>
  </si>
  <si>
    <t>Attempt client read of orders collection as normal user</t>
  </si>
  <si>
    <t>Orders are not broadly readable; user cannot inspect other users' billing data</t>
  </si>
  <si>
    <t>Orders read protection</t>
  </si>
  <si>
    <t>GO-MAN-087</t>
  </si>
  <si>
    <t>Attempt client read of subscription_events and processed_webhooks</t>
  </si>
  <si>
    <t>Reads are denied to normal users; sensitive webhook/payment metadata protected</t>
  </si>
  <si>
    <t>Subscription events protection</t>
  </si>
  <si>
    <t>GO-MAN-088</t>
  </si>
  <si>
    <t>Attempt read/write applications as applicant owner unrelated user</t>
  </si>
  <si>
    <t>Applicant can access own allowed data; owner/admin can access project applications; unrelated user denied</t>
  </si>
  <si>
    <t>Applications protection</t>
  </si>
  <si>
    <t>GO-MAN-089</t>
  </si>
  <si>
    <t>Attempt client reads of user_profiles/go_cvs for public private and project-creator visibility</t>
  </si>
  <si>
    <t>Visibility rules match profile/CV settings; private data denied</t>
  </si>
  <si>
    <t>CV/profile protection</t>
  </si>
  <si>
    <r>
      <rPr/>
      <t>There is a regression, when you refresh the /billing page it redirects to sign in, but the user is already signed in, it's confusing, and takes a long time to get back to billing. And on top of that it allows me to exploit access to /subscription/success if I go back on the following URL "</t>
    </r>
    <r>
      <rPr>
        <color rgb="FF1155CC"/>
        <u/>
      </rPr>
      <t>https://www.galacticomnivore.com/login?redirect=/billing</t>
    </r>
    <r>
      <rPr/>
      <t>"</t>
    </r>
  </si>
  <si>
    <t>GO-MAN-090</t>
  </si>
  <si>
    <t>Attempt normal-user client access to admin analytics/users/subscriptions source data</t>
  </si>
  <si>
    <t>Admin-only data is denied to non-admin clients</t>
  </si>
  <si>
    <t>Admin-only data protection</t>
  </si>
  <si>
    <t>GO-MAN-091</t>
  </si>
  <si>
    <t>UX</t>
  </si>
  <si>
    <t>Enter long form data; trigger validation error; inspect form values</t>
  </si>
  <si>
    <t>Valid entered data remains; only invalid fields need correction</t>
  </si>
  <si>
    <t>Form persistence after errors</t>
  </si>
  <si>
    <t>Forms available</t>
  </si>
  <si>
    <t>GO-MAN-092</t>
  </si>
  <si>
    <t>Throttle network; open project list billing CV and admin pages</t>
  </si>
  <si>
    <t>Loading states appear; no blank confusing screen; user can recover</t>
  </si>
  <si>
    <t>Loading states</t>
  </si>
  <si>
    <t>Slow network throttling available</t>
  </si>
  <si>
    <t>GO-MAN-093</t>
  </si>
  <si>
    <t>Disconnect network during save/apply/checkout route; observe UI</t>
  </si>
  <si>
    <t>User sees actionable error; app does not crash; retry is possible</t>
  </si>
  <si>
    <t>Error states</t>
  </si>
  <si>
    <t>Can simulate failed request or disconnect network</t>
  </si>
  <si>
    <t>GO-MAN-094</t>
  </si>
  <si>
    <t>Attempt delete/archive/cancel actions</t>
  </si>
  <si>
    <t>Destructive actions have confirmation and clear consequences</t>
  </si>
  <si>
    <t>Destructive confirmations</t>
  </si>
  <si>
    <t>Project Owner/Admin</t>
  </si>
  <si>
    <t>GO-MAN-095</t>
  </si>
  <si>
    <t>Use Tab Shift+Tab Enter Escape through nav forms dialogs drawers</t>
  </si>
  <si>
    <t>Focus is visible; controls are reachable; dialogs can be closed with expected keys</t>
  </si>
  <si>
    <t>Keyboard navigation</t>
  </si>
  <si>
    <t>Desktop browser</t>
  </si>
  <si>
    <t>GO-MAN-096</t>
  </si>
  <si>
    <t>Read pricing membership project creation application and billing copy</t>
  </si>
  <si>
    <t>Copy clearly explains who can do what and why payment/membership is required</t>
  </si>
  <si>
    <t>Copy clarity</t>
  </si>
  <si>
    <t>Visitor/User</t>
  </si>
  <si>
    <t>GO-MAN-097</t>
  </si>
  <si>
    <t>Open project forms profile menus billing dialogs and confirmation dialogs</t>
  </si>
  <si>
    <t>Dialogs fit screen; buttons are reachable; background scrolling is controlled</t>
  </si>
  <si>
    <t>Mobile dialogs and drawers</t>
  </si>
  <si>
    <t>Mobile User</t>
  </si>
  <si>
    <t>GO-MAN-098</t>
  </si>
  <si>
    <t>Scan home pricing projects profile CV admin billing pages</t>
  </si>
  <si>
    <t>No obvious broken spacing overlapping text missing contrast or placeholder content</t>
  </si>
  <si>
    <t>Visual regression quick pass</t>
  </si>
  <si>
    <r>
      <rPr/>
      <t>There is a regression, when you refresh the /billing page it redirects to sign in, but the user is already signed in, it's confusing, and takes a long time to get back to billing. And on top of that it allows me to exploit access to /subscription/success if I go back on the following URL "</t>
    </r>
    <r>
      <rPr>
        <color rgb="FF1155CC"/>
        <u/>
      </rPr>
      <t>https://www.galacticomnivore.com/login?redirect=/billing</t>
    </r>
    <r>
      <rPr/>
      <t>"</t>
    </r>
  </si>
  <si>
    <t>Desktop and mobile</t>
  </si>
  <si>
    <t>GO-MAN-099</t>
  </si>
  <si>
    <t>Release</t>
  </si>
  <si>
    <t>Open /test-polar and /make-admin on production-like environment</t>
  </si>
  <si>
    <t>Dev/test pages are removed locked or protected; no public admin bootstrap path exists</t>
  </si>
  <si>
    <t>Dev-only test pages locked</t>
  </si>
  <si>
    <t>Deployment candidate available</t>
  </si>
  <si>
    <t>GO-MAN-100</t>
  </si>
  <si>
    <t>Verify env vars webhook URL success URL Firestore rules bootstrap secret and Polar token mode</t>
  </si>
  <si>
    <t>Production uses production Polar token/product IDs; webhook points to production domain; bootstrap secret removed; rules deployed</t>
  </si>
  <si>
    <t>Production readiness</t>
  </si>
  <si>
    <t>Pre-launch environment configured</t>
  </si>
  <si>
    <t>GO-MAN-101</t>
  </si>
  <si>
    <t>Product Navigation</t>
  </si>
  <si>
    <t>Using non-production data, open /, /projects, /project/create, /matchmaking, /mentors, /education, /video-bundles, /resources, /membership. Prepare the state named “Projects remain a primary navigation destination”, perform the single relevant navigation or action, and record the visible result, resulting URL, HTTP status where applicable, and browser console/network errors.</t>
  </si>
  <si>
    <t>The “Projects remain a primary navigation destination” scenario reaches the named state once, shows the expected controls and confirmation, updates only the authorized record, and creates no duplicate or unrelated state.</t>
  </si>
  <si>
    <t>Projects remain a primary navigation destination</t>
  </si>
  <si>
    <t>Staging site is running with a known feature-flag matrix. Use synthetic records and do not change production data.</t>
  </si>
  <si>
    <t>GO-MAN-102</t>
  </si>
  <si>
    <t>Using non-production data, open /, /projects, /project/create, /matchmaking, /mentors, /education, /video-bundles, /resources, /membership. Prepare the state named “Matchmaking landing page”, perform the single relevant navigation or action, and record the visible result, resulting URL, HTTP status where applicable, and browser console/network errors.</t>
  </si>
  <si>
    <t>The “Matchmaking landing page” scenario reaches the named state once, shows the expected controls and confirmation, updates only the authorized record, and creates no duplicate or unrelated state.</t>
  </si>
  <si>
    <t>Matchmaking landing page</t>
  </si>
  <si>
    <t>Need more details or will test with Dejan</t>
  </si>
  <si>
    <t>GO-MAN-103</t>
  </si>
  <si>
    <t>Using non-production data, open /, /projects, /project/create, /matchmaking, /mentors, /education, /video-bundles, /resources, /membership. Prepare the state named “Find a Project route”, perform the single relevant navigation or action, and record the visible result, resulting URL, HTTP status where applicable, and browser console/network errors.</t>
  </si>
  <si>
    <t>The “Find a Project route” scenario reaches the named state once, shows the expected controls and confirmation, updates only the authorized record, and creates no duplicate or unrelated state.</t>
  </si>
  <si>
    <t>Find a Project route</t>
  </si>
  <si>
    <t>GO-MAN-104</t>
  </si>
  <si>
    <t>Using non-production data, open /, /projects, /project/create, /matchmaking, /mentors, /education, /video-bundles, /resources, /membership. Prepare the state named “Create a Project route”, perform the single relevant navigation or action, and record the visible result, resulting URL, HTTP status where applicable, and browser console/network errors.</t>
  </si>
  <si>
    <t>The “Create a Project route” scenario reaches the named state once, shows the expected controls and confirmation, updates only the authorized record, and creates no duplicate or unrelated state.</t>
  </si>
  <si>
    <t>Create a Project route</t>
  </si>
  <si>
    <t>GO-MAN-105</t>
  </si>
  <si>
    <t>Using non-production data, open /, /projects, /project/create, /matchmaking, /mentors, /education, /video-bundles, /resources, /membership. Prepare the state named “Find a Mentor route”, perform the single relevant navigation or action, and record the visible result, resulting URL, HTTP status where applicable, and browser console/network errors.</t>
  </si>
  <si>
    <t>The “Find a Mentor route” scenario reaches the named state once, shows the expected controls and confirmation, updates only the authorized record, and creates no duplicate or unrelated state.</t>
  </si>
  <si>
    <t>Find a Mentor route</t>
  </si>
  <si>
    <t>Approved Mentor</t>
  </si>
  <si>
    <t>GO-MAN-106</t>
  </si>
  <si>
    <t>Using non-production data, open /, /projects, /project/create, /matchmaking, /mentors, /education, /video-bundles, /resources, /membership. Prepare the state named “Learn route”, perform the single relevant navigation or action, and record the visible result, resulting URL, HTTP status where applicable, and browser console/network errors.</t>
  </si>
  <si>
    <t>The “Learn route” scenario reaches the named state once, shows the expected controls and confirmation, updates only the authorized record, and creates no duplicate or unrelated state.</t>
  </si>
  <si>
    <t>Learn route</t>
  </si>
  <si>
    <t>GO-MAN-107</t>
  </si>
  <si>
    <t>Using non-production data, open /, /projects, /project/create, /matchmaking, /mentors, /education, /video-bundles, /resources, /membership. Prepare the state named “Video Bundles route”, perform the single relevant navigation or action, and record the visible result, resulting URL, HTTP status where applicable, and browser console/network errors.</t>
  </si>
  <si>
    <t>The “Video Bundles route” scenario reaches the named state once, shows the expected controls and confirmation, updates only the authorized record, and creates no duplicate or unrelated state.</t>
  </si>
  <si>
    <t>Video Bundles route</t>
  </si>
  <si>
    <t>GO-MAN-108</t>
  </si>
  <si>
    <t>Using non-production data, open /, /projects, /project/create, /matchmaking, /mentors, /education, /video-bundles, /resources, /membership. Prepare the state named “Community Resources route”, perform the single relevant navigation or action, and record the visible result, resulting URL, HTTP status where applicable, and browser console/network errors.</t>
  </si>
  <si>
    <t>The “Community Resources route” scenario reaches the named state once, shows the expected controls and confirmation, updates only the authorized record, and creates no duplicate or unrelated state.</t>
  </si>
  <si>
    <t>Community Resources route</t>
  </si>
  <si>
    <t>Community Member</t>
  </si>
  <si>
    <t>GO-MAN-109</t>
  </si>
  <si>
    <t>Using non-production data, open /, /projects, /project/create, /matchmaking, /mentors, /education, /video-bundles, /resources, /membership. Prepare the state named “Membership route”, perform the single relevant navigation or action, and record the visible result, resulting URL, HTTP status where applicable, and browser console/network errors.</t>
  </si>
  <si>
    <t>The “Membership route” scenario reaches the named state once, shows the expected controls and confirmation, updates only the authorized record, and creates no duplicate or unrelated state.</t>
  </si>
  <si>
    <t>Membership route</t>
  </si>
  <si>
    <t>GO-MAN-110</t>
  </si>
  <si>
    <t>Using non-production data, open /, /projects, /project/create, /matchmaking, /mentors, /education, /video-bundles, /resources, /membership. Prepare the state named “Active navigation state”, perform the single relevant navigation or action, and record the visible result, resulting URL, HTTP status where applicable, and browser console/network errors.</t>
  </si>
  <si>
    <t>The “Active navigation state” scenario reaches the named state once, shows the expected controls and confirmation, updates only the authorized record, and creates no duplicate or unrelated state.</t>
  </si>
  <si>
    <t>Active navigation state</t>
  </si>
  <si>
    <t>GO-MAN-111</t>
  </si>
  <si>
    <t>Using non-production data, open /, /projects, /project/create, /matchmaking, /mentors, /education, /video-bundles, /resources, /membership. Prepare the state named “Direct URL navigation”, perform the single relevant navigation or action, and record the visible result, resulting URL, HTTP status where applicable, and browser console/network errors.</t>
  </si>
  <si>
    <t>The “Direct URL navigation” scenario reaches the named state once, shows the expected controls and confirmation, updates only the authorized record, and creates no duplicate or unrelated state.</t>
  </si>
  <si>
    <t>Direct URL navigation</t>
  </si>
  <si>
    <t>GO-MAN-112</t>
  </si>
  <si>
    <t>Using non-production data, open /, /projects, /project/create, /matchmaking, /mentors, /education, /video-bundles, /resources, /membership. Prepare the state named “Empty product sections”, perform the single relevant navigation or action, and record the visible result, resulting URL, HTTP status where applicable, and browser console/network errors.</t>
  </si>
  <si>
    <t>The “Empty product sections” state displays an explicit empty-state message and approved next action without blank or broken layout.</t>
  </si>
  <si>
    <t>Empty product sections</t>
  </si>
  <si>
    <t>GO-MAN-113</t>
  </si>
  <si>
    <t>Using non-production data, open /, /projects, /project/create, /matchmaking, /mentors, /education, /video-bundles, /resources, /membership. Prepare the state named “Hidden feature-flagged navigation items”, perform the single relevant navigation or action, and record the visible result, resulting URL, HTTP status where applicable, and browser console/network errors.</t>
  </si>
  <si>
    <t>The “Hidden feature-flagged navigation items” restriction is enforced in both UI and direct request behavior; the protected action/value is absent and the user receives a clear non-success state.</t>
  </si>
  <si>
    <t>Hidden feature-flagged navigation items</t>
  </si>
  <si>
    <t>GO-MAN-114</t>
  </si>
  <si>
    <t>Using non-production data, open /, /projects, /project/create, /matchmaking, /mentors, /education, /video-bundles, /resources, /membership. Prepare the state named “Homepage product-priority order”, perform the single relevant navigation or action, and record the visible result, resulting URL, HTTP status where applicable, and browser console/network errors.</t>
  </si>
  <si>
    <t>The “Homepage product-priority order” scenario reaches the named state once, shows the expected controls and confirmation, updates only the authorized record, and creates no duplicate or unrelated state.</t>
  </si>
  <si>
    <t>Homepage product-priority order</t>
  </si>
  <si>
    <t>GO-MAN-115</t>
  </si>
  <si>
    <t>Using non-production data, open /, /projects, /project/create, /matchmaking, /mentors, /education, /video-bundles, /resources, /membership. Prepare the state named “Product-card links”, perform the single relevant navigation or action, and record the visible result, resulting URL, HTTP status where applicable, and browser console/network errors.</t>
  </si>
  <si>
    <t>The “Product-card links” scenario reaches the named state once, shows the expected controls and confirmation, updates only the authorized record, and creates no duplicate or unrelated state.</t>
  </si>
  <si>
    <t>Product-card links</t>
  </si>
  <si>
    <t>GO-MAN-116</t>
  </si>
  <si>
    <t>Using non-production data, open /, /projects, /project/create, /matchmaking, /mentors, /education, /video-bundles, /resources, /membership. Prepare the state named “Responsive product cards”, perform the single relevant navigation or action, and record the visible result, resulting URL, HTTP status where applicable, and browser console/network errors.</t>
  </si>
  <si>
    <t>At “Responsive product cards”, content remains readable with no clipping or horizontal overflow; focus, labels, status meaning, touch targets, and motion behavior remain perceivable and operable.</t>
  </si>
  <si>
    <t>Responsive product cards</t>
  </si>
  <si>
    <t>GO-MAN-117</t>
  </si>
  <si>
    <t>Using non-production data, open /, /projects, /project/create, /matchmaking, /mentors, /education, /video-bundles, /resources, /membership. Prepare the state named “Card hover keyboard focus and touch behavior”, perform the single relevant navigation or action, and record the visible result, resulting URL, HTTP status where applicable, and browser console/network errors.</t>
  </si>
  <si>
    <t>At “Card hover keyboard focus and touch behavior”, content remains readable with no clipping or horizontal overflow; focus, labels, status meaning, touch targets, and motion behavior remain perceivable and operable.</t>
  </si>
  <si>
    <t>Card hover keyboard focus and touch behavior</t>
  </si>
  <si>
    <t>GO-MAN-118</t>
  </si>
  <si>
    <t>Using non-production data, open /, /projects, /project/create, /matchmaking, /mentors, /education, /video-bundles, /resources, /membership. Prepare the state named “No placeholder values appearing publicly”, perform the single relevant navigation or action, and record the visible result, resulting URL, HTTP status where applicable, and browser console/network errors.</t>
  </si>
  <si>
    <t>The “No placeholder values appearing publicly” scenario reaches the named state once, shows the expected controls and confirmation, updates only the authorized record, and creates no duplicate or unrelated state.</t>
  </si>
  <si>
    <t>No placeholder values appearing publicly</t>
  </si>
  <si>
    <t>GO-MAN-119</t>
  </si>
  <si>
    <t>Membership</t>
  </si>
  <si>
    <t>Using non-production data, open /membership and one protected Community route. Prepare the state named “Four-category distinction”, perform the single relevant navigation or action, and record the visible result, resulting URL, HTTP status where applicable, and browser console/network errors.</t>
  </si>
  <si>
    <t>The “Four-category distinction” scenario reaches the named state once, shows the expected controls and confirmation, updates only the authorized record, and creates no duplicate or unrelated state.</t>
  </si>
  <si>
    <t>Four-category distinction</t>
  </si>
  <si>
    <t>Visitor or configured member</t>
  </si>
  <si>
    <t>Staging accounts cover free, Community, Business, mentor, canceled, past_due, and expired states. Use synthetic records and do not change production data.</t>
  </si>
  <si>
    <t>GO-MAN-120</t>
  </si>
  <si>
    <t>Using non-production data, open /membership and one protected Community route. Prepare the state named “Public or Free category”, perform the single relevant navigation or action, and record the visible result, resulting URL, HTTP status where applicable, and browser console/network errors.</t>
  </si>
  <si>
    <t>The “Public or Free category” scenario reaches the named state once, shows the expected controls and confirmation, updates only the authorized record, and creates no duplicate or unrelated state.</t>
  </si>
  <si>
    <t>Public or Free category</t>
  </si>
  <si>
    <t>GO-MAN-121</t>
  </si>
  <si>
    <t>Using non-production data, open /membership and one protected Community route. Prepare the state named “Community benefits”, perform the single relevant navigation or action, and record the visible result, resulting URL, HTTP status where applicable, and browser console/network errors.</t>
  </si>
  <si>
    <t>The “Community benefits” scenario reaches the named state once, shows the expected controls and confirmation, updates only the authorized record, and creates no duplicate or unrelated state.</t>
  </si>
  <si>
    <t>Community benefits</t>
  </si>
  <si>
    <t>GO-MAN-122</t>
  </si>
  <si>
    <t>Using non-production data, open /membership and one protected Community route. Prepare the state named “Business inherits Community benefits”, perform the single relevant navigation or action, and record the visible result, resulting URL, HTTP status where applicable, and browser console/network errors.</t>
  </si>
  <si>
    <t>The “Business inherits Community benefits” scenario reaches the named state once, shows the expected controls and confirmation, updates only the authorized record, and creates no duplicate or unrelated state.</t>
  </si>
  <si>
    <t>Business inherits Community benefits</t>
  </si>
  <si>
    <t>Business Member</t>
  </si>
  <si>
    <t>GO-MAN-123</t>
  </si>
  <si>
    <t>Using non-production data, open /membership and one protected Community route. Prepare the state named “Business retains project-creation permissions”, perform the single relevant navigation or action, and record the visible result, resulting URL, HTTP status where applicable, and browser console/network errors.</t>
  </si>
  <si>
    <t>The “Business retains project-creation permissions” scenario reaches the named state once, shows the expected controls and confirmation, updates only the authorized record, and creates no duplicate or unrelated state.</t>
  </si>
  <si>
    <t>Business retains project-creation permissions</t>
  </si>
  <si>
    <t>GO-MAN-124</t>
  </si>
  <si>
    <t>Using non-production data, open /membership and one protected Community route. Prepare the state named “Mentor Programme shows Coming Soon”, perform the single relevant navigation or action, and record the visible result, resulting URL, HTTP status where applicable, and browser console/network errors.</t>
  </si>
  <si>
    <t>The “Mentor Programme shows Coming Soon” scenario reaches the named state once, shows the expected controls and confirmation, updates only the authorized record, and creates no duplicate or unrelated state.</t>
  </si>
  <si>
    <t>Mentor Programme shows Coming Soon</t>
  </si>
  <si>
    <t>GO-MAN-125</t>
  </si>
  <si>
    <t>Using non-production data, open /membership and one protected Community route. Prepare the state named “No invented Mentor price”, perform the single relevant navigation or action, and record the visible result, resulting URL, HTTP status where applicable, and browser console/network errors.</t>
  </si>
  <si>
    <t>The “No invented Mentor price” restriction is enforced in both UI and direct request behavior; the protected action/value is absent and the user receives a clear non-success state.</t>
  </si>
  <si>
    <t>No invented Mentor price</t>
  </si>
  <si>
    <t>GO-MAN-126</t>
  </si>
  <si>
    <t>Using non-production data, open /membership and one protected Community route. Prepare the state named “Disabled Mentor checkout”, perform the single relevant navigation or action, and record the visible result, resulting URL, HTTP status where applicable, and browser console/network errors.</t>
  </si>
  <si>
    <t>The “Disabled Mentor checkout” restriction is enforced in both UI and direct request behavior; the protected action/value is absent and the user receives a clear non-success state.</t>
  </si>
  <si>
    <t>Disabled Mentor checkout</t>
  </si>
  <si>
    <t>GO-MAN-127</t>
  </si>
  <si>
    <t>Using non-production data, open /membership and one protected Community route. Prepare the state named “Coming Soon button sends no checkout request”, perform the single relevant navigation or action, and record the visible result, resulting URL, HTTP status where applicable, and browser console/network errors.</t>
  </si>
  <si>
    <t>The “Coming Soon button sends no checkout request” scenario reaches the named state once, shows the expected controls and confirmation, updates only the authorized record, and creates no duplicate or unrelated state.</t>
  </si>
  <si>
    <t>Coming Soon button sends no checkout request</t>
  </si>
  <si>
    <t>GO-MAN-128</t>
  </si>
  <si>
    <t>Using non-production data, open /membership and one protected Community route. Prepare the state named “Mentor application link separate from checkout”, perform the single relevant navigation or action, and record the visible result, resulting URL, HTTP status where applicable, and browser console/network errors.</t>
  </si>
  <si>
    <t>The “Mentor application link separate from checkout” scenario reaches the named state once, shows the expected controls and confirmation, updates only the authorized record, and creates no duplicate or unrelated state.</t>
  </si>
  <si>
    <t>Mentor application link separate from checkout</t>
  </si>
  <si>
    <t>GO-MAN-129</t>
  </si>
  <si>
    <t>Using non-production data, open /membership and one protected Community route. Prepare the state named “Missing mentor application URL”, perform the single relevant navigation or action, and record the visible result, resulting URL, HTTP status where applicable, and browser console/network errors.</t>
  </si>
  <si>
    <t>The “Missing mentor application URL” restriction is enforced in both UI and direct request behavior; the protected action/value is absent and the user receives a clear non-success state.</t>
  </si>
  <si>
    <t>Missing mentor application URL</t>
  </si>
  <si>
    <t>GO-MAN-130</t>
  </si>
  <si>
    <t>Using non-production data, open /membership and one protected Community route. Prepare the state named “Mentor applications closed”, perform the single relevant navigation or action, and record the visible result, resulting URL, HTTP status where applicable, and browser console/network errors.</t>
  </si>
  <si>
    <t>The “Mentor applications closed” scenario reaches the named state once, shows the expected controls and confirmation, updates only the authorized record, and creates no duplicate or unrelated state.</t>
  </si>
  <si>
    <t>Mentor applications closed</t>
  </si>
  <si>
    <t>GO-MAN-131</t>
  </si>
  <si>
    <t>Using non-production data, open /membership and one protected Community route. Prepare the state named “External application-link indicator”, perform the single relevant navigation or action, and record the visible result, resulting URL, HTTP status where applicable, and browser console/network errors.</t>
  </si>
  <si>
    <t>The “External application-link indicator” scenario reaches the named state once, shows the expected controls and confirmation, updates only the authorized record, and creates no duplicate or unrelated state.</t>
  </si>
  <si>
    <t>External application-link indicator</t>
  </si>
  <si>
    <t>GO-MAN-132</t>
  </si>
  <si>
    <t>Using non-production data, open /membership and one protected Community route. Prepare the state named “Sign-in required before mentor application”, perform the single relevant navigation or action, and record the visible result, resulting URL, HTTP status where applicable, and browser console/network errors.</t>
  </si>
  <si>
    <t>The “Sign-in required before mentor application” scenario reaches the named state once, shows the expected controls and confirmation, updates only the authorized record, and creates no duplicate or unrelated state.</t>
  </si>
  <si>
    <t>Sign-in required before mentor application</t>
  </si>
  <si>
    <t>GO-MAN-133</t>
  </si>
  <si>
    <t>Using non-production data, open /membership and one protected Community route. Prepare the state named “Active Community subscription”, perform the single relevant navigation or action, and record the visible result, resulting URL, HTTP status where applicable, and browser console/network errors.</t>
  </si>
  <si>
    <t>The “Active Community subscription” scenario reaches the named state once, shows the expected controls and confirmation, updates only the authorized record, and creates no duplicate or unrelated state.</t>
  </si>
  <si>
    <t>Active Community subscription</t>
  </si>
  <si>
    <t>GO-MAN-134</t>
  </si>
  <si>
    <t>Using non-production data, open /membership and one protected Community route. Prepare the state named “Active Business subscription”, perform the single relevant navigation or action, and record the visible result, resulting URL, HTTP status where applicable, and browser console/network errors.</t>
  </si>
  <si>
    <t>The “Active Business subscription” scenario reaches the named state once, shows the expected controls and confirmation, updates only the authorized record, and creates no duplicate or unrelated state.</t>
  </si>
  <si>
    <t>Active Business subscription</t>
  </si>
  <si>
    <t>GO-MAN-135</t>
  </si>
  <si>
    <t>Using non-production data, open /membership and one protected Community route. Prepare the state named “Scheduled cancellation retains access until period end”, perform the single relevant navigation or action, and record the visible result, resulting URL, HTTP status where applicable, and browser console/network errors.</t>
  </si>
  <si>
    <t>The “Scheduled cancellation retains access until period end” scenario reaches the named state once, shows the expected controls and confirmation, updates only the authorized record, and creates no duplicate or unrelated state.</t>
  </si>
  <si>
    <t>Scheduled cancellation retains access until period end</t>
  </si>
  <si>
    <t>GO-MAN-136</t>
  </si>
  <si>
    <t>Using non-production data, open /membership and one protected Community route. Prepare the state named “Past_due Community grace-period behavior”, perform the single relevant navigation or action, and record the visible result, resulting URL, HTTP status where applicable, and browser console/network errors.</t>
  </si>
  <si>
    <t>The “Past_due Community grace-period behavior” scenario reaches the named state once, shows the expected controls and confirmation, updates only the authorized record, and creates no duplicate or unrelated state.</t>
  </si>
  <si>
    <t>Past_due Community grace-period behavior</t>
  </si>
  <si>
    <t>GO-MAN-137</t>
  </si>
  <si>
    <t>Using non-production data, open /membership and one protected Community route. Prepare the state named “Expired Community entitlement”, perform the single relevant navigation or action, and record the visible result, resulting URL, HTTP status where applicable, and browser console/network errors.</t>
  </si>
  <si>
    <t>The “Expired Community entitlement” restriction is enforced in both UI and direct request behavior; the protected action/value is absent and the user receives a clear non-success state.</t>
  </si>
  <si>
    <t>Expired Community entitlement</t>
  </si>
  <si>
    <t>GO-MAN-138</t>
  </si>
  <si>
    <t>Using non-production data, open /membership and one protected Community route. Prepare the state named “Mentor suspension overrides mentor access”, perform the single relevant navigation or action, and record the visible result, resulting URL, HTTP status where applicable, and browser console/network errors.</t>
  </si>
  <si>
    <t>The “Mentor suspension overrides mentor access” scenario reaches the named state once, shows the expected controls and confirmation, updates only the authorized record, and creates no duplicate or unrelated state.</t>
  </si>
  <si>
    <t>Mentor suspension overrides mentor access</t>
  </si>
  <si>
    <t>GO-MAN-139</t>
  </si>
  <si>
    <t>Using non-production data, open /membership and one protected Community route. Prepare the state named “Membership mobile layout and accessibility”, perform the single relevant navigation or action, and record the visible result, resulting URL, HTTP status where applicable, and browser console/network errors.</t>
  </si>
  <si>
    <t>At “Membership mobile layout and accessibility”, content remains readable with no clipping or horizontal overflow; focus, labels, status meaning, touch targets, and motion behavior remain perceivable and operable.</t>
  </si>
  <si>
    <t>Membership mobile layout and accessibility</t>
  </si>
  <si>
    <t>GO-MAN-140</t>
  </si>
  <si>
    <t>Protected Links</t>
  </si>
  <si>
    <t>Using non-production data, open /resources, /video-bundles, /asset-packs and their protected open routes. Prepare the state named “Signed-out protected resource view”, perform the single relevant navigation or action, and record the visible result, resulting URL, HTTP status where applicable, and browser console/network errors.</t>
  </si>
  <si>
    <t>The “Signed-out protected resource view” flow exposes no external destination; the UI shows sign-in, locked, unavailable, or upgrade guidance and the server returns the documented 401, 403, 404, or 503 state.</t>
  </si>
  <si>
    <t>Signed-out protected resource view</t>
  </si>
  <si>
    <t>Synthetic published, unpublished, individually granted, and missing-destination records exist in staging. Use synthetic records and do not change production data.</t>
  </si>
  <si>
    <t>GO-MAN-141</t>
  </si>
  <si>
    <t>Using non-production data, open /resources, /video-bundles, /asset-packs and their protected open routes. Prepare the state named “Free-user protected resource view”, perform the single relevant navigation or action, and record the visible result, resulting URL, HTTP status where applicable, and browser console/network errors.</t>
  </si>
  <si>
    <t>The “Free-user protected resource view” flow exposes no external destination; the UI shows sign-in, locked, unavailable, or upgrade guidance and the server returns the documented 401, 403, 404, or 503 state.</t>
  </si>
  <si>
    <t>Free-user protected resource view</t>
  </si>
  <si>
    <t>Visitor or configured entitlement account</t>
  </si>
  <si>
    <t>GO-MAN-142</t>
  </si>
  <si>
    <t>Using non-production data, open /resources, /video-bundles, /asset-packs and their protected open routes. Prepare the state named “Entitled Community user”, perform the single relevant navigation or action, and record the visible result, resulting URL, HTTP status where applicable, and browser console/network errors.</t>
  </si>
  <si>
    <t>The “Entitled Community user” flow authorizes exactly the eligible account and redirects server-side without placing the external destination in page HTML, JSON, metadata, or client props.</t>
  </si>
  <si>
    <t>Entitled Community user</t>
  </si>
  <si>
    <t>GO-MAN-143</t>
  </si>
  <si>
    <t>Using non-production data, open /resources, /video-bundles, /asset-packs and their protected open routes. Prepare the state named “Entitled Business user”, perform the single relevant navigation or action, and record the visible result, resulting URL, HTTP status where applicable, and browser console/network errors.</t>
  </si>
  <si>
    <t>The “Entitled Business user” flow authorizes exactly the eligible account and redirects server-side without placing the external destination in page HTML, JSON, metadata, or client props.</t>
  </si>
  <si>
    <t>Entitled Business user</t>
  </si>
  <si>
    <t>GO-MAN-144</t>
  </si>
  <si>
    <t>Using non-production data, open /resources, /video-bundles, /asset-packs and their protected open routes. Prepare the state named “Expired entitlement”, perform the single relevant navigation or action, and record the visible result, resulting URL, HTTP status where applicable, and browser console/network errors.</t>
  </si>
  <si>
    <t>The “Expired entitlement” flow exposes no external destination; the UI shows sign-in, locked, unavailable, or upgrade guidance and the server returns the documented 401, 403, 404, or 503 state.</t>
  </si>
  <si>
    <t>Expired entitlement</t>
  </si>
  <si>
    <t>GO-MAN-145</t>
  </si>
  <si>
    <t>Using non-production data, open /resources, /video-bundles, /asset-packs and their protected open routes. Prepare the state named “Canceled subscription before period end”, perform the single relevant navigation or action, and record the visible result, resulting URL, HTTP status where applicable, and browser console/network errors.</t>
  </si>
  <si>
    <t>The “Canceled subscription before period end” flow authorizes exactly the eligible account and redirects server-side without placing the external destination in page HTML, JSON, metadata, or client props.</t>
  </si>
  <si>
    <t>Canceled subscription before period end</t>
  </si>
  <si>
    <t>GO-MAN-146</t>
  </si>
  <si>
    <t>Using non-production data, open /resources, /video-bundles, /asset-packs and their protected open routes. Prepare the state named “Canceled subscription after period end”, perform the single relevant navigation or action, and record the visible result, resulting URL, HTTP status where applicable, and browser console/network errors.</t>
  </si>
  <si>
    <t>The “Canceled subscription after period end” flow exposes no external destination; the UI shows sign-in, locked, unavailable, or upgrade guidance and the server returns the documented 401, 403, 404, or 503 state.</t>
  </si>
  <si>
    <t>Canceled subscription after period end</t>
  </si>
  <si>
    <t>GO-MAN-147</t>
  </si>
  <si>
    <t>Using non-production data, open /resources, /video-bundles, /asset-packs and their protected open routes. Prepare the state named “Past_due Community user”, perform the single relevant navigation or action, and record the visible result, resulting URL, HTTP status where applicable, and browser console/network errors.</t>
  </si>
  <si>
    <t>The “Past_due Community user” flow authorizes exactly the eligible account and redirects server-side without placing the external destination in page HTML, JSON, metadata, or client props.</t>
  </si>
  <si>
    <t>Past_due Community user</t>
  </si>
  <si>
    <t>GO-MAN-148</t>
  </si>
  <si>
    <t>Using non-production data, open /resources, /video-bundles, /asset-packs and their protected open routes. Prepare the state named “Individually granted access”, perform the single relevant navigation or action, and record the visible result, resulting URL, HTTP status where applicable, and browser console/network errors.</t>
  </si>
  <si>
    <t>The “Individually granted access” flow authorizes exactly the eligible account and redirects server-side without placing the external destination in page HTML, JSON, metadata, or client props.</t>
  </si>
  <si>
    <t>Individually granted access</t>
  </si>
  <si>
    <t>GO-MAN-149</t>
  </si>
  <si>
    <t>Using non-production data, open /resources, /video-bundles, /asset-packs and their protected open routes. Prepare the state named “Unpublished resource”, perform the single relevant navigation or action, and record the visible result, resulting URL, HTTP status where applicable, and browser console/network errors.</t>
  </si>
  <si>
    <t>The “Unpublished resource” flow exposes no external destination; the UI shows sign-in, locked, unavailable, or upgrade guidance and the server returns the documented 401, 403, 404, or 503 state.</t>
  </si>
  <si>
    <t>Unpublished resource</t>
  </si>
  <si>
    <t>GO-MAN-150</t>
  </si>
  <si>
    <t>Using non-production data, open /resources, /video-bundles, /asset-packs and their protected open routes. Prepare the state named “Missing destination link”, perform the single relevant navigation or action, and record the visible result, resulting URL, HTTP status where applicable, and browser console/network errors.</t>
  </si>
  <si>
    <t>The “Missing destination link” flow exposes no external destination; the UI shows sign-in, locked, unavailable, or upgrade guidance and the server returns the documented 401, 403, 404, or 503 state.</t>
  </si>
  <si>
    <t>Missing destination link</t>
  </si>
  <si>
    <t>GO-MAN-151</t>
  </si>
  <si>
    <t>Using non-production data, open /resources, /video-bundles, /asset-packs and their protected open routes. Prepare the state named “Direct protected-open route access”, perform the single relevant navigation or action, and record the visible result, resulting URL, HTTP status where applicable, and browser console/network errors.</t>
  </si>
  <si>
    <t>The “Direct protected-open route access” flow exposes no external destination; the UI shows sign-in, locked, unavailable, or upgrade guidance and the server returns the documented 401, 403, 404, or 503 state.</t>
  </si>
  <si>
    <t>Direct protected-open route access</t>
  </si>
  <si>
    <t>GO-MAN-152</t>
  </si>
  <si>
    <t>Using non-production data, open /resources, /video-bundles, /asset-packs and their protected open routes. Prepare the state named “Browser page source contains no protected URL”, perform the single relevant navigation or action, and record the visible result, resulting URL, HTTP status where applicable, and browser console/network errors.</t>
  </si>
  <si>
    <t>The “Browser page source contains no protected URL” flow exposes no external destination; the UI shows sign-in, locked, unavailable, or upgrade guidance and the server returns the documented 401, 403, 404, or 503 state.</t>
  </si>
  <si>
    <t>Browser page source contains no protected URL</t>
  </si>
  <si>
    <t>GO-MAN-153</t>
  </si>
  <si>
    <t>Using non-production data, open /resources, /video-bundles, /asset-packs and their protected open routes. Prepare the state named “Browser network response contains no protected URL”, perform the single relevant navigation or action, and record the visible result, resulting URL, HTTP status where applicable, and browser console/network errors.</t>
  </si>
  <si>
    <t>The “Browser network response contains no protected URL” flow exposes no external destination; the UI shows sign-in, locked, unavailable, or upgrade guidance and the server returns the documented 401, 403, 404, or 503 state.</t>
  </si>
  <si>
    <t>Browser network response contains no protected URL</t>
  </si>
  <si>
    <t>GO-MAN-154</t>
  </si>
  <si>
    <t>Using non-production data, open /resources, /video-bundles, /asset-packs and their protected open routes. Prepare the state named “React or page-data payload contains no protected URL”, perform the single relevant navigation or action, and record the visible result, resulting URL, HTTP status where applicable, and browser console/network errors.</t>
  </si>
  <si>
    <t>The “React or page-data payload contains no protected URL” flow exposes no external destination; the UI shows sign-in, locked, unavailable, or upgrade guidance and the server returns the documented 401, 403, 404, or 503 state.</t>
  </si>
  <si>
    <t>React or page-data payload contains no protected URL</t>
  </si>
  <si>
    <t>GO-MAN-155</t>
  </si>
  <si>
    <t>Using non-production data, open /resources, /video-bundles, /asset-packs and their protected open routes. Prepare the state named “Metadata and link previews contain no protected URL”, perform the single relevant navigation or action, and record the visible result, resulting URL, HTTP status where applicable, and browser console/network errors.</t>
  </si>
  <si>
    <t>The “Metadata and link previews contain no protected URL” flow exposes no external destination; the UI shows sign-in, locked, unavailable, or upgrade guidance and the server returns the documented 401, 403, 404, or 503 state.</t>
  </si>
  <si>
    <t>Metadata and link previews contain no protected URL</t>
  </si>
  <si>
    <t>GO-MAN-156</t>
  </si>
  <si>
    <t>Using non-production data, open /resources, /video-bundles, /asset-packs and their protected open routes. Prepare the state named “Locked-content UI”, perform the single relevant navigation or action, and record the visible result, resulting URL, HTTP status where applicable, and browser console/network errors.</t>
  </si>
  <si>
    <t>The “Locked-content UI” flow exposes no external destination; the UI shows sign-in, locked, unavailable, or upgrade guidance and the server returns the documented 401, 403, 404, or 503 state.</t>
  </si>
  <si>
    <t>Locked-content UI</t>
  </si>
  <si>
    <t>GO-MAN-157</t>
  </si>
  <si>
    <t>Using non-production data, open /resources, /video-bundles, /asset-packs and their protected open routes. Prepare the state named “Sign-in return flow”, perform the single relevant navigation or action, and record the visible result, resulting URL, HTTP status where applicable, and browser console/network errors.</t>
  </si>
  <si>
    <t>The “Sign-in return flow” flow exposes no external destination; the UI shows sign-in, locked, unavailable, or upgrade guidance and the server returns the documented 401, 403, 404, or 503 state.</t>
  </si>
  <si>
    <t>Sign-in return flow</t>
  </si>
  <si>
    <t>GO-MAN-158</t>
  </si>
  <si>
    <t>Using non-production data, open /resources, /video-bundles, /asset-packs and their protected open routes. Prepare the state named “Upgrade action”, perform the single relevant navigation or action, and record the visible result, resulting URL, HTTP status where applicable, and browser console/network errors.</t>
  </si>
  <si>
    <t>The “Upgrade action” flow exposes no external destination; the UI shows sign-in, locked, unavailable, or upgrade guidance and the server returns the documented 401, 403, 404, or 503 state.</t>
  </si>
  <si>
    <t>Upgrade action</t>
  </si>
  <si>
    <t>GO-MAN-159</t>
  </si>
  <si>
    <t>Using non-production data, open /resources, /video-bundles, /asset-packs and their protected open routes. Prepare the state named “Successful authorized redirect”, perform the single relevant navigation or action, and record the visible result, resulting URL, HTTP status where applicable, and browser console/network errors.</t>
  </si>
  <si>
    <t>The “Successful authorized redirect” flow authorizes exactly the eligible account and redirects server-side without placing the external destination in page HTML, JSON, metadata, or client props.</t>
  </si>
  <si>
    <t>Successful authorized redirect</t>
  </si>
  <si>
    <t>GO-MAN-160</t>
  </si>
  <si>
    <t>Publication States</t>
  </si>
  <si>
    <t>Using non-production data, open Public listing/detail routes for resources, asset packs, video bundles, learning items, and mentors. Prepare the state named “Resources - draft”, perform the single relevant navigation or action, and record the visible result, resulting URL, HTTP status where applicable, and browser console/network errors.</t>
  </si>
  <si>
    <t>Resources in “draft” is absent from public listings and direct public lookup returns an unavailable or not-found state without private fields.</t>
  </si>
  <si>
    <t>Resources - draft</t>
  </si>
  <si>
    <t>One synthetic record exists for every named status; public caches are cleared. Use synthetic records and do not change production data.</t>
  </si>
  <si>
    <t>GO-MAN-161</t>
  </si>
  <si>
    <t>Using non-production data, open Public listing/detail routes for resources, asset packs, video bundles, learning items, and mentors. Prepare the state named “Resources - submitted”, perform the single relevant navigation or action, and record the visible result, resulting URL, HTTP status where applicable, and browser console/network errors.</t>
  </si>
  <si>
    <t>Resources in “submitted” is absent from public listings and direct public lookup returns an unavailable or not-found state without private fields.</t>
  </si>
  <si>
    <t>Resources - submitted</t>
  </si>
  <si>
    <t>GO-MAN-162</t>
  </si>
  <si>
    <t>Using non-production data, open Public listing/detail routes for resources, asset packs, video bundles, learning items, and mentors. Prepare the state named “Resources - changes requested”, perform the single relevant navigation or action, and record the visible result, resulting URL, HTTP status where applicable, and browser console/network errors.</t>
  </si>
  <si>
    <t>Resources in “changes requested” is absent from public listings and direct public lookup returns an unavailable or not-found state without private fields.</t>
  </si>
  <si>
    <t>Resources - changes requested</t>
  </si>
  <si>
    <t>GO-MAN-163</t>
  </si>
  <si>
    <t>Using non-production data, open Public listing/detail routes for resources, asset packs, video bundles, learning items, and mentors. Prepare the state named “Resources - approved but unpublished”, perform the single relevant navigation or action, and record the visible result, resulting URL, HTTP status where applicable, and browser console/network errors.</t>
  </si>
  <si>
    <t>Resources in “approved but unpublished” is absent from public listings and direct public lookup returns an unavailable or not-found state without private fields.</t>
  </si>
  <si>
    <t>Resources - approved but unpublished</t>
  </si>
  <si>
    <t>GO-MAN-164</t>
  </si>
  <si>
    <t>Using non-production data, open Public listing/detail routes for resources, asset packs, video bundles, learning items, and mentors. Prepare the state named “Resources - published”, perform the single relevant navigation or action, and record the visible result, resulting URL, HTTP status where applicable, and browser console/network errors.</t>
  </si>
  <si>
    <t>Resources in “published” appears in its public listing/detail response with sanitized metadata only.</t>
  </si>
  <si>
    <t>Resources - published</t>
  </si>
  <si>
    <t>GO-MAN-165</t>
  </si>
  <si>
    <t>Using non-production data, open Public listing/detail routes for resources, asset packs, video bundles, learning items, and mentors. Prepare the state named “Resources - legacy”, perform the single relevant navigation or action, and record the visible result, resulting URL, HTTP status where applicable, and browser console/network errors.</t>
  </si>
  <si>
    <t>Resources in “legacy” appears in its public listing/detail response with sanitized metadata only.</t>
  </si>
  <si>
    <t>Resources - legacy</t>
  </si>
  <si>
    <t>GO-MAN-166</t>
  </si>
  <si>
    <t>Using non-production data, open Public listing/detail routes for resources, asset packs, video bundles, learning items, and mentors. Prepare the state named “Resources - archived”, perform the single relevant navigation or action, and record the visible result, resulting URL, HTTP status where applicable, and browser console/network errors.</t>
  </si>
  <si>
    <t>Resources in “archived” is absent from public listings and direct public lookup returns an unavailable or not-found state without private fields.</t>
  </si>
  <si>
    <t>Resources - archived</t>
  </si>
  <si>
    <t>GO-MAN-167</t>
  </si>
  <si>
    <t>Using non-production data, open Public listing/detail routes for resources, asset packs, video bundles, learning items, and mentors. Prepare the state named “Resources - removed”, perform the single relevant navigation or action, and record the visible result, resulting URL, HTTP status where applicable, and browser console/network errors.</t>
  </si>
  <si>
    <t>Resources in “removed” is absent from public listings and direct public lookup returns an unavailable or not-found state without private fields.</t>
  </si>
  <si>
    <t>Resources - removed</t>
  </si>
  <si>
    <t>GO-MAN-168</t>
  </si>
  <si>
    <t>Using non-production data, open Public listing/detail routes for resources, asset packs, video bundles, learning items, and mentors. Prepare the state named “Asset packs - draft”, perform the single relevant navigation or action, and record the visible result, resulting URL, HTTP status where applicable, and browser console/network errors.</t>
  </si>
  <si>
    <t>Asset packs in “draft” is absent from public listings and direct public lookup returns an unavailable or not-found state without private fields.</t>
  </si>
  <si>
    <t>Asset packs - draft</t>
  </si>
  <si>
    <t>GO-MAN-169</t>
  </si>
  <si>
    <t>Using non-production data, open Public listing/detail routes for resources, asset packs, video bundles, learning items, and mentors. Prepare the state named “Asset packs - submitted”, perform the single relevant navigation or action, and record the visible result, resulting URL, HTTP status where applicable, and browser console/network errors.</t>
  </si>
  <si>
    <t>Asset packs in “submitted” is absent from public listings and direct public lookup returns an unavailable or not-found state without private fields.</t>
  </si>
  <si>
    <t>Asset packs - submitted</t>
  </si>
  <si>
    <t>GO-MAN-170</t>
  </si>
  <si>
    <t>Using non-production data, open Public listing/detail routes for resources, asset packs, video bundles, learning items, and mentors. Prepare the state named “Asset packs - changes requested”, perform the single relevant navigation or action, and record the visible result, resulting URL, HTTP status where applicable, and browser console/network errors.</t>
  </si>
  <si>
    <t>Asset packs in “changes requested” is absent from public listings and direct public lookup returns an unavailable or not-found state without private fields.</t>
  </si>
  <si>
    <t>Asset packs - changes requested</t>
  </si>
  <si>
    <t>GO-MAN-171</t>
  </si>
  <si>
    <t>Using non-production data, open Public listing/detail routes for resources, asset packs, video bundles, learning items, and mentors. Prepare the state named “Asset packs - approved but unpublished”, perform the single relevant navigation or action, and record the visible result, resulting URL, HTTP status where applicable, and browser console/network errors.</t>
  </si>
  <si>
    <t>Asset packs in “approved but unpublished” is absent from public listings and direct public lookup returns an unavailable or not-found state without private fields.</t>
  </si>
  <si>
    <t>Asset packs - approved but unpublished</t>
  </si>
  <si>
    <t>GO-MAN-172</t>
  </si>
  <si>
    <t>Using non-production data, open Public listing/detail routes for resources, asset packs, video bundles, learning items, and mentors. Prepare the state named “Asset packs - published”, perform the single relevant navigation or action, and record the visible result, resulting URL, HTTP status where applicable, and browser console/network errors.</t>
  </si>
  <si>
    <t>Asset packs in “published” appears in its public listing/detail response with sanitized metadata only.</t>
  </si>
  <si>
    <t>Asset packs - published</t>
  </si>
  <si>
    <t>GO-MAN-173</t>
  </si>
  <si>
    <t>Using non-production data, open Public listing/detail routes for resources, asset packs, video bundles, learning items, and mentors. Prepare the state named “Asset packs - legacy”, perform the single relevant navigation or action, and record the visible result, resulting URL, HTTP status where applicable, and browser console/network errors.</t>
  </si>
  <si>
    <t>Asset packs in “legacy” appears in its public listing/detail response with sanitized metadata only.</t>
  </si>
  <si>
    <t>Asset packs - legacy</t>
  </si>
  <si>
    <t>GO-MAN-174</t>
  </si>
  <si>
    <t>Using non-production data, open Public listing/detail routes for resources, asset packs, video bundles, learning items, and mentors. Prepare the state named “Asset packs - archived”, perform the single relevant navigation or action, and record the visible result, resulting URL, HTTP status where applicable, and browser console/network errors.</t>
  </si>
  <si>
    <t>Asset packs in “archived” is absent from public listings and direct public lookup returns an unavailable or not-found state without private fields.</t>
  </si>
  <si>
    <t>Asset packs - archived</t>
  </si>
  <si>
    <t>GO-MAN-175</t>
  </si>
  <si>
    <t>Using non-production data, open Public listing/detail routes for resources, asset packs, video bundles, learning items, and mentors. Prepare the state named “Asset packs - removed”, perform the single relevant navigation or action, and record the visible result, resulting URL, HTTP status where applicable, and browser console/network errors.</t>
  </si>
  <si>
    <t>Asset packs in “removed” is absent from public listings and direct public lookup returns an unavailable or not-found state without private fields.</t>
  </si>
  <si>
    <t>Asset packs - removed</t>
  </si>
  <si>
    <t>GO-MAN-176</t>
  </si>
  <si>
    <t>Using non-production data, open Public listing/detail routes for resources, asset packs, video bundles, learning items, and mentors. Prepare the state named “Video bundles - draft”, perform the single relevant navigation or action, and record the visible result, resulting URL, HTTP status where applicable, and browser console/network errors.</t>
  </si>
  <si>
    <t>Video bundles in “draft” is absent from public listings and direct public lookup returns an unavailable or not-found state without private fields.</t>
  </si>
  <si>
    <t>Video bundles - draft</t>
  </si>
  <si>
    <t>GO-MAN-177</t>
  </si>
  <si>
    <t>Using non-production data, open Public listing/detail routes for resources, asset packs, video bundles, learning items, and mentors. Prepare the state named “Video bundles - published”, perform the single relevant navigation or action, and record the visible result, resulting URL, HTTP status where applicable, and browser console/network errors.</t>
  </si>
  <si>
    <t>Video bundles in “published” appears in its public listing/detail response with sanitized metadata only.</t>
  </si>
  <si>
    <t>Video bundles - published</t>
  </si>
  <si>
    <t>GO-MAN-178</t>
  </si>
  <si>
    <t>Using non-production data, open Public listing/detail routes for resources, asset packs, video bundles, learning items, and mentors. Prepare the state named “Video bundles - archived”, perform the single relevant navigation or action, and record the visible result, resulting URL, HTTP status where applicable, and browser console/network errors.</t>
  </si>
  <si>
    <t>Video bundles in “archived” is absent from public listings and direct public lookup returns an unavailable or not-found state without private fields.</t>
  </si>
  <si>
    <t>Video bundles - archived</t>
  </si>
  <si>
    <t>GO-MAN-179</t>
  </si>
  <si>
    <t>Using non-production data, open Public listing/detail routes for resources, asset packs, video bundles, learning items, and mentors. Prepare the state named “Video bundles - unavailable”, perform the single relevant navigation or action, and record the visible result, resulting URL, HTTP status where applicable, and browser console/network errors.</t>
  </si>
  <si>
    <t>Video bundles in “unavailable” is absent from public listings and direct public lookup returns an unavailable or not-found state without private fields.</t>
  </si>
  <si>
    <t>Video bundles - unavailable</t>
  </si>
  <si>
    <t>GO-MAN-180</t>
  </si>
  <si>
    <t>Using non-production data, open Public listing/detail routes for resources, asset packs, video bundles, learning items, and mentors. Prepare the state named “Courses and workshops - draft”, perform the single relevant navigation or action, and record the visible result, resulting URL, HTTP status where applicable, and browser console/network errors.</t>
  </si>
  <si>
    <t>Courses and workshops in “draft” is absent from public listings and direct public lookup returns an unavailable or not-found state without private fields.</t>
  </si>
  <si>
    <t>Courses and workshops - draft</t>
  </si>
  <si>
    <t>GO-MAN-181</t>
  </si>
  <si>
    <t>Using non-production data, open Public listing/detail routes for resources, asset packs, video bundles, learning items, and mentors. Prepare the state named “Courses and workshops - enrollment open”, perform the single relevant navigation or action, and record the visible result, resulting URL, HTTP status where applicable, and browser console/network errors.</t>
  </si>
  <si>
    <t>Courses and workshops in “enrollment open” appears in its public listing/detail response with sanitized metadata only.</t>
  </si>
  <si>
    <t>Courses and workshops - enrollment open</t>
  </si>
  <si>
    <t>GO-MAN-182</t>
  </si>
  <si>
    <t>Using non-production data, open Public listing/detail routes for resources, asset packs, video bundles, learning items, and mentors. Prepare the state named “Courses and workshops - enrollment closed”, perform the single relevant navigation or action, and record the visible result, resulting URL, HTTP status where applicable, and browser console/network errors.</t>
  </si>
  <si>
    <t>Courses and workshops in “enrollment closed” appears in its public listing/detail response with sanitized metadata only.</t>
  </si>
  <si>
    <t>Courses and workshops - enrollment closed</t>
  </si>
  <si>
    <t>GO-MAN-183</t>
  </si>
  <si>
    <t>Using non-production data, open Public listing/detail routes for resources, asset packs, video bundles, learning items, and mentors. Prepare the state named “Courses and workshops - full”, perform the single relevant navigation or action, and record the visible result, resulting URL, HTTP status where applicable, and browser console/network errors.</t>
  </si>
  <si>
    <t>Courses and workshops in “full” appears in its public listing/detail response with sanitized metadata only.</t>
  </si>
  <si>
    <t>Courses and workshops - full</t>
  </si>
  <si>
    <t>GO-MAN-184</t>
  </si>
  <si>
    <t>Using non-production data, open Public listing/detail routes for resources, asset packs, video bundles, learning items, and mentors. Prepare the state named “Courses and workshops - waitlist available”, perform the single relevant navigation or action, and record the visible result, resulting URL, HTTP status where applicable, and browser console/network errors.</t>
  </si>
  <si>
    <t>Courses and workshops in “waitlist available” appears in its public listing/detail response with sanitized metadata only.</t>
  </si>
  <si>
    <t>Courses and workshops - waitlist available</t>
  </si>
  <si>
    <t>GO-MAN-185</t>
  </si>
  <si>
    <t>Using non-production data, open Public listing/detail routes for resources, asset packs, video bundles, learning items, and mentors. Prepare the state named “Courses and workshops - in progress”, perform the single relevant navigation or action, and record the visible result, resulting URL, HTTP status where applicable, and browser console/network errors.</t>
  </si>
  <si>
    <t>Courses and workshops in “in progress” appears in its public listing/detail response with sanitized metadata only.</t>
  </si>
  <si>
    <t>Courses and workshops - in progress</t>
  </si>
  <si>
    <t>GO-MAN-186</t>
  </si>
  <si>
    <t>Using non-production data, open Public listing/detail routes for resources, asset packs, video bundles, learning items, and mentors. Prepare the state named “Courses and workshops - completed”, perform the single relevant navigation or action, and record the visible result, resulting URL, HTTP status where applicable, and browser console/network errors.</t>
  </si>
  <si>
    <t>Courses and workshops in “completed” appears in its public listing/detail response with sanitized metadata only.</t>
  </si>
  <si>
    <t>Courses and workshops - completed</t>
  </si>
  <si>
    <t>GO-MAN-187</t>
  </si>
  <si>
    <t>Using non-production data, open Public listing/detail routes for resources, asset packs, video bundles, learning items, and mentors. Prepare the state named “Courses and workshops - canceled”, perform the single relevant navigation or action, and record the visible result, resulting URL, HTTP status where applicable, and browser console/network errors.</t>
  </si>
  <si>
    <t>Courses and workshops in “canceled” appears in its public listing/detail response with sanitized metadata only.</t>
  </si>
  <si>
    <t>Courses and workshops - canceled</t>
  </si>
  <si>
    <t>GO-MAN-188</t>
  </si>
  <si>
    <t>Using non-production data, open Public listing/detail routes for resources, asset packs, video bundles, learning items, and mentors. Prepare the state named “Courses and workshops - archived”, perform the single relevant navigation or action, and record the visible result, resulting URL, HTTP status where applicable, and browser console/network errors.</t>
  </si>
  <si>
    <t>Courses and workshops in “archived” is absent from public listings and direct public lookup returns an unavailable or not-found state without private fields.</t>
  </si>
  <si>
    <t>Courses and workshops - archived</t>
  </si>
  <si>
    <t>GO-MAN-189</t>
  </si>
  <si>
    <t>Using non-production data, open Public listing/detail routes for resources, asset packs, video bundles, learning items, and mentors. Prepare the state named “Mentors - applicant”, perform the single relevant navigation or action, and record the visible result, resulting URL, HTTP status where applicable, and browser console/network errors.</t>
  </si>
  <si>
    <t>Mentors in “applicant” is absent from public listings and direct public lookup returns an unavailable or not-found state without private fields.</t>
  </si>
  <si>
    <t>Mentors - applicant</t>
  </si>
  <si>
    <t>GO-MAN-190</t>
  </si>
  <si>
    <t>Using non-production data, open Public listing/detail routes for resources, asset packs, video bundles, learning items, and mentors. Prepare the state named “Mentors - approved and public”, perform the single relevant navigation or action, and record the visible result, resulting URL, HTTP status where applicable, and browser console/network errors.</t>
  </si>
  <si>
    <t>Mentors in “approved and public” appears in its public listing/detail response with sanitized metadata only.</t>
  </si>
  <si>
    <t>Mentors - approved and public</t>
  </si>
  <si>
    <t>GO-MAN-191</t>
  </si>
  <si>
    <t>Using non-production data, open Public listing/detail routes for resources, asset packs, video bundles, learning items, and mentors. Prepare the state named “Mentors - approved but public profile disabled”, perform the single relevant navigation or action, and record the visible result, resulting URL, HTTP status where applicable, and browser console/network errors.</t>
  </si>
  <si>
    <t>Mentors in “approved but public profile disabled” is absent from public listings and direct public lookup returns an unavailable or not-found state without private fields.</t>
  </si>
  <si>
    <t>Mentors - approved but public profile disabled</t>
  </si>
  <si>
    <t>GO-MAN-192</t>
  </si>
  <si>
    <t>Using non-production data, open Public listing/detail routes for resources, asset packs, video bundles, learning items, and mentors. Prepare the state named “Mentors - temporarily unavailable”, perform the single relevant navigation or action, and record the visible result, resulting URL, HTTP status where applicable, and browser console/network errors.</t>
  </si>
  <si>
    <t>Mentors in “temporarily unavailable” is absent from public listings and direct public lookup returns an unavailable or not-found state without private fields.</t>
  </si>
  <si>
    <t>Mentors - temporarily unavailable</t>
  </si>
  <si>
    <t>GO-MAN-193</t>
  </si>
  <si>
    <t>Using non-production data, open Public listing/detail routes for resources, asset packs, video bundles, learning items, and mentors. Prepare the state named “Mentors - suspended”, perform the single relevant navigation or action, and record the visible result, resulting URL, HTTP status where applicable, and browser console/network errors.</t>
  </si>
  <si>
    <t>Mentors in “suspended” is absent from public listings and direct public lookup returns an unavailable or not-found state without private fields.</t>
  </si>
  <si>
    <t>Mentors - suspended</t>
  </si>
  <si>
    <t>GO-MAN-194</t>
  </si>
  <si>
    <t>Using non-production data, open Public listing/detail routes for resources, asset packs, video bundles, learning items, and mentors. Prepare the state named “Mentors - inactive”, perform the single relevant navigation or action, and record the visible result, resulting URL, HTTP status where applicable, and browser console/network errors.</t>
  </si>
  <si>
    <t>Mentors in “inactive” is absent from public listings and direct public lookup returns an unavailable or not-found state without private fields.</t>
  </si>
  <si>
    <t>Mentors - inactive</t>
  </si>
  <si>
    <t>GO-MAN-195</t>
  </si>
  <si>
    <t>Using non-production data, open Public listing/detail routes for resources, asset packs, video bundles, learning items, and mentors. Prepare the state named “Mentors - rejected”, perform the single relevant navigation or action, and record the visible result, resulting URL, HTTP status where applicable, and browser console/network errors.</t>
  </si>
  <si>
    <t>Mentors in “rejected” is absent from public listings and direct public lookup returns an unavailable or not-found state without private fields.</t>
  </si>
  <si>
    <t>Mentors - rejected</t>
  </si>
  <si>
    <t>GO-MAN-196</t>
  </si>
  <si>
    <t>Learning</t>
  </si>
  <si>
    <t>Using non-production data, open /education, /education/[slug], participant management, and enrollment APIs. Prepare the state named “Public course listing”, perform the single relevant navigation or action, and record the visible result, resulting URL, HTTP status where applicable, and browser console/network errors.</t>
  </si>
  <si>
    <t>The “Public course listing” scenario reaches the named state once, shows the expected controls and confirmation, updates only the authorized record, and creates no duplicate or unrelated state.</t>
  </si>
  <si>
    <t>Public course listing</t>
  </si>
  <si>
    <t>Visitor, learner, instructor, or administrator</t>
  </si>
  <si>
    <t>Synthetic courses cover free, Community, invitation, approval, capacity, waitlist, canceled, and completed states. Use synthetic records and do not change production data.</t>
  </si>
  <si>
    <t>GO-MAN-197</t>
  </si>
  <si>
    <t>Using non-production data, open /education, /education/[slug], participant management, and enrollment APIs. Prepare the state named “Course detail page”, perform the single relevant navigation or action, and record the visible result, resulting URL, HTTP status where applicable, and browser console/network errors.</t>
  </si>
  <si>
    <t>The “Course detail page” scenario reaches the named state once, shows the expected controls and confirmation, updates only the authorized record, and creates no duplicate or unrelated state.</t>
  </si>
  <si>
    <t>Course detail page</t>
  </si>
  <si>
    <t>GO-MAN-198</t>
  </si>
  <si>
    <t>Using non-production data, open /education, /education/[slug], participant management, and enrollment APIs. Prepare the state named “Course visual layout”, perform the single relevant navigation or action, and record the visible result, resulting URL, HTTP status where applicable, and browser console/network errors.</t>
  </si>
  <si>
    <t>The “Course visual layout” scenario reaches the named state once, shows the expected controls and confirmation, updates only the authorized record, and creates no duplicate or unrelated state.</t>
  </si>
  <si>
    <t>Course visual layout</t>
  </si>
  <si>
    <t>GO-MAN-199</t>
  </si>
  <si>
    <t>Using non-production data, open /education, /education/[slug], participant management, and enrollment APIs. Prepare the state named “Enrollment-open state”, perform the single relevant navigation or action, and record the visible result, resulting URL, HTTP status where applicable, and browser console/network errors.</t>
  </si>
  <si>
    <t>The “Enrollment-open state” scenario reaches the named state once, shows the expected controls and confirmation, updates only the authorized record, and creates no duplicate or unrelated state.</t>
  </si>
  <si>
    <t>Enrollment-open state</t>
  </si>
  <si>
    <t>GO-MAN-200</t>
  </si>
  <si>
    <t>Using non-production data, open /education, /education/[slug], participant management, and enrollment APIs. Prepare the state named “Enrollment-closed state”, perform the single relevant navigation or action, and record the visible result, resulting URL, HTTP status where applicable, and browser console/network errors.</t>
  </si>
  <si>
    <t>The “Enrollment-closed state” scenario reaches the named state once, shows the expected controls and confirmation, updates only the authorized record, and creates no duplicate or unrelated state.</t>
  </si>
  <si>
    <t>Enrollment-closed state</t>
  </si>
  <si>
    <t>GO-MAN-201</t>
  </si>
  <si>
    <t>Using non-production data, open /education, /education/[slug], participant management, and enrollment APIs. Prepare the state named “Full state”, perform the single relevant navigation or action, and record the visible result, resulting URL, HTTP status where applicable, and browser console/network errors.</t>
  </si>
  <si>
    <t>The “Full state” scenario reaches the named state once, shows the expected controls and confirmation, updates only the authorized record, and creates no duplicate or unrelated state.</t>
  </si>
  <si>
    <t>Full state</t>
  </si>
  <si>
    <t>GO-MAN-202</t>
  </si>
  <si>
    <t>Using non-production data, open /education, /education/[slug], participant management, and enrollment APIs. Prepare the state named “Waitlist state”, perform the single relevant navigation or action, and record the visible result, resulting URL, HTTP status where applicable, and browser console/network errors.</t>
  </si>
  <si>
    <t>The “Waitlist state” scenario reaches the named state once, shows the expected controls and confirmation, updates only the authorized record, and creates no duplicate or unrelated state.</t>
  </si>
  <si>
    <t>Waitlist state</t>
  </si>
  <si>
    <t>GO-MAN-203</t>
  </si>
  <si>
    <t>Using non-production data, open /education, /education/[slug], participant management, and enrollment APIs. Prepare the state named “Canceled state”, perform the single relevant navigation or action, and record the visible result, resulting URL, HTTP status where applicable, and browser console/network errors.</t>
  </si>
  <si>
    <t>The “Canceled state” scenario reaches the named state once, shows the expected controls and confirmation, updates only the authorized record, and creates no duplicate or unrelated state.</t>
  </si>
  <si>
    <t>Canceled state</t>
  </si>
  <si>
    <t>GO-MAN-204</t>
  </si>
  <si>
    <t>Using non-production data, open /education, /education/[slug], participant management, and enrollment APIs. Prepare the state named “Completed state”, perform the single relevant navigation or action, and record the visible result, resulting URL, HTTP status where applicable, and browser console/network errors.</t>
  </si>
  <si>
    <t>The “Completed state” scenario reaches the named state once, shows the expected controls and confirmation, updates only the authorized record, and creates no duplicate or unrelated state.</t>
  </si>
  <si>
    <t>Completed state</t>
  </si>
  <si>
    <t>GO-MAN-205</t>
  </si>
  <si>
    <t>Using non-production data, open /education, /education/[slug], participant management, and enrollment APIs. Prepare the state named “Course prerequisites”, perform the single relevant navigation or action, and record the visible result, resulting URL, HTTP status where applicable, and browser console/network errors.</t>
  </si>
  <si>
    <t>The “Course prerequisites” scenario reaches the named state once, shows the expected controls and confirmation, updates only the authorized record, and creates no duplicate or unrelated state.</t>
  </si>
  <si>
    <t>Course prerequisites</t>
  </si>
  <si>
    <t>GO-MAN-206</t>
  </si>
  <si>
    <t>Using non-production data, open /education, /education/[slug], participant management, and enrollment APIs. Prepare the state named “Capacity display”, perform the single relevant navigation or action, and record the visible result, resulting URL, HTTP status where applicable, and browser console/network errors.</t>
  </si>
  <si>
    <t>The “Capacity display” scenario reaches the named state once, shows the expected controls and confirmation, updates only the authorized record, and creates no duplicate or unrelated state.</t>
  </si>
  <si>
    <t>Capacity display</t>
  </si>
  <si>
    <t>GO-MAN-207</t>
  </si>
  <si>
    <t>Using non-production data, open /education, /education/[slug], participant management, and enrollment APIs. Prepare the state named “Remaining-place display”, perform the single relevant navigation or action, and record the visible result, resulting URL, HTTP status where applicable, and browser console/network errors.</t>
  </si>
  <si>
    <t>The “Remaining-place display” scenario reaches the named state once, shows the expected controls and confirmation, updates only the authorized record, and creates no duplicate or unrelated state.</t>
  </si>
  <si>
    <t>Remaining-place display</t>
  </si>
  <si>
    <t>GO-MAN-208</t>
  </si>
  <si>
    <t>Using non-production data, open /education, /education/[slug], participant management, and enrollment APIs. Prepare the state named “Enrollment opening and closing dates”, perform the single relevant navigation or action, and record the visible result, resulting URL, HTTP status where applicable, and browser console/network errors.</t>
  </si>
  <si>
    <t>The “Enrollment opening and closing dates” scenario reaches the named state once, shows the expected controls and confirmation, updates only the authorized record, and creates no duplicate or unrelated state.</t>
  </si>
  <si>
    <t>Enrollment opening and closing dates</t>
  </si>
  <si>
    <t>GO-MAN-209</t>
  </si>
  <si>
    <t>Using non-production data, open /education, /education/[slug], participant management, and enrollment APIs. Prepare the state named “Time-zone presentation”, perform the single relevant navigation or action, and record the visible result, resulting URL, HTTP status where applicable, and browser console/network errors.</t>
  </si>
  <si>
    <t>The “Time-zone presentation” scenario reaches the named state once, shows the expected controls and confirmation, updates only the authorized record, and creates no duplicate or unrelated state.</t>
  </si>
  <si>
    <t>Time-zone presentation</t>
  </si>
  <si>
    <t>GO-MAN-210</t>
  </si>
  <si>
    <t>Using non-production data, open /education, /education/[slug], participant management, and enrollment APIs. Prepare the state named “Desktop enrollment form”, perform the single relevant navigation or action, and record the visible result, resulting URL, HTTP status where applicable, and browser console/network errors.</t>
  </si>
  <si>
    <t>The “Desktop enrollment form” scenario reaches the named state once, shows the expected controls and confirmation, updates only the authorized record, and creates no duplicate or unrelated state.</t>
  </si>
  <si>
    <t>Desktop enrollment form</t>
  </si>
  <si>
    <t>GO-MAN-211</t>
  </si>
  <si>
    <t>Using non-production data, open /education, /education/[slug], participant management, and enrollment APIs. Prepare the state named “Mobile enrollment form”, perform the single relevant navigation or action, and record the visible result, resulting URL, HTTP status where applicable, and browser console/network errors.</t>
  </si>
  <si>
    <t>At “Mobile enrollment form”, content remains readable with no clipping or horizontal overflow; focus, labels, status meaning, touch targets, and motion behavior remain perceivable and operable.</t>
  </si>
  <si>
    <t>Mobile enrollment form</t>
  </si>
  <si>
    <t>GO-MAN-212</t>
  </si>
  <si>
    <t>Using non-production data, open /education, /education/[slug], participant management, and enrollment APIs. Prepare the state named “Enrollment keyboard navigation”, perform the single relevant navigation or action, and record the visible result, resulting URL, HTTP status where applicable, and browser console/network errors.</t>
  </si>
  <si>
    <t>At “Enrollment keyboard navigation”, content remains readable with no clipping or horizontal overflow; focus, labels, status meaning, touch targets, and motion behavior remain perceivable and operable.</t>
  </si>
  <si>
    <t>Enrollment keyboard navigation</t>
  </si>
  <si>
    <t>GO-MAN-213</t>
  </si>
  <si>
    <t>Using non-production data, open /education, /education/[slug], participant management, and enrollment APIs. Prepare the state named “Enrollment validation”, perform the single relevant navigation or action, and record the visible result, resulting URL, HTTP status where applicable, and browser console/network errors.</t>
  </si>
  <si>
    <t>The “Enrollment validation” scenario reaches the named state once, shows the expected controls and confirmation, updates only the authorized record, and creates no duplicate or unrelated state.</t>
  </si>
  <si>
    <t>Enrollment validation</t>
  </si>
  <si>
    <t>GO-MAN-214</t>
  </si>
  <si>
    <t>Using non-production data, open /education, /education/[slug], participant management, and enrollment APIs. Prepare the state named “Enrollment loading state”, perform the single relevant navigation or action, and record the visible result, resulting URL, HTTP status where applicable, and browser console/network errors.</t>
  </si>
  <si>
    <t>The “Enrollment loading state” state displays progress, prevents duplicate submission, and resolves to success or a visible error.</t>
  </si>
  <si>
    <t>Enrollment loading state</t>
  </si>
  <si>
    <t>GO-MAN-215</t>
  </si>
  <si>
    <t>Using non-production data, open /education, /education/[slug], participant management, and enrollment APIs. Prepare the state named “Enrollment success state”, perform the single relevant navigation or action, and record the visible result, resulting URL, HTTP status where applicable, and browser console/network errors.</t>
  </si>
  <si>
    <t>The “Enrollment success state” scenario reaches the named state once, shows the expected controls and confirmation, updates only the authorized record, and creates no duplicate or unrelated state.</t>
  </si>
  <si>
    <t>Enrollment success state</t>
  </si>
  <si>
    <t>GO-MAN-216</t>
  </si>
  <si>
    <t>Using non-production data, open /education, /education/[slug], participant management, and enrollment APIs. Prepare the state named “Enrollment error state”, perform the single relevant navigation or action, and record the visible result, resulting URL, HTTP status where applicable, and browser console/network errors.</t>
  </si>
  <si>
    <t>The “Enrollment error state” state presents an actionable, non-sensitive error associated with the initiating control.</t>
  </si>
  <si>
    <t>Enrollment error state</t>
  </si>
  <si>
    <t>GO-MAN-217</t>
  </si>
  <si>
    <t>Using non-production data, open /education, /education/[slug], participant management, and enrollment APIs. Prepare the state named “Automatic signed-in enrollment”, perform the single relevant navigation or action, and record the visible result, resulting URL, HTTP status where applicable, and browser console/network errors.</t>
  </si>
  <si>
    <t>The “Automatic signed-in enrollment” scenario reaches the named state once, shows the expected controls and confirmation, updates only the authorized record, and creates no duplicate or unrelated state.</t>
  </si>
  <si>
    <t>Automatic signed-in enrollment</t>
  </si>
  <si>
    <t>GO-MAN-218</t>
  </si>
  <si>
    <t>Using non-production data, open /education, /education/[slug], participant management, and enrollment APIs. Prepare the state named “Approval-required enrollment”, perform the single relevant navigation or action, and record the visible result, resulting URL, HTTP status where applicable, and browser console/network errors.</t>
  </si>
  <si>
    <t>The “Approval-required enrollment” scenario reaches the named state once, shows the expected controls and confirmation, updates only the authorized record, and creates no duplicate or unrelated state.</t>
  </si>
  <si>
    <t>Approval-required enrollment</t>
  </si>
  <si>
    <t>GO-MAN-219</t>
  </si>
  <si>
    <t>Using non-production data, open /education, /education/[slug], participant management, and enrollment APIs. Prepare the state named “Free course enrollment”, perform the single relevant navigation or action, and record the visible result, resulting URL, HTTP status where applicable, and browser console/network errors.</t>
  </si>
  <si>
    <t>The “Free course enrollment” scenario reaches the named state once, shows the expected controls and confirmation, updates only the authorized record, and creates no duplicate or unrelated state.</t>
  </si>
  <si>
    <t>Free course enrollment</t>
  </si>
  <si>
    <t>GO-MAN-220</t>
  </si>
  <si>
    <t>Using non-production data, open /education, /education/[slug], participant management, and enrollment APIs. Prepare the state named “Community-only course access”, perform the single relevant navigation or action, and record the visible result, resulting URL, HTTP status where applicable, and browser console/network errors.</t>
  </si>
  <si>
    <t>The “Community-only course access” scenario reaches the named state once, shows the expected controls and confirmation, updates only the authorized record, and creates no duplicate or unrelated state.</t>
  </si>
  <si>
    <t>Community-only course access</t>
  </si>
  <si>
    <t>GO-MAN-221</t>
  </si>
  <si>
    <t>Using non-production data, open /education, /education/[slug], participant management, and enrollment APIs. Prepare the state named “Business access to Community course”, perform the single relevant navigation or action, and record the visible result, resulting URL, HTTP status where applicable, and browser console/network errors.</t>
  </si>
  <si>
    <t>The “Business access to Community course” scenario reaches the named state once, shows the expected controls and confirmation, updates only the authorized record, and creates no duplicate or unrelated state.</t>
  </si>
  <si>
    <t>Business access to Community course</t>
  </si>
  <si>
    <t>GO-MAN-222</t>
  </si>
  <si>
    <t>Using non-production data, open /education, /education/[slug], participant management, and enrollment APIs. Prepare the state named “Invitation-only course”, perform the single relevant navigation or action, and record the visible result, resulting URL, HTTP status where applicable, and browser console/network errors.</t>
  </si>
  <si>
    <t>The “Invitation-only course” scenario reaches the named state once, shows the expected controls and confirmation, updates only the authorized record, and creates no duplicate or unrelated state.</t>
  </si>
  <si>
    <t>Invitation-only course</t>
  </si>
  <si>
    <t>GO-MAN-223</t>
  </si>
  <si>
    <t>Using non-production data, open /education, /education/[slug], participant management, and enrollment APIs. Prepare the state named “Administrator-approved course”, perform the single relevant navigation or action, and record the visible result, resulting URL, HTTP status where applicable, and browser console/network errors.</t>
  </si>
  <si>
    <t>The “Administrator-approved course” scenario reaches the named state once, shows the expected controls and confirmation, updates only the authorized record, and creates no duplicate or unrelated state.</t>
  </si>
  <si>
    <t>Administrator-approved course</t>
  </si>
  <si>
    <t>GO-MAN-224</t>
  </si>
  <si>
    <t>Using non-production data, open /education, /education/[slug], participant management, and enrollment APIs. Prepare the state named “Duplicate enrollment prevention”, perform the single relevant navigation or action, and record the visible result, resulting URL, HTTP status where applicable, and browser console/network errors.</t>
  </si>
  <si>
    <t>The “Duplicate enrollment prevention” scenario reaches the named state once, shows the expected controls and confirmation, updates only the authorized record, and creates no duplicate or unrelated state.</t>
  </si>
  <si>
    <t>Duplicate enrollment prevention</t>
  </si>
  <si>
    <t>GO-MAN-225</t>
  </si>
  <si>
    <t>Using non-production data, open /education, /education/[slug], participant management, and enrollment APIs. Prepare the state named “Enrollment dashboard entry”, perform the single relevant navigation or action, and record the visible result, resulting URL, HTTP status where applicable, and browser console/network errors.</t>
  </si>
  <si>
    <t>The “Enrollment dashboard entry” scenario reaches the named state once, shows the expected controls and confirmation, updates only the authorized record, and creates no duplicate or unrelated state.</t>
  </si>
  <si>
    <t>Enrollment dashboard entry</t>
  </si>
  <si>
    <t>GO-MAN-226</t>
  </si>
  <si>
    <t>Using non-production data, open /education, /education/[slug], participant management, and enrollment APIs. Prepare the state named “Confirmation email”, perform the single relevant navigation or action, and record the visible result, resulting URL, HTTP status where applicable, and browser console/network errors.</t>
  </si>
  <si>
    <t>Exactly the intended recipient receives the “Confirmation email” event; no participant email address is exposed and platform state persists if email delivery fails.</t>
  </si>
  <si>
    <t>Confirmation email</t>
  </si>
  <si>
    <t>GO-MAN-227</t>
  </si>
  <si>
    <t>Using non-production data, open /education, /education/[slug], participant management, and enrollment APIs. Prepare the state named “Confirmation notification”, perform the single relevant navigation or action, and record the visible result, resulting URL, HTTP status where applicable, and browser console/network errors.</t>
  </si>
  <si>
    <t>Exactly the intended recipient receives the “Confirmation notification” event; no participant email address is exposed and platform state persists if email delivery fails.</t>
  </si>
  <si>
    <t>Confirmation notification</t>
  </si>
  <si>
    <t>GO-MAN-228</t>
  </si>
  <si>
    <t>Using non-production data, open /education, /education/[slug], participant management, and enrollment APIs. Prepare the state named “Signed-out Enroll action”, perform the single relevant navigation or action, and record the visible result, resulting URL, HTTP status where applicable, and browser console/network errors.</t>
  </si>
  <si>
    <t>The “Signed-out Enroll action” scenario reaches the named state once, shows the expected controls and confirmation, updates only the authorized record, and creates no duplicate or unrelated state.</t>
  </si>
  <si>
    <t>Signed-out Enroll action</t>
  </si>
  <si>
    <t>GO-MAN-229</t>
  </si>
  <si>
    <t>Using non-production data, open /education, /education/[slug], participant management, and enrollment APIs. Prepare the state named “Sign-in redirect”, perform the single relevant navigation or action, and record the visible result, resulting URL, HTTP status where applicable, and browser console/network errors.</t>
  </si>
  <si>
    <t>The “Sign-in redirect” scenario reaches the named state once, shows the expected controls and confirmation, updates only the authorized record, and creates no duplicate or unrelated state.</t>
  </si>
  <si>
    <t>Sign-in redirect</t>
  </si>
  <si>
    <t>GO-MAN-230</t>
  </si>
  <si>
    <t>Using non-production data, open /education, /education/[slug], participant management, and enrollment APIs. Prepare the state named “Registration redirect”, perform the single relevant navigation or action, and record the visible result, resulting URL, HTTP status where applicable, and browser console/network errors.</t>
  </si>
  <si>
    <t>The “Registration redirect” scenario reaches the named state once, shows the expected controls and confirmation, updates only the authorized record, and creates no duplicate or unrelated state.</t>
  </si>
  <si>
    <t>Registration redirect</t>
  </si>
  <si>
    <t>GO-MAN-231</t>
  </si>
  <si>
    <t>Using non-production data, open /education, /education/[slug], participant management, and enrollment APIs. Prepare the state named “Secure return URL”, perform the single relevant navigation or action, and record the visible result, resulting URL, HTTP status where applicable, and browser console/network errors.</t>
  </si>
  <si>
    <t>The “Secure return URL” scenario reaches the named state once, shows the expected controls and confirmation, updates only the authorized record, and creates no duplicate or unrelated state.</t>
  </si>
  <si>
    <t>Secure return URL</t>
  </si>
  <si>
    <t>GO-MAN-232</t>
  </si>
  <si>
    <t>Using non-production data, open /education, /education/[slug], participant management, and enrollment APIs. Prepare the state named “Return to exact course”, perform the single relevant navigation or action, and record the visible result, resulting URL, HTTP status where applicable, and browser console/network errors.</t>
  </si>
  <si>
    <t>The “Return to exact course” scenario reaches the named state once, shows the expected controls and confirmation, updates only the authorized record, and creates no duplicate or unrelated state.</t>
  </si>
  <si>
    <t>Return to exact course</t>
  </si>
  <si>
    <t>GO-MAN-233</t>
  </si>
  <si>
    <t>Using non-production data, open /education, /education/[slug], participant management, and enrollment APIs. Prepare the state named “Enrollment resumes after sign-in”, perform the single relevant navigation or action, and record the visible result, resulting URL, HTTP status where applicable, and browser console/network errors.</t>
  </si>
  <si>
    <t>The “Enrollment resumes after sign-in” scenario reaches the named state once, shows the expected controls and confirmation, updates only the authorized record, and creates no duplicate or unrelated state.</t>
  </si>
  <si>
    <t>Enrollment resumes after sign-in</t>
  </si>
  <si>
    <t>GO-MAN-234</t>
  </si>
  <si>
    <t>Using non-production data, open /education, /education/[slug], participant management, and enrollment APIs. Prepare the state named “Previously entered course information preserved”, perform the single relevant navigation or action, and record the visible result, resulting URL, HTTP status where applicable, and browser console/network errors.</t>
  </si>
  <si>
    <t>The “Previously entered course information preserved” scenario reaches the named state once, shows the expected controls and confirmation, updates only the authorized record, and creates no duplicate or unrelated state.</t>
  </si>
  <si>
    <t>Previously entered course information preserved</t>
  </si>
  <si>
    <t>GO-MAN-235</t>
  </si>
  <si>
    <t>Using non-production data, open /education, /education/[slug], participant management, and enrollment APIs. Prepare the state named “Malicious external return URL rejected”, perform the single relevant navigation or action, and record the visible result, resulting URL, HTTP status where applicable, and browser console/network errors.</t>
  </si>
  <si>
    <t>The “Malicious external return URL rejected” restriction is enforced in both UI and direct request behavior; the protected action/value is absent and the user receives a clear non-success state.</t>
  </si>
  <si>
    <t>Malicious external return URL rejected</t>
  </si>
  <si>
    <t>GO-MAN-236</t>
  </si>
  <si>
    <t>Using non-production data, open /education, /education/[slug], participant management, and enrollment APIs. Prepare the state named “Final course place”, perform the single relevant navigation or action, and record the visible result, resulting URL, HTTP status where applicable, and browser console/network errors.</t>
  </si>
  <si>
    <t>The “Final course place” scenario reaches the named state once, shows the expected controls and confirmation, updates only the authorized record, and creates no duplicate or unrelated state.</t>
  </si>
  <si>
    <t>Final course place</t>
  </si>
  <si>
    <t>GO-MAN-237</t>
  </si>
  <si>
    <t>Using non-production data, open /education, /education/[slug], participant management, and enrollment APIs. Prepare the state named “Two users attempt final place”, perform the single relevant navigation or action, and record the visible result, resulting URL, HTTP status where applicable, and browser console/network errors.</t>
  </si>
  <si>
    <t>The “Two users attempt final place” scenario reaches the named state once, shows the expected controls and confirmation, updates only the authorized record, and creates no duplicate or unrelated state.</t>
  </si>
  <si>
    <t>Two users attempt final place</t>
  </si>
  <si>
    <t>GO-MAN-238</t>
  </si>
  <si>
    <t>Using non-production data, open /education, /education/[slug], participant management, and enrollment APIs. Prepare the state named “Capacity never negative”, perform the single relevant navigation or action, and record the visible result, resulting URL, HTTP status where applicable, and browser console/network errors.</t>
  </si>
  <si>
    <t>The “Capacity never negative” scenario reaches the named state once, shows the expected controls and confirmation, updates only the authorized record, and creates no duplicate or unrelated state.</t>
  </si>
  <si>
    <t>Capacity never negative</t>
  </si>
  <si>
    <t>GO-MAN-239</t>
  </si>
  <si>
    <t>Using non-production data, open /education, /education/[slug], participant management, and enrollment APIs. Prepare the state named “Waitlist entry”, perform the single relevant navigation or action, and record the visible result, resulting URL, HTTP status where applicable, and browser console/network errors.</t>
  </si>
  <si>
    <t>The “Waitlist entry” scenario reaches the named state once, shows the expected controls and confirmation, updates only the authorized record, and creates no duplicate or unrelated state.</t>
  </si>
  <si>
    <t>Waitlist entry</t>
  </si>
  <si>
    <t>GO-MAN-240</t>
  </si>
  <si>
    <t>Using non-production data, open /education, /education/[slug], participant management, and enrollment APIs. Prepare the state named “Enrollment cancellation”, perform the single relevant navigation or action, and record the visible result, resulting URL, HTTP status where applicable, and browser console/network errors.</t>
  </si>
  <si>
    <t>The “Enrollment cancellation” scenario reaches the named state once, shows the expected controls and confirmation, updates only the authorized record, and creates no duplicate or unrelated state.</t>
  </si>
  <si>
    <t>Enrollment cancellation</t>
  </si>
  <si>
    <t>GO-MAN-241</t>
  </si>
  <si>
    <t>Using non-production data, open /education, /education/[slug], participant management, and enrollment APIs. Prepare the state named “Automatic waitlist promotion”, perform the single relevant navigation or action, and record the visible result, resulting URL, HTTP status where applicable, and browser console/network errors.</t>
  </si>
  <si>
    <t>The “Automatic waitlist promotion” scenario reaches the named state once, shows the expected controls and confirmation, updates only the authorized record, and creates no duplicate or unrelated state.</t>
  </si>
  <si>
    <t>Automatic waitlist promotion</t>
  </si>
  <si>
    <t>GO-MAN-242</t>
  </si>
  <si>
    <t>Using non-production data, open /education, /education/[slug], participant management, and enrollment APIs. Prepare the state named “48-hour confirmation period”, perform the single relevant navigation or action, and record the visible result, resulting URL, HTTP status where applicable, and browser console/network errors.</t>
  </si>
  <si>
    <t>The “48-hour confirmation period” scenario reaches the named state once, shows the expected controls and confirmation, updates only the authorized record, and creates no duplicate or unrelated state.</t>
  </si>
  <si>
    <t>48-hour confirmation period</t>
  </si>
  <si>
    <t>GO-MAN-243</t>
  </si>
  <si>
    <t>Using non-production data, open /education, /education/[slug], participant management, and enrollment APIs. Prepare the state named “Promotion expiry”, perform the single relevant navigation or action, and record the visible result, resulting URL, HTTP status where applicable, and browser console/network errors.</t>
  </si>
  <si>
    <t>The “Promotion expiry” scenario reaches the named state once, shows the expected controls and confirmation, updates only the authorized record, and creates no duplicate or unrelated state.</t>
  </si>
  <si>
    <t>Promotion expiry</t>
  </si>
  <si>
    <t>GO-MAN-244</t>
  </si>
  <si>
    <t>Using non-production data, open /education, /education/[slug], participant management, and enrollment APIs. Prepare the state named “Next-person promotion”, perform the single relevant navigation or action, and record the visible result, resulting URL, HTTP status where applicable, and browser console/network errors.</t>
  </si>
  <si>
    <t>The “Next-person promotion” scenario reaches the named state once, shows the expected controls and confirmation, updates only the authorized record, and creates no duplicate or unrelated state.</t>
  </si>
  <si>
    <t>Next-person promotion</t>
  </si>
  <si>
    <t>GO-MAN-245</t>
  </si>
  <si>
    <t>Using non-production data, open /education, /education/[slug], participant management, and enrollment APIs. Prepare the state named “Promotion notification and email”, perform the single relevant navigation or action, and record the visible result, resulting URL, HTTP status where applicable, and browser console/network errors.</t>
  </si>
  <si>
    <t>Exactly the intended recipient receives the “Promotion notification and email” event; no participant email address is exposed and platform state persists if email delivery fails.</t>
  </si>
  <si>
    <t>Promotion notification and email</t>
  </si>
  <si>
    <t>GO-MAN-246</t>
  </si>
  <si>
    <t>Using non-production data, open /education, /education/[slug], participant management, and enrollment APIs. Prepare the state named “Organizer cancellation”, perform the single relevant navigation or action, and record the visible result, resulting URL, HTTP status where applicable, and browser console/network errors.</t>
  </si>
  <si>
    <t>The “Organizer cancellation” scenario reaches the named state once, shows the expected controls and confirmation, updates only the authorized record, and creates no duplicate or unrelated state.</t>
  </si>
  <si>
    <t>Organizer cancellation</t>
  </si>
  <si>
    <t>GO-MAN-247</t>
  </si>
  <si>
    <t>Using non-production data, open /education, /education/[slug], participant management, and enrollment APIs. Prepare the state named “Administrator participant list”, perform the single relevant navigation or action, and record the visible result, resulting URL, HTTP status where applicable, and browser console/network errors.</t>
  </si>
  <si>
    <t>The “Administrator participant list” scenario reaches the named state once, shows the expected controls and confirmation, updates only the authorized record, and creates no duplicate or unrelated state.</t>
  </si>
  <si>
    <t>Administrator participant list</t>
  </si>
  <si>
    <t>GO-MAN-248</t>
  </si>
  <si>
    <t>Using non-production data, open /education, /education/[slug], participant management, and enrollment APIs. Prepare the state named “Assigned instructor participant list”, perform the single relevant navigation or action, and record the visible result, resulting URL, HTTP status where applicable, and browser console/network errors.</t>
  </si>
  <si>
    <t>The “Assigned instructor participant list” scenario reaches the named state once, shows the expected controls and confirmation, updates only the authorized record, and creates no duplicate or unrelated state.</t>
  </si>
  <si>
    <t>Assigned instructor participant list</t>
  </si>
  <si>
    <t>Assigned Instructor</t>
  </si>
  <si>
    <t>GO-MAN-249</t>
  </si>
  <si>
    <t>Using non-production data, open /education, /education/[slug], participant management, and enrollment APIs. Prepare the state named “Unrelated instructor denied”, perform the single relevant navigation or action, and record the visible result, resulting URL, HTTP status where applicable, and browser console/network errors.</t>
  </si>
  <si>
    <t>The “Unrelated instructor denied” restriction is enforced in both UI and direct request behavior; the protected action/value is absent and the user receives a clear non-success state.</t>
  </si>
  <si>
    <t>Unrelated instructor denied</t>
  </si>
  <si>
    <t>Unrelated Instructor</t>
  </si>
  <si>
    <t>GO-MAN-250</t>
  </si>
  <si>
    <t>Using non-production data, open /education, /education/[slug], participant management, and enrollment APIs. Prepare the state named “Participant filters”, perform the single relevant navigation or action, and record the visible result, resulting URL, HTTP status where applicable, and browser console/network errors.</t>
  </si>
  <si>
    <t>The “Participant filters” scenario reaches the named state once, shows the expected controls and confirmation, updates only the authorized record, and creates no duplicate or unrelated state.</t>
  </si>
  <si>
    <t>Participant filters</t>
  </si>
  <si>
    <t>GO-MAN-251</t>
  </si>
  <si>
    <t>Using non-production data, open /education, /education/[slug], participant management, and enrollment APIs. Prepare the state named “Attendance update”, perform the single relevant navigation or action, and record the visible result, resulting URL, HTTP status where applicable, and browser console/network errors.</t>
  </si>
  <si>
    <t>The “Attendance update” scenario reaches the named state once, shows the expected controls and confirmation, updates only the authorized record, and creates no duplicate or unrelated state.</t>
  </si>
  <si>
    <t>Attendance update</t>
  </si>
  <si>
    <t>GO-MAN-252</t>
  </si>
  <si>
    <t>Using non-production data, open /education, /education/[slug], participant management, and enrollment APIs. Prepare the state named “Did-not-attend state”, perform the single relevant navigation or action, and record the visible result, resulting URL, HTTP status where applicable, and browser console/network errors.</t>
  </si>
  <si>
    <t>The “Did-not-attend state” scenario reaches the named state once, shows the expected controls and confirmation, updates only the authorized record, and creates no duplicate or unrelated state.</t>
  </si>
  <si>
    <t>Did-not-attend state</t>
  </si>
  <si>
    <t>GO-MAN-253</t>
  </si>
  <si>
    <t>Using non-production data, open /education, /education/[slug], participant management, and enrollment APIs. Prepare the state named “Completion update”, perform the single relevant navigation or action, and record the visible result, resulting URL, HTTP status where applicable, and browser console/network errors.</t>
  </si>
  <si>
    <t>The “Completion update” scenario reaches the named state once, shows the expected controls and confirmation, updates only the authorized record, and creates no duplicate or unrelated state.</t>
  </si>
  <si>
    <t>Completion update</t>
  </si>
  <si>
    <t>GO-MAN-254</t>
  </si>
  <si>
    <t>Using non-production data, open /education, /education/[slug], participant management, and enrollment APIs. Prepare the state named “Participant self-cancellation”, perform the single relevant navigation or action, and record the visible result, resulting URL, HTTP status where applicable, and browser console/network errors.</t>
  </si>
  <si>
    <t>The “Participant self-cancellation” scenario reaches the named state once, shows the expected controls and confirmation, updates only the authorized record, and creates no duplicate or unrelated state.</t>
  </si>
  <si>
    <t>Participant self-cancellation</t>
  </si>
  <si>
    <t>GO-MAN-255</t>
  </si>
  <si>
    <t>Using non-production data, open /education, /education/[slug], participant management, and enrollment APIs. Prepare the state named “Cancellation deadline”, perform the single relevant navigation or action, and record the visible result, resulting URL, HTTP status where applicable, and browser console/network errors.</t>
  </si>
  <si>
    <t>The “Cancellation deadline” scenario reaches the named state once, shows the expected controls and confirmation, updates only the authorized record, and creates no duplicate or unrelated state.</t>
  </si>
  <si>
    <t>Cancellation deadline</t>
  </si>
  <si>
    <t>GO-MAN-256</t>
  </si>
  <si>
    <t>Using non-production data, open /education, /education/[slug], participant management, and enrollment APIs. Prepare the state named “Accessibility-information privacy”, perform the single relevant navigation or action, and record the visible result, resulting URL, HTTP status where applicable, and browser console/network errors.</t>
  </si>
  <si>
    <t>The “Accessibility-information privacy” scenario reaches the named state once, shows the expected controls and confirmation, updates only the authorized record, and creates no duplicate or unrelated state.</t>
  </si>
  <si>
    <t>Accessibility-information privacy</t>
  </si>
  <si>
    <t>GO-MAN-257</t>
  </si>
  <si>
    <t>Using non-production data, open /education, /education/[slug], participant management, and enrollment APIs. Prepare the state named “No participant email exposure”, perform the single relevant navigation or action, and record the visible result, resulting URL, HTTP status where applicable, and browser console/network errors.</t>
  </si>
  <si>
    <t>Exactly the intended recipient receives the “No participant email exposure” event; no participant email address is exposed and platform state persists if email delivery fails.</t>
  </si>
  <si>
    <t>No participant email exposure</t>
  </si>
  <si>
    <t>GO-MAN-258</t>
  </si>
  <si>
    <t>Notifications</t>
  </si>
  <si>
    <t>Using non-production data, open /profile notification center and /api/notifications; learning participant announcements. Prepare the state named “Notification center”, perform the single relevant navigation or action, and record the visible result, resulting URL, HTTP status where applicable, and browser console/network errors.</t>
  </si>
  <si>
    <t>Exactly the intended recipient receives the “Notification center” event; no participant email address is exposed and platform state persists if email delivery fails.</t>
  </si>
  <si>
    <t>Notification center</t>
  </si>
  <si>
    <t>Signed-in user, instructor, or administrator</t>
  </si>
  <si>
    <t>Notifications are enabled and synthetic recipients/enrollments exist. Use synthetic records and do not change production data.</t>
  </si>
  <si>
    <t>GO-MAN-259</t>
  </si>
  <si>
    <t>Using non-production data, open /profile notification center and /api/notifications; learning participant announcements. Prepare the state named “Unread count”, perform the single relevant navigation or action, and record the visible result, resulting URL, HTTP status where applicable, and browser console/network errors.</t>
  </si>
  <si>
    <t>The “Unread count” scenario reaches the named state once, shows the expected controls and confirmation, updates only the authorized record, and creates no duplicate or unrelated state.</t>
  </si>
  <si>
    <t>Unread count</t>
  </si>
  <si>
    <t>GO-MAN-260</t>
  </si>
  <si>
    <t>Using non-production data, open /profile notification center and /api/notifications; learning participant announcements. Prepare the state named “Mark one notification as read”, perform the single relevant navigation or action, and record the visible result, resulting URL, HTTP status where applicable, and browser console/network errors.</t>
  </si>
  <si>
    <t>Exactly the intended recipient receives the “Mark one notification as read” event; no participant email address is exposed and platform state persists if email delivery fails.</t>
  </si>
  <si>
    <t>Mark one notification as read</t>
  </si>
  <si>
    <t>GO-MAN-261</t>
  </si>
  <si>
    <t>Using non-production data, open /profile notification center and /api/notifications; learning participant announcements. Prepare the state named “Mark multiple notifications as read where supported”, perform the single relevant navigation or action, and record the visible result, resulting URL, HTTP status where applicable, and browser console/network errors.</t>
  </si>
  <si>
    <t>Exactly the intended recipient receives the “Mark multiple notifications as read where supported” event; no participant email address is exposed and platform state persists if email delivery fails.</t>
  </si>
  <si>
    <t>Mark multiple notifications as read where supported</t>
  </si>
  <si>
    <t>GO-MAN-262</t>
  </si>
  <si>
    <t>Using non-production data, open /profile notification center and /api/notifications; learning participant announcements. Prepare the state named “Notification action links”, perform the single relevant navigation or action, and record the visible result, resulting URL, HTTP status where applicable, and browser console/network errors.</t>
  </si>
  <si>
    <t>Exactly the intended recipient receives the “Notification action links” event; no participant email address is exposed and platform state persists if email delivery fails.</t>
  </si>
  <si>
    <t>Notification action links</t>
  </si>
  <si>
    <t>GO-MAN-263</t>
  </si>
  <si>
    <t>Using non-production data, open /profile notification center and /api/notifications; learning participant announcements. Prepare the state named “Course enrollment notification”, perform the single relevant navigation or action, and record the visible result, resulting URL, HTTP status where applicable, and browser console/network errors.</t>
  </si>
  <si>
    <t>Exactly the intended recipient receives the “Course enrollment notification” event; no participant email address is exposed and platform state persists if email delivery fails.</t>
  </si>
  <si>
    <t>Course enrollment notification</t>
  </si>
  <si>
    <t>GO-MAN-264</t>
  </si>
  <si>
    <t>Using non-production data, open /profile notification center and /api/notifications; learning participant announcements. Prepare the state named “Course update notification”, perform the single relevant navigation or action, and record the visible result, resulting URL, HTTP status where applicable, and browser console/network errors.</t>
  </si>
  <si>
    <t>Exactly the intended recipient receives the “Course update notification” event; no participant email address is exposed and platform state persists if email delivery fails.</t>
  </si>
  <si>
    <t>Course update notification</t>
  </si>
  <si>
    <t>GO-MAN-265</t>
  </si>
  <si>
    <t>Using non-production data, open /profile notification center and /api/notifications; learning participant announcements. Prepare the state named “Waitlist promotion notification”, perform the single relevant navigation or action, and record the visible result, resulting URL, HTTP status where applicable, and browser console/network errors.</t>
  </si>
  <si>
    <t>Exactly the intended recipient receives the “Waitlist promotion notification” event; no participant email address is exposed and platform state persists if email delivery fails.</t>
  </si>
  <si>
    <t>Waitlist promotion notification</t>
  </si>
  <si>
    <t>GO-MAN-266</t>
  </si>
  <si>
    <t>Using non-production data, open /profile notification center and /api/notifications; learning participant announcements. Prepare the state named “Course cancellation notification”, perform the single relevant navigation or action, and record the visible result, resulting URL, HTTP status where applicable, and browser console/network errors.</t>
  </si>
  <si>
    <t>Exactly the intended recipient receives the “Course cancellation notification” event; no participant email address is exposed and platform state persists if email delivery fails.</t>
  </si>
  <si>
    <t>Course cancellation notification</t>
  </si>
  <si>
    <t>GO-MAN-267</t>
  </si>
  <si>
    <t>Using non-production data, open /profile notification center and /api/notifications; learning participant announcements. Prepare the state named “Mentor request notification”, perform the single relevant navigation or action, and record the visible result, resulting URL, HTTP status where applicable, and browser console/network errors.</t>
  </si>
  <si>
    <t>Exactly the intended recipient receives the “Mentor request notification” event; no participant email address is exposed and platform state persists if email delivery fails.</t>
  </si>
  <si>
    <t>Mentor request notification</t>
  </si>
  <si>
    <t>GO-MAN-268</t>
  </si>
  <si>
    <t>Using non-production data, open /profile notification center and /api/notifications; learning participant announcements. Prepare the state named “Mentor response notification”, perform the single relevant navigation or action, and record the visible result, resulting URL, HTTP status where applicable, and browser console/network errors.</t>
  </si>
  <si>
    <t>Exactly the intended recipient receives the “Mentor response notification” event; no participant email address is exposed and platform state persists if email delivery fails.</t>
  </si>
  <si>
    <t>Mentor response notification</t>
  </si>
  <si>
    <t>GO-MAN-269</t>
  </si>
  <si>
    <t>Using non-production data, open /profile notification center and /api/notifications; learning participant announcements. Prepare the state named “Mentorship scheduling notification”, perform the single relevant navigation or action, and record the visible result, resulting URL, HTTP status where applicable, and browser console/network errors.</t>
  </si>
  <si>
    <t>Exactly the intended recipient receives the “Mentorship scheduling notification” event; no participant email address is exposed and platform state persists if email delivery fails.</t>
  </si>
  <si>
    <t>Mentorship scheduling notification</t>
  </si>
  <si>
    <t>GO-MAN-270</t>
  </si>
  <si>
    <t>Using non-production data, open /profile notification center and /api/notifications; learning participant announcements. Prepare the state named “Free training assignment notification”, perform the single relevant navigation or action, and record the visible result, resulting URL, HTTP status where applicable, and browser console/network errors.</t>
  </si>
  <si>
    <t>Exactly the intended recipient receives the “Free training assignment notification” event; no participant email address is exposed and platform state persists if email delivery fails.</t>
  </si>
  <si>
    <t>Free training assignment notification</t>
  </si>
  <si>
    <t>GO-MAN-271</t>
  </si>
  <si>
    <t>Using non-production data, open /profile notification center and /api/notifications; learning participant announcements. Prepare the state named “Notification ownership”, perform the single relevant navigation or action, and record the visible result, resulting URL, HTTP status where applicable, and browser console/network errors.</t>
  </si>
  <si>
    <t>Exactly the intended recipient receives the “Notification ownership” event; no participant email address is exposed and platform state persists if email delivery fails.</t>
  </si>
  <si>
    <t>Notification ownership</t>
  </si>
  <si>
    <t>GO-MAN-272</t>
  </si>
  <si>
    <t>Using non-production data, open /profile notification center and /api/notifications; learning participant announcements. Prepare the state named “User cannot view another user's notifications”, perform the single relevant navigation or action, and record the visible result, resulting URL, HTTP status where applicable, and browser console/network errors.</t>
  </si>
  <si>
    <t>The “User cannot view another user's notifications” restriction is enforced in both UI and direct request behavior; the protected action/value is absent and the user receives a clear non-success state.</t>
  </si>
  <si>
    <t>User cannot view another user's notifications</t>
  </si>
  <si>
    <t>GO-MAN-273</t>
  </si>
  <si>
    <t>Using non-production data, open /profile notification center and /api/notifications; learning participant announcements. Prepare the state named “Failed email retains platform notification”, perform the single relevant navigation or action, and record the visible result, resulting URL, HTTP status where applicable, and browser console/network errors.</t>
  </si>
  <si>
    <t>Exactly the intended recipient receives the “Failed email retains platform notification” event; no participant email address is exposed and platform state persists if email delivery fails.</t>
  </si>
  <si>
    <t>Failed email retains platform notification</t>
  </si>
  <si>
    <t>GO-MAN-274</t>
  </si>
  <si>
    <t>Using non-production data, open /profile notification center and /api/notifications; learning participant announcements. Prepare the state named “Administrator course announcement”, perform the single relevant navigation or action, and record the visible result, resulting URL, HTTP status where applicable, and browser console/network errors.</t>
  </si>
  <si>
    <t>The “Administrator course announcement” scenario reaches the named state once, shows the expected controls and confirmation, updates only the authorized record, and creates no duplicate or unrelated state.</t>
  </si>
  <si>
    <t>Administrator course announcement</t>
  </si>
  <si>
    <t>GO-MAN-275</t>
  </si>
  <si>
    <t>Using non-production data, open /profile notification center and /api/notifications; learning participant announcements. Prepare the state named “Assigned instructor announcement”, perform the single relevant navigation or action, and record the visible result, resulting URL, HTTP status where applicable, and browser console/network errors.</t>
  </si>
  <si>
    <t>The “Assigned instructor announcement” scenario reaches the named state once, shows the expected controls and confirmation, updates only the authorized record, and creates no duplicate or unrelated state.</t>
  </si>
  <si>
    <t>Assigned instructor announcement</t>
  </si>
  <si>
    <t>GO-MAN-276</t>
  </si>
  <si>
    <t>Using non-production data, open /profile notification center and /api/notifications; learning participant announcements. Prepare the state named “Unrelated instructor announcement denied”, perform the single relevant navigation or action, and record the visible result, resulting URL, HTTP status where applicable, and browser console/network errors.</t>
  </si>
  <si>
    <t>The “Unrelated instructor announcement denied” restriction is enforced in both UI and direct request behavior; the protected action/value is absent and the user receives a clear non-success state.</t>
  </si>
  <si>
    <t>Unrelated instructor announcement denied</t>
  </si>
  <si>
    <t>GO-MAN-277</t>
  </si>
  <si>
    <t>Using non-production data, open /profile notification center and /api/notifications; learning participant announcements. Prepare the state named “Confirmed-recipient group”, perform the single relevant navigation or action, and record the visible result, resulting URL, HTTP status where applicable, and browser console/network errors.</t>
  </si>
  <si>
    <t>The “Confirmed-recipient group” scenario reaches the named state once, shows the expected controls and confirmation, updates only the authorized record, and creates no duplicate or unrelated state.</t>
  </si>
  <si>
    <t>Confirmed-recipient group</t>
  </si>
  <si>
    <t>GO-MAN-278</t>
  </si>
  <si>
    <t>Using non-production data, open /profile notification center and /api/notifications; learning participant announcements. Prepare the state named “Waiting-list-recipient group”, perform the single relevant navigation or action, and record the visible result, resulting URL, HTTP status where applicable, and browser console/network errors.</t>
  </si>
  <si>
    <t>The “Waiting-list-recipient group” scenario reaches the named state once, shows the expected controls and confirmation, updates only the authorized record, and creates no duplicate or unrelated state.</t>
  </si>
  <si>
    <t>Waiting-list-recipient group</t>
  </si>
  <si>
    <t>GO-MAN-279</t>
  </si>
  <si>
    <t>Using non-production data, open /profile notification center and /api/notifications; learning participant announcements. Prepare the state named “Selected participants group”, perform the single relevant navigation or action, and record the visible result, resulting URL, HTTP status where applicable, and browser console/network errors.</t>
  </si>
  <si>
    <t>The “Selected participants group” scenario reaches the named state once, shows the expected controls and confirmation, updates only the authorized record, and creates no duplicate or unrelated state.</t>
  </si>
  <si>
    <t>Selected participants group</t>
  </si>
  <si>
    <t>GO-MAN-280</t>
  </si>
  <si>
    <t>Using non-production data, open /profile notification center and /api/notifications; learning participant announcements. Prepare the state named “Attendance group”, perform the single relevant navigation or action, and record the visible result, resulting URL, HTTP status where applicable, and browser console/network errors.</t>
  </si>
  <si>
    <t>The “Attendance group” scenario reaches the named state once, shows the expected controls and confirmation, updates only the authorized record, and creates no duplicate or unrelated state.</t>
  </si>
  <si>
    <t>Attendance group</t>
  </si>
  <si>
    <t>GO-MAN-281</t>
  </si>
  <si>
    <t>Using non-production data, open /profile notification center and /api/notifications; learning participant announcements. Prepare the state named “Completion group”, perform the single relevant navigation or action, and record the visible result, resulting URL, HTTP status where applicable, and browser console/network errors.</t>
  </si>
  <si>
    <t>The “Completion group” scenario reaches the named state once, shows the expected controls and confirmation, updates only the authorized record, and creates no duplicate or unrelated state.</t>
  </si>
  <si>
    <t>Completion group</t>
  </si>
  <si>
    <t>GO-MAN-282</t>
  </si>
  <si>
    <t>Using non-production data, open /profile notification center and /api/notifications; learning participant announcements. Prepare the state named “Canceled users excluded from unrelated announcements”, perform the single relevant navigation or action, and record the visible result, resulting URL, HTTP status where applicable, and browser console/network errors.</t>
  </si>
  <si>
    <t>The “Canceled users excluded from unrelated announcements” restriction is enforced in both UI and direct request behavior; the protected action/value is absent and the user receives a clear non-success state.</t>
  </si>
  <si>
    <t>Canceled users excluded from unrelated announcements</t>
  </si>
  <si>
    <t>GO-MAN-283</t>
  </si>
  <si>
    <t>Using non-production data, open /profile notification center and /api/notifications; learning participant announcements. Prepare the state named “Mobile notification center”, perform the single relevant navigation or action, and record the visible result, resulting URL, HTTP status where applicable, and browser console/network errors.</t>
  </si>
  <si>
    <t>At “Mobile notification center”, content remains readable with no clipping or horizontal overflow; focus, labels, status meaning, touch targets, and motion behavior remain perceivable and operable.</t>
  </si>
  <si>
    <t>Mobile notification center</t>
  </si>
  <si>
    <t>GO-MAN-284</t>
  </si>
  <si>
    <t>Using non-production data, open /profile notification center and /api/notifications; learning participant announcements. Prepare the state named “Notification keyboard usability”, perform the single relevant navigation or action, and record the visible result, resulting URL, HTTP status where applicable, and browser console/network errors.</t>
  </si>
  <si>
    <t>At “Notification keyboard usability”, content remains readable with no clipping or horizontal overflow; focus, labels, status meaning, touch targets, and motion behavior remain perceivable and operable.</t>
  </si>
  <si>
    <t>Notification keyboard usability</t>
  </si>
  <si>
    <t>GO-MAN-285</t>
  </si>
  <si>
    <t>Using non-production data, open /profile notification center and /api/notifications; learning participant announcements. Prepare the state named “Notification screen-reader labels”, perform the single relevant navigation or action, and record the visible result, resulting URL, HTTP status where applicable, and browser console/network errors.</t>
  </si>
  <si>
    <t>At “Notification screen-reader labels”, content remains readable with no clipping or horizontal overflow; focus, labels, status meaning, touch targets, and motion behavior remain perceivable and operable.</t>
  </si>
  <si>
    <t>Notification screen-reader labels</t>
  </si>
  <si>
    <t>#</t>
  </si>
  <si>
    <t>GO-MAN-286</t>
  </si>
  <si>
    <t>Video Bundles</t>
  </si>
  <si>
    <t>Using non-production data, open /video-bundles and /video-bundles/[slug]. Prepare the state named “Bundle listing”, perform the single relevant navigation or action, and record the visible result, resulting URL, HTTP status where applicable, and browser console/network errors.</t>
  </si>
  <si>
    <t>The “Bundle listing” scenario reaches the named state once, shows the expected controls and confirmation, updates only the authorized record, and creates no duplicate or unrelated state.</t>
  </si>
  <si>
    <t>Bundle listing</t>
  </si>
  <si>
    <t>Visitor, member, Business user, or assigned mentor</t>
  </si>
  <si>
    <t>Synthetic bundles cover published, archived, one-link, multi-lesson, assigned, and missing-link states. Use synthetic records and do not change production data.</t>
  </si>
  <si>
    <t>Issues</t>
  </si>
  <si>
    <t>Reproduction and root cause</t>
  </si>
  <si>
    <t>GO-MAN-287</t>
  </si>
  <si>
    <t>Files changed</t>
  </si>
  <si>
    <t>Using non-production data, open /video-bundles and /video-bundles/[slug]. Prepare the state named “Empty bundle state”, perform the single relevant navigation or action, and record the visible result, resulting URL, HTTP status where applicable, and browser console/network errors.</t>
  </si>
  <si>
    <t>Test/evidence</t>
  </si>
  <si>
    <t>The “Empty bundle state” state displays an explicit empty-state message and approved next action without blank or broken layout.</t>
  </si>
  <si>
    <t>Empty bundle state</t>
  </si>
  <si>
    <t>Final status</t>
  </si>
  <si>
    <t>GO-MAN-288</t>
  </si>
  <si>
    <t>Using non-production data, open /video-bundles and /video-bundles/[slug]. Prepare the state named “Bundle detail page”, perform the single relevant navigation or action, and record the visible result, resulting URL, HTTP status where applicable, and browser console/network errors.</t>
  </si>
  <si>
    <t>The “Bundle detail page” scenario reaches the named state once, shows the expected controls and confirmation, updates only the authorized record, and creates no duplicate or unrelated state.</t>
  </si>
  <si>
    <t>Bundle detail page</t>
  </si>
  <si>
    <t>1. Default filter on projects should be all statueses</t>
  </si>
  <si>
    <t>The project status filter already initializes to all appropriate statuses and retains later selection.</t>
  </si>
  <si>
    <t>GO-MAN-289</t>
  </si>
  <si>
    <t>Using non-production data, open /video-bundles and /video-bundles/[slug]. Prepare the state named “Published-only bundle visibility”, perform the single relevant navigation or action, and record the visible result, resulting URL, HTTP status where applicable, and browser console/network errors.</t>
  </si>
  <si>
    <t>The “Published-only bundle visibility” scenario reaches the named state once, shows the expected controls and confirmation, updates only the authorized record, and creates no duplicate or unrelated state.</t>
  </si>
  <si>
    <t>Published-only bundle visibility</t>
  </si>
  <si>
    <t>GO-MAN-290</t>
  </si>
  <si>
    <t>Using non-production data, open /video-bundles and /video-bundles/[slug]. Prepare the state named “Community bundle access”, perform the single relevant navigation or action, and record the visible result, resulting URL, HTTP status where applicable, and browser console/network errors.</t>
  </si>
  <si>
    <t>The “Community bundle access” scenario reaches the named state once, shows the expected controls and confirmation, updates only the authorized record, and creates no duplicate or unrelated state.</t>
  </si>
  <si>
    <t>Community bundle access</t>
  </si>
  <si>
    <t>RETEST</t>
  </si>
  <si>
    <t>None</t>
  </si>
  <si>
    <t>Existing project visibility/filter coverage; local /projects browser load</t>
  </si>
  <si>
    <t>Verified</t>
  </si>
  <si>
    <t>GO-MAN-291</t>
  </si>
  <si>
    <t>Using non-production data, open /video-bundles and /video-bundles/[slug]. Prepare the state named “Business bundle access”, perform the single relevant navigation or action, and record the visible result, resulting URL, HTTP status where applicable, and browser console/network errors.</t>
  </si>
  <si>
    <t>The “Business bundle access” scenario reaches the named state once, shows the expected controls and confirmation, updates only the authorized record, and creates no duplicate or unrelated state.</t>
  </si>
  <si>
    <t>Business bundle access</t>
  </si>
  <si>
    <t>2. Save project doesn't work</t>
  </si>
  <si>
    <t>Create and edit save handlers already expose progress/errors and prevent duplicate submits.</t>
  </si>
  <si>
    <t>Existing projects-route, form, and project-update tests</t>
  </si>
  <si>
    <t>GO-MAN-292</t>
  </si>
  <si>
    <t>Using non-production data, open /video-bundles and /video-bundles/[slug]. Prepare the state named “Free-user locked bundle”, perform the single relevant navigation or action, and record the visible result, resulting URL, HTTP status where applicable, and browser console/network errors.</t>
  </si>
  <si>
    <t>3. Make Budget optionally visible on projects that don't have a budget</t>
  </si>
  <si>
    <t>Optional budget paths already accept absence, remove a previous budget, and hide missing values.</t>
  </si>
  <si>
    <t>The “Free-user locked bundle” scenario reaches the named state once, shows the expected controls and confirmation, updates only the authorized record, and creates no duplicate or unrelated state.</t>
  </si>
  <si>
    <t>Free-user locked bundle</t>
  </si>
  <si>
    <t>Existing project create/update and budget utility tests</t>
  </si>
  <si>
    <t>GO-MAN-293</t>
  </si>
  <si>
    <t xml:space="preserve">4. When user applies to a project, project creator cannot see the aplicant CV </t>
  </si>
  <si>
    <t>Using non-production data, open /video-bundles and /video-bundles/[slug]. Prepare the state named “Signed-out locked bundle”, perform the single relevant navigation or action, and record the visible result, resulting URL, HTTP status where applicable, and browser console/network errors.</t>
  </si>
  <si>
    <t>Authorized project owners/admins can access application CV snapshots; unrelated users cannot.</t>
  </si>
  <si>
    <t>The “Signed-out locked bundle” scenario reaches the named state once, shows the expected controls and confirmation, updates only the authorized record, and creates no duplicate or unrelated state.</t>
  </si>
  <si>
    <t>Signed-out locked bundle</t>
  </si>
  <si>
    <t>Existing application and CV authorization tests</t>
  </si>
  <si>
    <t>GO-MAN-294</t>
  </si>
  <si>
    <t>5. Add ability to add User Profile image or a randomly generated image</t>
  </si>
  <si>
    <t>Using non-production data, open /video-bundles and /video-bundles/[slug]. Prepare the state named “Approved mentor with assigned bundle”, perform the single relevant navigation or action, and record the visible result, resulting URL, HTTP status where applicable, and browser console/network errors.</t>
  </si>
  <si>
    <t>Email signups receive a persisted DiceBear avatar, Google users retain their provider photo, and Radix fallback initials render. There is no complete upload/replacement UI or approved storage/file-validation policy.</t>
  </si>
  <si>
    <t>The “Approved mentor with assigned bundle” scenario reaches the named state once, shows the expected controls and confirmation, updates only the authorized record, and creates no duplicate or unrelated state.</t>
  </si>
  <si>
    <t>IN REVIEW</t>
  </si>
  <si>
    <t>Approved mentor with assigned bundle</t>
  </si>
  <si>
    <t>Code audit of auth normalization, avatar generation, and avatar components</t>
  </si>
  <si>
    <t>Needs decision</t>
  </si>
  <si>
    <t>GO-MAN-295</t>
  </si>
  <si>
    <t>6. I want the ability to completely remove project if I create one and remove it later, not archive it only, but have the ability to completely remove it</t>
  </si>
  <si>
    <t>Owner/admin permanent delete, archive, explicit confirmation, and related application/user-reference cleanup already exist.</t>
  </si>
  <si>
    <t>Using non-production data, open /video-bundles and /video-bundles/[slug]. Prepare the state named “Approved mentor without bundle access”, perform the single relevant navigation or action, and record the visible result, resulting URL, HTTP status where applicable, and browser console/network errors.</t>
  </si>
  <si>
    <t>The “Approved mentor without bundle access” scenario reaches the named state once, shows the expected controls and confirmation, updates only the authorized record, and creates no duplicate or unrelated state.</t>
  </si>
  <si>
    <t>Approved mentor without bundle access</t>
  </si>
  <si>
    <t>Existing project delete authorization/cleanup tests</t>
  </si>
  <si>
    <t>7. Update Primary roles to inlcude actual skills or make it function similar to tags</t>
  </si>
  <si>
    <t>GO-MAN-296</t>
  </si>
  <si>
    <t>Fixed-option primary roles did not use the community directory. Primary role now accepts directory suggestions or a normalized custom tag.</t>
  </si>
  <si>
    <t>Using non-production data, open /video-bundles and /video-bundles/[slug]. Prepare the state named “Expired subscription bundle access”, perform the single relevant navigation or action, and record the visible result, resulting URL, HTTP status where applicable, and browser console/network errors.</t>
  </si>
  <si>
    <t>DONE</t>
  </si>
  <si>
    <t>The “Expired subscription bundle access” restriction is enforced in both UI and direct request behavior; the protected action/value is absent and the user receives a clear non-success state.</t>
  </si>
  <si>
    <t>src/app/onboarding/page.js, src/app/api/onboarding/route.js, src/components/profile/SkillSelector.jsx</t>
  </si>
  <si>
    <t>Expired subscription bundle access</t>
  </si>
  <si>
    <t>Onboarding persistence and skill-selector tests</t>
  </si>
  <si>
    <t>Fixed</t>
  </si>
  <si>
    <t>GO-MAN-297</t>
  </si>
  <si>
    <t>8. Upate the secondary roles to have suggestions but also have the ability to add tags</t>
  </si>
  <si>
    <t>Secondary roles were fixed chips only. They now use suggestions plus custom tags, case-insensitive deduplication, and an eight-role limit.</t>
  </si>
  <si>
    <t>Using non-production data, open /video-bundles and /video-bundles/[slug]. Prepare the state named “Protected YouTube link”, perform the single relevant navigation or action, and record the visible result, resulting URL, HTTP status where applicable, and browser console/network errors.</t>
  </si>
  <si>
    <t>The “Protected YouTube link” restriction is enforced in both UI and direct request behavior; the protected action/value is absent and the user receives a clear non-success state.</t>
  </si>
  <si>
    <t>Same as #7</t>
  </si>
  <si>
    <t>Protected YouTube link</t>
  </si>
  <si>
    <t>Onboarding normalization tests</t>
  </si>
  <si>
    <t>9. Update skill level to make more sense</t>
  </si>
  <si>
    <t>GO-MAN-298</t>
  </si>
  <si>
    <t>Persisted values were ambiguous labels. The stored IDs remain unchanged for compatibility, while UI labels/descriptions now explain Learning, Developing, Independent, Advanced, and Production-proven.</t>
  </si>
  <si>
    <t>Using non-production data, open /video-bundles and /video-bundles/[slug]. Prepare the state named “Protected Google Drive link”, perform the single relevant navigation or action, and record the visible result, resulting URL, HTTP status where applicable, and browser console/network errors.</t>
  </si>
  <si>
    <t>src/constants/onboarding.js, src/app/onboarding/page.js</t>
  </si>
  <si>
    <t>Production build and source review</t>
  </si>
  <si>
    <t>The “Protected Google Drive link” restriction is enforced in both UI and direct request behavior; the protected action/value is absent and the user receives a clear non-success state.</t>
  </si>
  <si>
    <t>Protected Google Drive link</t>
  </si>
  <si>
    <t>10. Make tools also use suggestions and tags</t>
  </si>
  <si>
    <t>Tools were fixed chips and could not cover normal names. They now provide common suggestions and custom tags while preserving spaces, punctuation, and commas during entry.</t>
  </si>
  <si>
    <t>GO-MAN-299</t>
  </si>
  <si>
    <t>src/components/profile/SkillSelector.jsx, src/app/onboarding/page.js, src/app/api/onboarding/route.js</t>
  </si>
  <si>
    <t>CV input and onboarding normalization tests</t>
  </si>
  <si>
    <t>Using non-production data, open /video-bundles and /video-bundles/[slug]. Prepare the state named “One-link bundle”, perform the single relevant navigation or action, and record the visible result, resulting URL, HTTP status where applicable, and browser console/network errors.</t>
  </si>
  <si>
    <t>The “One-link bundle” scenario reaches the named state once, shows the expected controls and confirmation, updates only the authorized record, and creates no duplicate or unrelated state.</t>
  </si>
  <si>
    <t>One-link bundle</t>
  </si>
  <si>
    <t>11. When I try to apply to a project when I don't have a subscription I cannot do it, there should be a prompt telling me to get a subscription in order to have the ability to apply to projects.</t>
  </si>
  <si>
    <t>Membership-required application messaging, /membership CTA, and server-side active-member enforcement already exist.</t>
  </si>
  <si>
    <t>Existing application-create and membership-gate tests</t>
  </si>
  <si>
    <t>GO-MAN-300</t>
  </si>
  <si>
    <t>Using non-production data, open /video-bundles and /video-bundles/[slug]. Prepare the state named “Multi-lesson bundle”, perform the single relevant navigation or action, and record the visible result, resulting URL, HTTP status where applicable, and browser console/network errors.</t>
  </si>
  <si>
    <t>The “Multi-lesson bundle” scenario reaches the named state once, shows the expected controls and confirmation, updates only the authorized record, and creates no duplicate or unrelated state.</t>
  </si>
  <si>
    <t>Multi-lesson bundle</t>
  </si>
  <si>
    <t>12. I want to have the ability to remove people from a project</t>
  </si>
  <si>
    <t>Project owners/admins can remove non-owner members; server logic prevents owner/admin removal and updates approved applications. No new email is sent without an approved event.</t>
  </si>
  <si>
    <t>Existing project-member route tests</t>
  </si>
  <si>
    <t>GO-MAN-301</t>
  </si>
  <si>
    <t>Using non-production data, open /video-bundles and /video-bundles/[slug]. Prepare the state named “Lesson ordering”, perform the single relevant navigation or action, and record the visible result, resulting URL, HTTP status where applicable, and browser console/network errors.</t>
  </si>
  <si>
    <t>The “Lesson ordering” scenario reaches the named state once, shows the expected controls and confirmation, updates only the authorized record, and creates no duplicate or unrelated state.</t>
  </si>
  <si>
    <t>Lesson ordering</t>
  </si>
  <si>
    <t>13. If I have canceled subscription I want to be able to see the get premium button on the website available</t>
  </si>
  <si>
    <t>Canceling users retain paid access through period end and are offered a replacement membership once the subscription is no longer active.</t>
  </si>
  <si>
    <t>Membership UI and webhook status tests</t>
  </si>
  <si>
    <t>GO-MAN-302</t>
  </si>
  <si>
    <t>Using non-production data, open /video-bundles and /video-bundles/[slug]. Prepare the state named “Open bundle tracking”, perform the single relevant navigation or action, and record the visible result, resulting URL, HTTP status where applicable, and browser console/network errors.</t>
  </si>
  <si>
    <t xml:space="preserve">14. I want the get premium button to open /membership instead of the current chepest membership option </t>
  </si>
  <si>
    <t>Generic premium CTAs route to /membership; they do not silently select the cheapest checkout.</t>
  </si>
  <si>
    <t>The “Open bundle tracking” scenario reaches the named state once, shows the expected controls and confirmation, updates only the authorized record, and creates no duplicate or unrelated state.</t>
  </si>
  <si>
    <t>Open bundle tracking</t>
  </si>
  <si>
    <t>Existing pricing/subscribe redirect tests; browser membership navigation</t>
  </si>
  <si>
    <t>GO-MAN-303</t>
  </si>
  <si>
    <t>15. I am not able to screen record the website because there is a active security measure active, this is good for general public, but also might be a challenge for testing and for sharing opportunities between community members through screenshots, might be a good thing, needs to be reviewed</t>
  </si>
  <si>
    <t>No Permissions-Policy, CSP display-capture, DRM integration, screen-recording CSS, or related response header was found locally. The symptom is therefore likely browser/OS/extension-specific. Security was not weakened.</t>
  </si>
  <si>
    <t>Using non-production data, open /video-bundles and /video-bundles/[slug]. Prepare the state named “Open lesson tracking”, perform the single relevant navigation or action, and record the visible result, resulting URL, HTTP status where applicable, and browser console/network errors.</t>
  </si>
  <si>
    <t>The “Open lesson tracking” scenario reaches the named state once, shows the expected controls and confirmation, updates only the authorized record, and creates no duplicate or unrelated state.</t>
  </si>
  <si>
    <t>Header/config/source audit</t>
  </si>
  <si>
    <t>Open lesson tracking</t>
  </si>
  <si>
    <t xml:space="preserve">16. No sign up email is sent to users </t>
  </si>
  <si>
    <t>Firebase verification and GO welcome mail are separate authenticated flows. GO welcome enqueueing uses permanent semantic deduplication and returns readable API failures.</t>
  </si>
  <si>
    <t>Existing welcome, outbox, and verification tests</t>
  </si>
  <si>
    <t>GO-MAN-304</t>
  </si>
  <si>
    <t>Using non-production data, open /video-bundles and /video-bundles/[slug]. Prepare the state named “Manual lesson completion”, perform the single relevant navigation or action, and record the visible result, resulting URL, HTTP status where applicable, and browser console/network errors.</t>
  </si>
  <si>
    <t>The “Manual lesson completion” scenario reaches the named state once, shows the expected controls and confirmation, updates only the authorized record, and creates no duplicate or unrelated state.</t>
  </si>
  <si>
    <t xml:space="preserve">17. When signing in with google I am not redirected to /profile but remain on the login page and there is an errro Cannot read properties of undefined (reading 'authStateVersion')
</t>
  </si>
  <si>
    <t>Manual lesson completion</t>
  </si>
  <si>
    <t>Current Google auth normalization no longer reads an undefined authStateVersion, and login routing selects profile/onboarding appropriately.</t>
  </si>
  <si>
    <t>Existing auth-profile and auth navigation tests</t>
  </si>
  <si>
    <t>GO-MAN-305</t>
  </si>
  <si>
    <t>Using non-production data, open /video-bundles and /video-bundles/[slug]. Prepare the state named “Completion percentage”, perform the single relevant navigation or action, and record the visible result, resulting URL, HTTP status where applicable, and browser console/network errors.</t>
  </si>
  <si>
    <t>The “Completion percentage” scenario reaches the named state once, shows the expected controls and confirmation, updates only the authorized record, and creates no duplicate or unrelated state.</t>
  </si>
  <si>
    <t>Completion percentage</t>
  </si>
  <si>
    <r>
      <rPr/>
      <t xml:space="preserve">18. When I open </t>
    </r>
    <r>
      <rPr>
        <color rgb="FF1155CC"/>
        <u/>
      </rPr>
      <t>https://www.galacticomnivore.com/project/create</t>
    </r>
    <r>
      <rPr/>
      <t xml:space="preserve"> without creator subscription I want to be redirected to /membership</t>
    </r>
  </si>
  <si>
    <t>GO-MAN-306</t>
  </si>
  <si>
    <t>Using non-production data, open /video-bundles and /video-bundles/[slug]. Prepare the state named “Manual bundle completion”, perform the single relevant navigation or action, and record the visible result, resulting URL, HTTP status where applicable, and browser console/network errors.</t>
  </si>
  <si>
    <t>The “Manual bundle completion” scenario reaches the named state once, shows the expected controls and confirmation, updates only the authorized record, and creates no duplicate or unrelated state.</t>
  </si>
  <si>
    <t>Manual bundle completion</t>
  </si>
  <si>
    <t>GO-MAN-307</t>
  </si>
  <si>
    <t>Using non-production data, open /video-bundles and /video-bundles/[slug]. Prepare the state named “External-link warning”, perform the single relevant navigation or action, and record the visible result, resulting URL, HTTP status where applicable, and browser console/network errors.</t>
  </si>
  <si>
    <t>The “External-link warning” scenario reaches the named state once, shows the expected controls and confirmation, updates only the authorized record, and creates no duplicate or unrelated state.</t>
  </si>
  <si>
    <t>External-link warning</t>
  </si>
  <si>
    <t>GO-MAN-308</t>
  </si>
  <si>
    <t>Using non-production data, open /video-bundles and /video-bundles/[slug]. Prepare the state named “Missing external link”, perform the single relevant navigation or action, and record the visible result, resulting URL, HTTP status where applicable, and browser console/network errors.</t>
  </si>
  <si>
    <t>The “Missing external link” restriction is enforced in both UI and direct request behavior; the protected action/value is absent and the user receives a clear non-success state.</t>
  </si>
  <si>
    <t>Guest access preserves /project/create as a login return path; signed-in free/Community users are routed to Business membership. The create API independently requires Business/admin rights.</t>
  </si>
  <si>
    <t>Missing external link</t>
  </si>
  <si>
    <t>Project-creation gate/API tests; local guest browser evidence</t>
  </si>
  <si>
    <t>GO-MAN-309</t>
  </si>
  <si>
    <t>Using non-production data, open /video-bundles and /video-bundles/[slug]. Prepare the state named “Archived bundle”, perform the single relevant navigation or action, and record the visible result, resulting URL, HTTP status where applicable, and browser console/network errors.</t>
  </si>
  <si>
    <t>The “Archived bundle” restriction is enforced in both UI and direct request behavior; the protected action/value is absent and the user receives a clear non-success state.</t>
  </si>
  <si>
    <t>Archived bundle</t>
  </si>
  <si>
    <t>19. When clicking on apply to project as a signed in user with paid membership nothing happens</t>
  </si>
  <si>
    <t>Apply already provides loading/success/duplicate/error feedback and persists a CV snapshot.</t>
  </si>
  <si>
    <t>Existing application-create tests</t>
  </si>
  <si>
    <t>GO-MAN-310</t>
  </si>
  <si>
    <t>Using non-production data, open /video-bundles and /video-bundles/[slug]. Prepare the state named “Video-bundle mobile layout”, perform the single relevant navigation or action, and record the visible result, resulting URL, HTTP status where applicable, and browser console/network errors.</t>
  </si>
  <si>
    <t xml:space="preserve">20. I want only users that are creators to be able to create projects, and for all users that are lower tier (community member, free) to suggest they purchase a creator membership if they want to create projects </t>
  </si>
  <si>
    <t>Business/admin creation rights are enforced in both UI and API; Community/free members receive a Business explanation/CTA.</t>
  </si>
  <si>
    <t>At “Video-bundle mobile layout”, content remains readable with no clipping or horizontal overflow; focus, labels, status meaning, touch targets, and motion behavior remain perceivable and operable.</t>
  </si>
  <si>
    <t>Video-bundle mobile layout</t>
  </si>
  <si>
    <t>Project creation gate and API permission tests</t>
  </si>
  <si>
    <t>GO-MAN-311</t>
  </si>
  <si>
    <t>21. I want users that are community members to be able to purchase a business membership</t>
  </si>
  <si>
    <t>A new checkout for an active Community member caused Polar's duplicate-active-subscription response. The server now uses Polar's supported subscription product update with prorate, prevents surprise cross-interval changes, and never trusts a browser product ID. Upgrade confirmation waits for the server-verified Business tier instead of an initial-purchase receipt.</t>
  </si>
  <si>
    <t>Using non-production data, open /video-bundles and /video-bundles/[slug]. Prepare the state named “Video-bundle keyboard navigation”, perform the single relevant navigation or action, and record the visible result, resulting URL, HTTP status where applicable, and browser console/network errors.</t>
  </si>
  <si>
    <t>At “Video-bundle keyboard navigation”, content remains readable with no clipping or horizontal overflow; focus, labels, status meaning, touch targets, and motion behavior remain perceivable and operable.</t>
  </si>
  <si>
    <t>src/app/api/checkout/route.js, src/app/subscription/success/page.js, src/components/pricing/PricingDisplay.js, src/components/ui/SubscribeButton.jsx, src/lib/subscription-confirmation.js</t>
  </si>
  <si>
    <t>Video-bundle keyboard navigation</t>
  </si>
  <si>
    <t>Checkout upgrade, interval-safety, no-new-checkout, and verified target-tier confirmation tests</t>
  </si>
  <si>
    <t>22. I want to be able to get to /onboarding from /profile?tab=profile</t>
  </si>
  <si>
    <t>GO-MAN-312</t>
  </si>
  <si>
    <t>Profile already provides the onboarding-edit route and reloads the member's saved onboarding session.</t>
  </si>
  <si>
    <t>Using non-production data, open /video-bundles and /video-bundles/[slug]. Prepare the state named “No playback-time tracking requirement”, perform the single relevant navigation or action, and record the visible result, resulting URL, HTTP status where applicable, and browser console/network errors.</t>
  </si>
  <si>
    <t>Existing me/profile/onboarding edit tests</t>
  </si>
  <si>
    <t>The “No playback-time tracking requirement” scenario reaches the named state once, shows the expected controls and confirmation, updates only the authorized record, and creates no duplicate or unrelated state.</t>
  </si>
  <si>
    <t>No playback-time tracking requirement</t>
  </si>
  <si>
    <t xml:space="preserve">23. I cannot update Username it gives me an error: Username can only contain letters, numbers, underscores, and hyphens but I only have letters, and when I add numbers only the name is not actually changes, and the skills are also not changed. </t>
  </si>
  <si>
    <t>GO-MAN-313</t>
  </si>
  <si>
    <t>Mentor Programme</t>
  </si>
  <si>
    <t>The authoritative API accepted valid normalized usernames, but the UI then attempted a second direct Firestore write that could fail under production rules and make a successful save look partial. The duplicate write is removed; Bio/About/name/skills mirror through the server and the store refreshes afterward.</t>
  </si>
  <si>
    <t>Using non-production data, open /membership, mentor application open route, and administrator user controls. Prepare the state named “Mentor Programme Coming Soon card”, perform the single relevant navigation or action, and record the visible result, resulting URL, HTTP status where applicable, and browser console/network errors.</t>
  </si>
  <si>
    <t>src/components/profile/ProfileEditor.jsx, src/app/api/user/[id]/route.js, src/utils/validateProfile.js</t>
  </si>
  <si>
    <t>The “Mentor Programme Coming Soon card” scenario reaches the named state once, shows the expected controls and confirmation, updates only the authorized record, and creates no duplicate or unrelated state.</t>
  </si>
  <si>
    <t>Mentor Programme Coming Soon card</t>
  </si>
  <si>
    <t>Username, skills, social validation, structured-profile mirror, and save tests</t>
  </si>
  <si>
    <t>Mentor configuration is exercised with URL present/absent and site-setting open/closed combinations. Use synthetic records and do not change production data.</t>
  </si>
  <si>
    <t>24. Remove resources from the platform??</t>
  </si>
  <si>
    <t>GO-MAN-314</t>
  </si>
  <si>
    <t>Resources are referenced by membership benefits, package/download routes, email copy, existing content, and entitlement APIs. Removing them would break a paid promise and current content. Recommendation: retain the feature and use sustainable release wording.</t>
  </si>
  <si>
    <t>Using non-production data, open /membership, mentor application open route, and administrator user controls. Prepare the state named “Mentor checkout disabled”, perform the single relevant navigation or action, and record the visible result, resulting URL, HTTP status where applicable, and browser console/network errors.</t>
  </si>
  <si>
    <t>None for removal; wording files listed in #36</t>
  </si>
  <si>
    <t>The “Mentor checkout disabled” restriction is enforced in both UI and direct request behavior; the protected action/value is absent and the user receives a clear non-success state.</t>
  </si>
  <si>
    <t>Route/content audit</t>
  </si>
  <si>
    <t>Mentor checkout disabled</t>
  </si>
  <si>
    <t xml:space="preserve">25. Create Project Does not work, I go through the project creation wizard and when I get to the final step to create project I press the button and nothing happens. </t>
  </si>
  <si>
    <t>The final project wizard already shows progress, disables repeat submission, surfaces errors, creates once, and routes to the new project.</t>
  </si>
  <si>
    <t>GO-MAN-315</t>
  </si>
  <si>
    <t>Using non-production data, open /membership, mentor application open route, and administrator user controls. Prepare the state named “No Mentor price shown”, perform the single relevant navigation or action, and record the visible result, resulting URL, HTTP status where applicable, and browser console/network errors.</t>
  </si>
  <si>
    <t>The “No Mentor price shown” scenario reaches the named state once, shows the expected controls and confirmation, updates only the authorized record, and creates no duplicate or unrelated state.</t>
  </si>
  <si>
    <t>Existing project form/create route tests</t>
  </si>
  <si>
    <t>No Mentor price shown</t>
  </si>
  <si>
    <t>26. Emails need to be working for Welcome Email and Purchase Email</t>
  </si>
  <si>
    <t>GO-MAN-316</t>
  </si>
  <si>
    <t>Using non-production data, open /membership, mentor application open route, and administrator user controls. Prepare the state named “Mentor application URL configured”, perform the single relevant navigation or action, and record the visible result, resulting URL, HTTP status where applicable, and browser console/network errors.</t>
  </si>
  <si>
    <t>The “Mentor application URL configured” scenario reaches the named state once, shows the expected controls and confirmation, updates only the authorized record, and creates no duplicate or unrelated state.</t>
  </si>
  <si>
    <t>Mentor application URL configured</t>
  </si>
  <si>
    <t>Resend sender, branded HTML/plain text, authenticated five-minute external worker, retry/final-failure behavior, suppression, HTML escaping, and permanent deduplication are already implemented. order.paid and subscription.active share one activation dedupe key.</t>
  </si>
  <si>
    <t>Email benefit wording only in src/lib/email/templates/events.js</t>
  </si>
  <si>
    <t>GO-MAN-317</t>
  </si>
  <si>
    <t>Existing Resend webhook, outbox, worker, template-tier/interval, escaping, and Polar event-order tests</t>
  </si>
  <si>
    <t>27. No pop-up with confimation that you have subscribed on the website before showing onboarding page.</t>
  </si>
  <si>
    <t>Using non-production data, open /membership, mentor application open route, and administrator user controls. Prepare the state named “Mentor application URL missing”, perform the single relevant navigation or action, and record the visible result, resulting URL, HTTP status where applicable, and browser console/network errors.</t>
  </si>
  <si>
    <t>The return flow already verifies an opaque server-created confirmation, polls delayed webhooks, times out with retry/support guidance, acknowledges once, and does not trust URL parameters.</t>
  </si>
  <si>
    <t>The “Mentor application URL missing” restriction is enforced in both UI and direct request behavior; the protected action/value is absent and the user receives a clear non-success state.</t>
  </si>
  <si>
    <t>Mentor application URL missing</t>
  </si>
  <si>
    <t>Existing confirmation-state, success-dialog, polling, and webhook tests</t>
  </si>
  <si>
    <t xml:space="preserve">28. Firebase doesn't store user nickname </t>
  </si>
  <si>
    <t>Onboarding now treats the selected display name as authoritative and mirrors it to legacy users.username; public/legacy reads remain compatible.</t>
  </si>
  <si>
    <t>src/app/api/onboarding/route.js, src/app/api/user/[id]/route.js</t>
  </si>
  <si>
    <t>Onboarding and user-profile persistence tests</t>
  </si>
  <si>
    <t xml:space="preserve">29. Questions answered on onboarding are stored in BIO and they don't make sense because one is BIO the oter is about me. This needs to be two separate fields, a short bio up to 150 charachters that's always shown next to the user info in the UI and an about me should be more detailed description with up to 10000 words. </t>
  </si>
  <si>
    <t>A single long biography was overloaded. Separate 150-character Bio and 10,000-word About Me fields now cover onboarding, profile editing, both Firestore shapes, public/self profiles, and CV summaries. Long legacy biographies safely fall back to About Me without overwrite.</t>
  </si>
  <si>
    <t>GO-MAN-318</t>
  </si>
  <si>
    <t>src/utils/validateProfile.js, src/components/profile/ProfileEditor.jsx, src/app/onboarding/page.js, src/app/api/onboarding/route.js, src/app/api/me/profile/route.js, src/app/api/user/[id]/route.js, src/app/(main)/profile/page.js, src/app/user/[id]/page.js, src/lib/cv-generator.js</t>
  </si>
  <si>
    <t>Boundary, oversized, legacy fallback, structured persistence, escaping, and CV tests</t>
  </si>
  <si>
    <t>Using non-production data, open /membership, mentor application open route, and administrator user controls. Prepare the state named “Mentor applications open”, perform the single relevant navigation or action, and record the visible result, resulting URL, HTTP status where applicable, and browser console/network errors.</t>
  </si>
  <si>
    <t>The “Mentor applications open” scenario reaches the named state once, shows the expected controls and confirmation, updates only the authorized record, and creates no duplicate or unrelated state.</t>
  </si>
  <si>
    <t>Mentor applications open</t>
  </si>
  <si>
    <t xml:space="preserve">30. If you have purchased community membership I want the UI button of "CHOOSE GO BUSINESS" to be the highlight color </t>
  </si>
  <si>
    <t>Membership cards did not distinguish an active Community plan from its Business upgrade. The current plan now gets a badge and Business becomes the primary target for an eligible Community member.</t>
  </si>
  <si>
    <t>src/components/pricing/PricingDisplay.js</t>
  </si>
  <si>
    <t>Membership-state tests; responsive public membership browser evidence</t>
  </si>
  <si>
    <t>GO-MAN-319</t>
  </si>
  <si>
    <t>Using non-production data, open /membership, mentor application open route, and administrator user controls. Prepare the state named “Mentor applications closed”, perform the single relevant navigation or action, and record the visible result, resulting URL, HTTP status where applicable, and browser console/network errors.</t>
  </si>
  <si>
    <t xml:space="preserve">31. Failed to fetch error shown when trying to save profile </t>
  </si>
  <si>
    <t>The redundant client Firestore update after a successful API save caused the observed misleading “Failed to fetch/save” behavior under stricter production rules. One authenticated server request is now authoritative; error copy remains actionable and form state is preserved on failure.</t>
  </si>
  <si>
    <t>GO-MAN-320</t>
  </si>
  <si>
    <t>src/components/profile/ProfileEditor.jsx, src/app/api/user/[id]/route.js</t>
  </si>
  <si>
    <t>Profile save/API tests</t>
  </si>
  <si>
    <t>Using non-production data, open /membership, mentor application open route, and administrator user controls. Prepare the state named “Sign-in before external mentor application”, perform the single relevant navigation or action, and record the visible result, resulting URL, HTTP status where applicable, and browser console/network errors.</t>
  </si>
  <si>
    <t>The “Sign-in before external mentor application” scenario reaches the named state once, shows the expected controls and confirmation, updates only the authorized record, and creates no duplicate or unrelated state.</t>
  </si>
  <si>
    <t>Sign-in before external mentor application</t>
  </si>
  <si>
    <t>32. User that has purchased community subscription should be able to download all available resources not be asked to buy them again.</t>
  </si>
  <si>
    <t>Downloads only checked legacy unlockedPackages, ignoring the authoritative active-member entitlement endpoint. The UI now fetches public releases and /api/user/packages in parallel; the server grants all published packages to active Community/Business/admin users and keeps free/expired/revoked users locked.</t>
  </si>
  <si>
    <t>TODO</t>
  </si>
  <si>
    <t>src/components/profile/Downloads.jsx</t>
  </si>
  <si>
    <t>GO-MAN-321</t>
  </si>
  <si>
    <t>Existing full user-package entitlement matrix and package-detail tests</t>
  </si>
  <si>
    <t>Using non-production data, open /membership, mentor application open route, and administrator user controls. Prepare the state named “External Jira form opens”, perform the single relevant navigation or action, and record the visible result, resulting URL, HTTP status where applicable, and browser console/network errors.</t>
  </si>
  <si>
    <t>The “External Jira form opens” scenario reaches the named state once, shows the expected controls and confirmation, updates only the authorized record, and creates no duplicate or unrelated state.</t>
  </si>
  <si>
    <t>External Jira form opens</t>
  </si>
  <si>
    <t>Visitor, mentor applicant, approved mentor, or administrator</t>
  </si>
  <si>
    <t xml:space="preserve">33. Show to users when they apply to a project the projects they applied to in Application. </t>
  </si>
  <si>
    <t>The history query combined an equality filter and descending order without a deployed composite index, causing empty/error states. It now performs the private equality query and sorts newest-first in memory, with loading, empty, error/retry, project, role, date, status, and action UI.</t>
  </si>
  <si>
    <t>GO-MAN-322</t>
  </si>
  <si>
    <t>src/app/api/applications/route.js, src/mobx.js, src/app/(main)/profile/page.js</t>
  </si>
  <si>
    <t>Applicant-only newest-first history test</t>
  </si>
  <si>
    <t>Using non-production data, open /membership, mentor application open route, and administrator user controls. Prepare the state named “External link hides internal Jira information”, perform the single relevant navigation or action, and record the visible result, resulting URL, HTTP status where applicable, and browser console/network errors.</t>
  </si>
  <si>
    <t>The “External link hides internal Jira information” scenario reaches the named state once, shows the expected controls and confirmation, updates only the authorized record, and creates no duplicate or unrelated state.</t>
  </si>
  <si>
    <t>External link hides internal Jira information</t>
  </si>
  <si>
    <t>34. Add the ability to add past projects from people that completed projects at go in the past but they were not documented on the website. please create a schema a google forms questioneer that can collect all the information you need to add legacy projects to the platform.</t>
  </si>
  <si>
    <t>No authorized Google Forms creation connection or production-import approval was available. A complete 30-field questionnaire, backward-compatible schema, validation rules, CSV template, and dry-run-first idempotent admin ingestion plan are delivered.</t>
  </si>
  <si>
    <t>GO-MAN-323</t>
  </si>
  <si>
    <t>docs/legacy-project-intake.md, docs/legacy-project-import-template.csv</t>
  </si>
  <si>
    <t>Document/schema review; no production import</t>
  </si>
  <si>
    <t>Using non-production data, open /membership, mentor application open route, and administrator user controls. Prepare the state named “Mentor applicant status”, perform the single relevant navigation or action, and record the visible result, resulting URL, HTTP status where applicable, and browser console/network errors.</t>
  </si>
  <si>
    <t>Partially fixed</t>
  </si>
  <si>
    <t>The “Mentor applicant status” scenario reaches the named state once, shows the expected controls and confirmation, updates only the authorized record, and creates no duplicate or unrelated state.</t>
  </si>
  <si>
    <t>Mentor applicant status</t>
  </si>
  <si>
    <t>35. Remove email that sends confirmation about profile complete</t>
  </si>
  <si>
    <t>GO-MAN-324</t>
  </si>
  <si>
    <t>Completing onboarding enqueued an unwanted onboarding.completed email. That enqueue was removed while state updates, CV generation, and reminder cancellation remain intact.</t>
  </si>
  <si>
    <t>Using non-production data, open /membership, mentor application open route, and administrator user controls. Prepare the state named “Mentor approved status”, perform the single relevant navigation or action, and record the visible result, resulting URL, HTTP status where applicable, and browser console/network errors.</t>
  </si>
  <si>
    <t>The “Mentor approved status” scenario reaches the named state once, shows the expected controls and confirmation, updates only the authorized record, and creates no duplicate or unrelated state.</t>
  </si>
  <si>
    <t>src/app/api/onboarding/route.js</t>
  </si>
  <si>
    <t>Mentor approved status</t>
  </si>
  <si>
    <t>Completion test proves no event is queued</t>
  </si>
  <si>
    <t>GO-MAN-325</t>
  </si>
  <si>
    <t>Using non-production data, open /membership, mentor application open route, and administrator user controls. Prepare the state named “Mentor temporarily unavailable status”, perform the single relevant navigation or action, and record the visible result, resulting URL, HTTP status where applicable, and browser console/network errors.</t>
  </si>
  <si>
    <t xml:space="preserve">36. Remove elements that we can not sustainable provide like monthly resource packages, please explain they will be sporadical based on community needs and activities in the copy about this feature. and </t>
  </si>
  <si>
    <t>Membership/admin/download/email copy promised monthly packages. All such promises now describe periodic/occasional releases based on community needs and activity; existing content remains.</t>
  </si>
  <si>
    <t>src/constants/membership.js, src/components/profile/SubscriptionStatus.jsx, src/components/profile/Settings.jsx, src/components/profile/Downloads.jsx, src/components/newsletter/NewsletterPreferencesForm.jsx, src/app/admin/packages/page.js, src/components/admin/PackageForm.jsx, src/lib/email/templates/events.js</t>
  </si>
  <si>
    <t>Repository-wide copy search and full build</t>
  </si>
  <si>
    <t>The “Mentor temporarily unavailable status” scenario reaches the named state once, shows the expected controls and confirmation, updates only the authorized record, and creates no duplicate or unrelated state.</t>
  </si>
  <si>
    <t>Mentor temporarily unavailable status</t>
  </si>
  <si>
    <t xml:space="preserve">37. Add Member Since on the User profile info </t>
  </si>
  <si>
    <t>Profiles showed account “Joined” time only. “Member since” now prefers first paid membershipActivatedAt and clearly falls back to account creation for legacy/free users.</t>
  </si>
  <si>
    <t>GO-MAN-326</t>
  </si>
  <si>
    <t>Using non-production data, open /membership, mentor application open route, and administrator user controls. Prepare the state named “Mentor suspended status”, perform the single relevant navigation or action, and record the visible result, resulting URL, HTTP status where applicable, and browser console/network errors.</t>
  </si>
  <si>
    <t>src/app/api/user/[id]/route.js, src/app/(main)/profile/page.js, src/app/user/[id]/page.js</t>
  </si>
  <si>
    <t>Paid-date and legacy-fallback serialization tests</t>
  </si>
  <si>
    <t>The “Mentor suspended status” restriction is enforced in both UI and direct request behavior; the protected action/value is absent and the user receives a clear non-success state.</t>
  </si>
  <si>
    <t>Mentor suspended status</t>
  </si>
  <si>
    <t>38. Remove user email shown on the projects where we show team members of projects.</t>
  </si>
  <si>
    <t>GO-MAN-327</t>
  </si>
  <si>
    <t>Public project team serialization and UI included email addresses. Public member responses now contain only UID, username, and avatar; reads no longer create user documents as a side effect. Authorized applicant-review data remains separate.</t>
  </si>
  <si>
    <t>Using non-production data, open /membership, mentor application open route, and administrator user controls. Prepare the state named “Mentor inactive status”, perform the single relevant navigation or action, and record the visible result, resulting URL, HTTP status where applicable, and browser console/network errors.</t>
  </si>
  <si>
    <t>The “Mentor inactive status” restriction is enforced in both UI and direct request behavior; the protected action/value is absent and the user receives a clear non-success state.</t>
  </si>
  <si>
    <t>Mentor inactive status</t>
  </si>
  <si>
    <t>src/app/api/projects/[id]/route.js, src/app/project/[id]/page.js</t>
  </si>
  <si>
    <t>Public team privacy regression test</t>
  </si>
  <si>
    <t>GO-MAN-328</t>
  </si>
  <si>
    <t>Using non-production data, open /membership, mentor application open route, and administrator user controls. Prepare the state named “Mentor rejected status”, perform the single relevant navigation or action, and record the visible result, resulting URL, HTTP status where applicable, and browser console/network errors.</t>
  </si>
  <si>
    <t>The “Mentor rejected status” restriction is enforced in both UI and direct request behavior; the protected action/value is absent and the user receives a clear non-success state.</t>
  </si>
  <si>
    <t>Mentor rejected status</t>
  </si>
  <si>
    <t xml:space="preserve">39. I want for the user to be asked about Tools &amp; Engines, Projects &amp; Portfolio once during the onboarding processs and make sure they are included in the user CV. </t>
  </si>
  <si>
    <t>Onboarding had minimal unstructured portfolio fields and did not consistently capture projects/tools once. It now uses structured portfolio links and project entries with title, role, status, link, description, and tools; legacy links remain editable and CV generation consumes the same profile facts.</t>
  </si>
  <si>
    <t>src/app/onboarding/page.js, src/app/api/onboarding/route.js, src/lib/cv-generator.js, src/app/api/me/profile/route.js</t>
  </si>
  <si>
    <t>Empty/populated onboarding and CV tests</t>
  </si>
  <si>
    <t>GO-MAN-329</t>
  </si>
  <si>
    <t>Using non-production data, open /membership, mentor application open route, and administrator user controls. Prepare the state named “Administrator mentor status changes”, perform the single relevant navigation or action, and record the visible result, resulting URL, HTTP status where applicable, and browser console/network errors.</t>
  </si>
  <si>
    <t>The “Administrator mentor status changes” scenario reaches the named state once, shows the expected controls and confirmation, updates only the authorized record, and creates no duplicate or unrelated state.</t>
  </si>
  <si>
    <t>Administrator mentor status changes</t>
  </si>
  <si>
    <t xml:space="preserve">40. I want to make sure that the users that have joined go discord before their onbording process t onot have to leave a username. If they have not joined the GO discord yet then pelase make sure there is a link to join GO send to them in the follow up email. we'll decide later in which email but they must be a follow up. </t>
  </si>
  <si>
    <t>Discord username was labeled required and joined state was not modeled separately. Username is optional, joined state and invitation eligibility persist separately, and non-joined members see the safe GO invite link. The data hook exists, but no invitation email is enqueued until placement/copy are approved.</t>
  </si>
  <si>
    <t>src/constants/onboarding.js, src/app/onboarding/page.js, src/app/api/onboarding/route.js</t>
  </si>
  <si>
    <t>Onboarding persistence/no-completion-email tests; accessible labels in production build</t>
  </si>
  <si>
    <t>GO-MAN-330</t>
  </si>
  <si>
    <t xml:space="preserve">Remove the mandatory AI requirement to complete the onboarding
</t>
  </si>
  <si>
    <t>Using non-production data, open /membership, mentor application open route, and administrator user controls. Prepare the state named “Unauthorized mentor status changes”, perform the single relevant navigation or action, and record the visible result, resulting URL, HTTP status where applicable, and browser console/network errors.</t>
  </si>
  <si>
    <t>The “Unauthorized mentor status changes” scenario reaches the named state once, shows the expected controls and confirmation, updates only the authorized record, and creates no duplicate or unrelated state.</t>
  </si>
  <si>
    <t>Unauthorized mentor status changes</t>
  </si>
  <si>
    <t>GO-MAN-331</t>
  </si>
  <si>
    <t>Using non-production data, open /membership, mentor application open route, and administrator user controls. Prepare the state named “Mentor status audit history”, perform the single relevant navigation or action, and record the visible result, resulting URL, HTTP status where applicable, and browser console/network errors.</t>
  </si>
  <si>
    <t>The “Mentor status audit history” action creates one audit entry containing actor, action, target, previous value, new value, timestamp, and reason where required.</t>
  </si>
  <si>
    <t>Mentor status audit history</t>
  </si>
  <si>
    <t xml:space="preserve">Allow on thi sscreen the full scope of skills that are available in the BE
</t>
  </si>
  <si>
    <t>GO-MAN-332</t>
  </si>
  <si>
    <t>Mentor Directory</t>
  </si>
  <si>
    <t>Using non-production data, open /mentors, /mentors/[mentorId], and mentor profile editor. Prepare the state named “Approved public mentor”, perform the single relevant navigation or action, and record the visible result, resulting URL, HTTP status where applicable, and browser console/network errors.</t>
  </si>
  <si>
    <t>The “Approved public mentor” scenario reaches the named state once, shows the expected controls and confirmation, updates only the authorized record, and creates no duplicate or unrelated state.</t>
  </si>
  <si>
    <t>Approved public mentor</t>
  </si>
  <si>
    <t>Synthetic mentor accounts cover every status and public-visibility combination. Use synthetic records and do not change production data.</t>
  </si>
  <si>
    <t xml:space="preserve">I want to be able to choose any skill to be my primary
</t>
  </si>
  <si>
    <t>GO-MAN-333</t>
  </si>
  <si>
    <t>Issues with overlap with Profile and GameDev Passport</t>
  </si>
  <si>
    <t>Using non-production data, open /mentors, /mentors/[mentorId], and mentor profile editor. Prepare the state named “Approved private mentor”, perform the single relevant navigation or action, and record the visible result, resulting URL, HTTP status where applicable, and browser console/network errors.</t>
  </si>
  <si>
    <t xml:space="preserve">Make a list of all changes required first please </t>
  </si>
  <si>
    <t>The “Approved private mentor” restriction is enforced in both UI and direct request behavior; the protected action/value is absent and the user receives a clear non-success state.</t>
  </si>
  <si>
    <t>Approved private mentor</t>
  </si>
  <si>
    <t xml:space="preserve">There is a verify email but no verification email is sent we need to fix this logic. </t>
  </si>
  <si>
    <t>GO-MAN-334</t>
  </si>
  <si>
    <t>Using non-production data, open /mentors, /mentors/[mentorId], and mentor profile editor. Prepare the state named “Temporarily unavailable mentor”, perform the single relevant navigation or action, and record the visible result, resulting URL, HTTP status where applicable, and browser console/network errors.</t>
  </si>
  <si>
    <t>The “Temporarily unavailable mentor” scenario reaches the named state once, shows the expected controls and confirmation, updates only the authorized record, and creates no duplicate or unrelated state.</t>
  </si>
  <si>
    <t>Temporarily unavailable mentor</t>
  </si>
  <si>
    <t xml:space="preserve">Creator should decide if they will allow for the user to apply to the project again, please make sure to add a mandatory field for creators to have to select or explain why they have rejected a user. And inform users automatically when the project has moved to a different stage from hiring and thet they were not selected for this project at this time but encourage to follow the project and apply </t>
  </si>
  <si>
    <t>GO-MAN-335</t>
  </si>
  <si>
    <t xml:space="preserve">I should </t>
  </si>
  <si>
    <t>Using non-production data, open /mentors, /mentors/[mentorId], and mentor profile editor. Prepare the state named “Suspended mentor hidden”, perform the single relevant navigation or action, and record the visible result, resulting URL, HTTP status where applicable, and browser console/network errors.</t>
  </si>
  <si>
    <t>The “Suspended mentor hidden” restriction is enforced in both UI and direct request behavior; the protected action/value is absent and the user receives a clear non-success state.</t>
  </si>
  <si>
    <t>Suspended mentor hidden</t>
  </si>
  <si>
    <t>Suspended Mentor</t>
  </si>
  <si>
    <t>GO-MAN-336</t>
  </si>
  <si>
    <t>Using non-production data, open /mentors, /mentors/[mentorId], and mentor profile editor. Prepare the state named “Inactive mentor hidden”, perform the single relevant navigation or action, and record the visible result, resulting URL, HTTP status where applicable, and browser console/network errors.</t>
  </si>
  <si>
    <t>The “Inactive mentor hidden” restriction is enforced in both UI and direct request behavior; the protected action/value is absent and the user receives a clear non-success state.</t>
  </si>
  <si>
    <t>Inactive mentor hidden</t>
  </si>
  <si>
    <t>GO-MAN-337</t>
  </si>
  <si>
    <t>Using non-production data, open /mentors, /mentors/[mentorId], and mentor profile editor. Prepare the state named “Rejected applicant hidden”, perform the single relevant navigation or action, and record the visible result, resulting URL, HTTP status where applicable, and browser console/network errors.</t>
  </si>
  <si>
    <t>The “Rejected applicant hidden” restriction is enforced in both UI and direct request behavior; the protected action/value is absent and the user receives a clear non-success state.</t>
  </si>
  <si>
    <t>Rejected applicant hidden</t>
  </si>
  <si>
    <t>Visitor or approved mentor</t>
  </si>
  <si>
    <t>GO-MAN-338</t>
  </si>
  <si>
    <t>Using non-production data, open /mentors, /mentors/[mentorId], and mentor profile editor. Prepare the state named “Mentor profile creation”, perform the single relevant navigation or action, and record the visible result, resulting URL, HTTP status where applicable, and browser console/network errors.</t>
  </si>
  <si>
    <t>The “Mentor profile creation” scenario reaches the named state once, shows the expected controls and confirmation, updates only the authorized record, and creates no duplicate or unrelated state.</t>
  </si>
  <si>
    <t>Mentor profile creation</t>
  </si>
  <si>
    <t>GO-MAN-339</t>
  </si>
  <si>
    <t>Using non-production data, open /mentors, /mentors/[mentorId], and mentor profile editor. Prepare the state named “Mentor profile editing”, perform the single relevant navigation or action, and record the visible result, resulting URL, HTTP status where applicable, and browser console/network errors.</t>
  </si>
  <si>
    <t>The “Mentor profile editing” scenario reaches the named state once, shows the expected controls and confirmation, updates only the authorized record, and creates no duplicate or unrelated state.</t>
  </si>
  <si>
    <t>Mentor profile editing</t>
  </si>
  <si>
    <t>GO-MAN-340</t>
  </si>
  <si>
    <t>Using non-production data, open /mentors, /mentors/[mentorId], and mentor profile editor. Prepare the state named “Mentor required fields”, perform the single relevant navigation or action, and record the visible result, resulting URL, HTTP status where applicable, and browser console/network errors.</t>
  </si>
  <si>
    <t>The “Mentor required fields” scenario reaches the named state once, shows the expected controls and confirmation, updates only the authorized record, and creates no duplicate or unrelated state.</t>
  </si>
  <si>
    <t>Mentor required fields</t>
  </si>
  <si>
    <t>GO-MAN-341</t>
  </si>
  <si>
    <t>Using non-production data, open /mentors, /mentors/[mentorId], and mentor profile editor. Prepare the state named “Invalid mentor portfolio URL”, perform the single relevant navigation or action, and record the visible result, resulting URL, HTTP status where applicable, and browser console/network errors.</t>
  </si>
  <si>
    <t>The “Invalid mentor portfolio URL” scenario reaches the named state once, shows the expected controls and confirmation, updates only the authorized record, and creates no duplicate or unrelated state.</t>
  </si>
  <si>
    <t>Invalid mentor portfolio URL</t>
  </si>
  <si>
    <t>GO-MAN-342</t>
  </si>
  <si>
    <t>Using non-production data, open /mentors, /mentors/[mentorId], and mentor profile editor. Prepare the state named “Selected portfolio visibility”, perform the single relevant navigation or action, and record the visible result, resulting URL, HTTP status where applicable, and browser console/network errors.</t>
  </si>
  <si>
    <t>The “Selected portfolio visibility” scenario reaches the named state once, shows the expected controls and confirmation, updates only the authorized record, and creates no duplicate or unrelated state.</t>
  </si>
  <si>
    <t>Selected portfolio visibility</t>
  </si>
  <si>
    <t>GO-MAN-343</t>
  </si>
  <si>
    <t>Using non-production data, open /mentors, /mentors/[mentorId], and mentor profile editor. Prepare the state named “Private mentor email protected”, perform the single relevant navigation or action, and record the visible result, resulting URL, HTTP status where applicable, and browser console/network errors.</t>
  </si>
  <si>
    <t>The “Private mentor email protected” restriction is enforced in both UI and direct request behavior; the protected action/value is absent and the user receives a clear non-success state.</t>
  </si>
  <si>
    <t>Private mentor email protected</t>
  </si>
  <si>
    <t>GO-MAN-344</t>
  </si>
  <si>
    <t>Using non-production data, open /mentors, /mentors/[mentorId], and mentor profile editor. Prepare the state named “Mentor telephone protected”, perform the single relevant navigation or action, and record the visible result, resulting URL, HTTP status where applicable, and browser console/network errors.</t>
  </si>
  <si>
    <t>The “Mentor telephone protected” restriction is enforced in both UI and direct request behavior; the protected action/value is absent and the user receives a clear non-success state.</t>
  </si>
  <si>
    <t>Mentor telephone protected</t>
  </si>
  <si>
    <t>GO-MAN-345</t>
  </si>
  <si>
    <t>Using non-production data, open /mentors, /mentors/[mentorId], and mentor profile editor. Prepare the state named “Mentor CV protected”, perform the single relevant navigation or action, and record the visible result, resulting URL, HTTP status where applicable, and browser console/network errors.</t>
  </si>
  <si>
    <t>The “Mentor CV protected” restriction is enforced in both UI and direct request behavior; the protected action/value is absent and the user receives a clear non-success state.</t>
  </si>
  <si>
    <t>Mentor CV protected</t>
  </si>
  <si>
    <t>GO-MAN-346</t>
  </si>
  <si>
    <t>Using non-production data, open /mentors, /mentors/[mentorId], and mentor profile editor. Prepare the state named “Mentor internal notes protected”, perform the single relevant navigation or action, and record the visible result, resulting URL, HTTP status where applicable, and browser console/network errors.</t>
  </si>
  <si>
    <t>The “Mentor internal notes protected” restriction is enforced in both UI and direct request behavior; the protected action/value is absent and the user receives a clear non-success state.</t>
  </si>
  <si>
    <t>Mentor internal notes protected</t>
  </si>
  <si>
    <t>GO-MAN-347</t>
  </si>
  <si>
    <t>Using non-production data, open /mentors, /mentors/[mentorId], and mentor profile editor. Prepare the state named “Public mentor directory filtering”, perform the single relevant navigation or action, and record the visible result, resulting URL, HTTP status where applicable, and browser console/network errors.</t>
  </si>
  <si>
    <t>The “Public mentor directory filtering” scenario reaches the named state once, shows the expected controls and confirmation, updates only the authorized record, and creates no duplicate or unrelated state.</t>
  </si>
  <si>
    <t>Public mentor directory filtering</t>
  </si>
  <si>
    <t>GO-MAN-348</t>
  </si>
  <si>
    <t>Using non-production data, open /mentors, /mentors/[mentorId], and mentor profile editor. Prepare the state named “Discipline filter”, perform the single relevant navigation or action, and record the visible result, resulting URL, HTTP status where applicable, and browser console/network errors.</t>
  </si>
  <si>
    <t>The “Discipline filter” scenario reaches the named state once, shows the expected controls and confirmation, updates only the authorized record, and creates no duplicate or unrelated state.</t>
  </si>
  <si>
    <t>Discipline filter</t>
  </si>
  <si>
    <t>GO-MAN-349</t>
  </si>
  <si>
    <t>Using non-production data, open /mentors, /mentors/[mentorId], and mentor profile editor. Prepare the state named “Skill filter”, perform the single relevant navigation or action, and record the visible result, resulting URL, HTTP status where applicable, and browser console/network errors.</t>
  </si>
  <si>
    <t>The “Skill filter” scenario reaches the named state once, shows the expected controls and confirmation, updates only the authorized record, and creates no duplicate or unrelated state.</t>
  </si>
  <si>
    <t>Skill filter</t>
  </si>
  <si>
    <t>GO-MAN-350</t>
  </si>
  <si>
    <t>Using non-production data, open /mentors, /mentors/[mentorId], and mentor profile editor. Prepare the state named “Supported-level filter”, perform the single relevant navigation or action, and record the visible result, resulting URL, HTTP status where applicable, and browser console/network errors.</t>
  </si>
  <si>
    <t>The “Supported-level filter” scenario reaches the named state once, shows the expected controls and confirmation, updates only the authorized record, and creates no duplicate or unrelated state.</t>
  </si>
  <si>
    <t>Supported-level filter</t>
  </si>
  <si>
    <t>GO-MAN-351</t>
  </si>
  <si>
    <t>Using non-production data, open /mentors, /mentors/[mentorId], and mentor profile editor. Prepare the state named “Language filter”, perform the single relevant navigation or action, and record the visible result, resulting URL, HTTP status where applicable, and browser console/network errors.</t>
  </si>
  <si>
    <t>The “Language filter” scenario reaches the named state once, shows the expected controls and confirmation, updates only the authorized record, and creates no duplicate or unrelated state.</t>
  </si>
  <si>
    <t>Language filter</t>
  </si>
  <si>
    <t>GO-MAN-352</t>
  </si>
  <si>
    <t>Using non-production data, open /mentors, /mentors/[mentorId], and mentor profile editor. Prepare the state named “Mentorship-format filter”, perform the single relevant navigation or action, and record the visible result, resulting URL, HTTP status where applicable, and browser console/network errors.</t>
  </si>
  <si>
    <t>The “Mentorship-format filter” scenario reaches the named state once, shows the expected controls and confirmation, updates only the authorized record, and creates no duplicate or unrelated state.</t>
  </si>
  <si>
    <t>Mentorship-format filter</t>
  </si>
  <si>
    <t>GO-MAN-353</t>
  </si>
  <si>
    <t>Using non-production data, open /mentors, /mentors/[mentorId], and mentor profile editor. Prepare the state named “Accepting-students filter”, perform the single relevant navigation or action, and record the visible result, resulting URL, HTTP status where applicable, and browser console/network errors.</t>
  </si>
  <si>
    <t>The “Accepting-students filter” scenario reaches the named state once, shows the expected controls and confirmation, updates only the authorized record, and creates no duplicate or unrelated state.</t>
  </si>
  <si>
    <t>Accepting-students filter</t>
  </si>
  <si>
    <t>Community Student</t>
  </si>
  <si>
    <t>GO-MAN-354</t>
  </si>
  <si>
    <t>Using non-production data, open /mentors, /mentors/[mentorId], and mentor profile editor. Prepare the state named “Empty mentor directory”, perform the single relevant navigation or action, and record the visible result, resulting URL, HTTP status where applicable, and browser console/network errors.</t>
  </si>
  <si>
    <t>The “Empty mentor directory” state displays an explicit empty-state message and approved next action without blank or broken layout.</t>
  </si>
  <si>
    <t>Empty mentor directory</t>
  </si>
  <si>
    <t>GO-MAN-355</t>
  </si>
  <si>
    <t>Using non-production data, open /mentors, /mentors/[mentorId], and mentor profile editor. Prepare the state named “Mentor directory hidden from major navigation when empty”, perform the single relevant navigation or action, and record the visible result, resulting URL, HTTP status where applicable, and browser console/network errors.</t>
  </si>
  <si>
    <t>The “Mentor directory hidden from major navigation when empty” restriction is enforced in both UI and direct request behavior; the protected action/value is absent and the user receives a clear non-success state.</t>
  </si>
  <si>
    <t>Mentor directory hidden from major navigation when empty</t>
  </si>
  <si>
    <t>GO-MAN-356</t>
  </si>
  <si>
    <t>Using non-production data, open /mentors, /mentors/[mentorId], and mentor profile editor. Prepare the state named “Mobile mentor cards”, perform the single relevant navigation or action, and record the visible result, resulting URL, HTTP status where applicable, and browser console/network errors.</t>
  </si>
  <si>
    <t>At “Mobile mentor cards”, content remains readable with no clipping or horizontal overflow; focus, labels, status meaning, touch targets, and motion behavior remain perceivable and operable.</t>
  </si>
  <si>
    <t>Mobile mentor cards</t>
  </si>
  <si>
    <t>GO-MAN-357</t>
  </si>
  <si>
    <t>Using non-production data, open /mentors, /mentors/[mentorId], and mentor profile editor. Prepare the state named “Responsive mentor profile”, perform the single relevant navigation or action, and record the visible result, resulting URL, HTTP status where applicable, and browser console/network errors.</t>
  </si>
  <si>
    <t>At “Responsive mentor profile”, content remains readable with no clipping or horizontal overflow; focus, labels, status meaning, touch targets, and motion behavior remain perceivable and operable.</t>
  </si>
  <si>
    <t>Responsive mentor profile</t>
  </si>
  <si>
    <t>GO-MAN-358</t>
  </si>
  <si>
    <t>Using non-production data, open /mentors, /mentors/[mentorId], and mentor profile editor. Prepare the state named “Mentor keyboard navigation”, perform the single relevant navigation or action, and record the visible result, resulting URL, HTTP status where applicable, and browser console/network errors.</t>
  </si>
  <si>
    <t>At “Mentor keyboard navigation”, content remains readable with no clipping or horizontal overflow; focus, labels, status meaning, touch targets, and motion behavior remain perceivable and operable.</t>
  </si>
  <si>
    <t>Mentor keyboard navigation</t>
  </si>
  <si>
    <t>GO-MAN-359</t>
  </si>
  <si>
    <t>Using non-production data, open /mentors, /mentors/[mentorId], and mentor profile editor. Prepare the state named “Mentor focus state”, perform the single relevant navigation or action, and record the visible result, resulting URL, HTTP status where applicable, and browser console/network errors.</t>
  </si>
  <si>
    <t>At “Mentor focus state”, content remains readable with no clipping or horizontal overflow; focus, labels, status meaning, touch targets, and motion behavior remain perceivable and operable.</t>
  </si>
  <si>
    <t>Mentor focus state</t>
  </si>
  <si>
    <t>GO-MAN-360</t>
  </si>
  <si>
    <t>Using non-production data, open /mentors, /mentors/[mentorId], and mentor profile editor. Prepare the state named “Mentor contrast”, perform the single relevant navigation or action, and record the visible result, resulting URL, HTTP status where applicable, and browser console/network errors.</t>
  </si>
  <si>
    <t>At “Mentor contrast”, content remains readable with no clipping or horizontal overflow; focus, labels, status meaning, touch targets, and motion behavior remain perceivable and operable.</t>
  </si>
  <si>
    <t>Mentor contrast</t>
  </si>
  <si>
    <t>GO-MAN-361</t>
  </si>
  <si>
    <t>Using non-production data, open /mentors, /mentors/[mentorId], and mentor profile editor. Prepare the state named “General availability labels”, perform the single relevant navigation or action, and record the visible result, resulting URL, HTTP status where applicable, and browser console/network errors.</t>
  </si>
  <si>
    <t>The “General availability labels” scenario reaches the named state once, shows the expected controls and confirmation, updates only the authorized record, and creates no duplicate or unrelated state.</t>
  </si>
  <si>
    <t>General availability labels</t>
  </si>
  <si>
    <t>GO-MAN-362</t>
  </si>
  <si>
    <t>Mentor Availability &amp; Training</t>
  </si>
  <si>
    <t>Using non-production data, open Mentor availability editor, public mentor profile, admin training assignments, and user dashboard. Prepare the state named “Recurring mentor availability”, perform the single relevant navigation or action, and record the visible result, resulting URL, HTTP status where applicable, and browser console/network errors.</t>
  </si>
  <si>
    <t>The “Recurring mentor availability” scenario reaches the named state once, shows the expected controls and confirmation, updates only the authorized record, and creates no duplicate or unrelated state.</t>
  </si>
  <si>
    <t>Recurring mentor availability</t>
  </si>
  <si>
    <t>An approved mentor and assignable synthetic course, workshop, and video bundle exist. Use synthetic records and do not change production data.</t>
  </si>
  <si>
    <t>GO-MAN-363</t>
  </si>
  <si>
    <t>Using non-production data, open Mentor availability editor, public mentor profile, admin training assignments, and user dashboard. Prepare the state named “Individual mentor dates”, perform the single relevant navigation or action, and record the visible result, resulting URL, HTTP status where applicable, and browser console/network errors.</t>
  </si>
  <si>
    <t>The “Individual mentor dates” scenario reaches the named state once, shows the expected controls and confirmation, updates only the authorized record, and creates no duplicate or unrelated state.</t>
  </si>
  <si>
    <t>Individual mentor dates</t>
  </si>
  <si>
    <t>GO-MAN-364</t>
  </si>
  <si>
    <t>Using non-production data, open Mentor availability editor, public mentor profile, admin training assignments, and user dashboard. Prepare the state named “Mentor time-zone conversion”, perform the single relevant navigation or action, and record the visible result, resulting URL, HTTP status where applicable, and browser console/network errors.</t>
  </si>
  <si>
    <t>The “Mentor time-zone conversion” scenario reaches the named state once, shows the expected controls and confirmation, updates only the authorized record, and creates no duplicate or unrelated state.</t>
  </si>
  <si>
    <t>Mentor time-zone conversion</t>
  </si>
  <si>
    <t>GO-MAN-365</t>
  </si>
  <si>
    <t>Using non-production data, open Mentor availability editor, public mentor profile, admin training assignments, and user dashboard. Prepare the state named “Online mentorship format”, perform the single relevant navigation or action, and record the visible result, resulting URL, HTTP status where applicable, and browser console/network errors.</t>
  </si>
  <si>
    <t>The “Online mentorship format” scenario reaches the named state once, shows the expected controls and confirmation, updates only the authorized record, and creates no duplicate or unrelated state.</t>
  </si>
  <si>
    <t>Online mentorship format</t>
  </si>
  <si>
    <t>GO-MAN-366</t>
  </si>
  <si>
    <t>Using non-production data, open Mentor availability editor, public mentor profile, admin training assignments, and user dashboard. Prepare the state named “GOHQ mentorship format”, perform the single relevant navigation or action, and record the visible result, resulting URL, HTTP status where applicable, and browser console/network errors.</t>
  </si>
  <si>
    <t>The “GOHQ mentorship format” scenario reaches the named state once, shows the expected controls and confirmation, updates only the authorized record, and creates no duplicate or unrelated state.</t>
  </si>
  <si>
    <t>GOHQ mentorship format</t>
  </si>
  <si>
    <t>GO-MAN-367</t>
  </si>
  <si>
    <t>Using non-production data, open Mentor availability editor, public mentor profile, admin training assignments, and user dashboard. Prepare the state named “Hybrid mentorship format”, perform the single relevant navigation or action, and record the visible result, resulting URL, HTTP status where applicable, and browser console/network errors.</t>
  </si>
  <si>
    <t>The “Hybrid mentorship format” scenario reaches the named state once, shows the expected controls and confirmation, updates only the authorized record, and creates no duplicate or unrelated state.</t>
  </si>
  <si>
    <t>Hybrid mentorship format</t>
  </si>
  <si>
    <t>GO-MAN-368</t>
  </si>
  <si>
    <t>Using non-production data, open Mentor availability editor, public mentor profile, admin training assignments, and user dashboard. Prepare the state named “Group mentoring”, perform the single relevant navigation or action, and record the visible result, resulting URL, HTTP status where applicable, and browser console/network errors.</t>
  </si>
  <si>
    <t>The “Group mentoring” scenario reaches the named state once, shows the expected controls and confirmation, updates only the authorized record, and creates no duplicate or unrelated state.</t>
  </si>
  <si>
    <t>Group mentoring</t>
  </si>
  <si>
    <t>GO-MAN-369</t>
  </si>
  <si>
    <t>Using non-production data, open Mentor availability editor, public mentor profile, admin training assignments, and user dashboard. Prepare the state named “Individual mentoring”, perform the single relevant navigation or action, and record the visible result, resulting URL, HTTP status where applicable, and browser console/network errors.</t>
  </si>
  <si>
    <t>The “Individual mentoring” scenario reaches the named state once, shows the expected controls and confirmation, updates only the authorized record, and creates no duplicate or unrelated state.</t>
  </si>
  <si>
    <t>Individual mentoring</t>
  </si>
  <si>
    <t>GO-MAN-370</t>
  </si>
  <si>
    <t>Using non-production data, open Mentor availability editor, public mentor profile, admin training assignments, and user dashboard. Prepare the state named “Mentor capacity”, perform the single relevant navigation or action, and record the visible result, resulting URL, HTTP status where applicable, and browser console/network errors.</t>
  </si>
  <si>
    <t>The “Mentor capacity” scenario reaches the named state once, shows the expected controls and confirmation, updates only the authorized record, and creates no duplicate or unrelated state.</t>
  </si>
  <si>
    <t>Mentor capacity</t>
  </si>
  <si>
    <t>GO-MAN-371</t>
  </si>
  <si>
    <t>Using non-production data, open Mentor availability editor, public mentor profile, admin training assignments, and user dashboard. Prepare the state named “Mentor temporary pause”, perform the single relevant navigation or action, and record the visible result, resulting URL, HTTP status where applicable, and browser console/network errors.</t>
  </si>
  <si>
    <t>The “Mentor temporary pause” scenario reaches the named state once, shows the expected controls and confirmation, updates only the authorized record, and creates no duplicate or unrelated state.</t>
  </si>
  <si>
    <t>Mentor temporary pause</t>
  </si>
  <si>
    <t>GO-MAN-372</t>
  </si>
  <si>
    <t>Using non-production data, open Mentor availability editor, public mentor profile, admin training assignments, and user dashboard. Prepare the state named “Exact schedule hidden from public users”, perform the single relevant navigation or action, and record the visible result, resulting URL, HTTP status where applicable, and browser console/network errors.</t>
  </si>
  <si>
    <t>The “Exact schedule hidden from public users” restriction is enforced in both UI and direct request behavior; the protected action/value is absent and the user receives a clear non-success state.</t>
  </si>
  <si>
    <t>Exact schedule hidden from public users</t>
  </si>
  <si>
    <t>Approved mentor, visitor, or administrator</t>
  </si>
  <si>
    <t>GO-MAN-373</t>
  </si>
  <si>
    <t>Using non-production data, open Mentor availability editor, public mentor profile, admin training assignments, and user dashboard. Prepare the state named “General public availability label”, perform the single relevant navigation or action, and record the visible result, resulting URL, HTTP status where applicable, and browser console/network errors.</t>
  </si>
  <si>
    <t>The “General public availability label” scenario reaches the named state once, shows the expected controls and confirmation, updates only the authorized record, and creates no duplicate or unrelated state.</t>
  </si>
  <si>
    <t>General public availability label</t>
  </si>
  <si>
    <t>GO-MAN-374</t>
  </si>
  <si>
    <t>Using non-production data, open Mentor availability editor, public mentor profile, admin training assignments, and user dashboard. Prepare the state named “Unavailable mentor excluded from matchmaking”, perform the single relevant navigation or action, and record the visible result, resulting URL, HTTP status where applicable, and browser console/network errors.</t>
  </si>
  <si>
    <t>The “Unavailable mentor excluded from matchmaking” restriction is enforced in both UI and direct request behavior; the protected action/value is absent and the user receives a clear non-success state.</t>
  </si>
  <si>
    <t>Unavailable mentor excluded from matchmaking</t>
  </si>
  <si>
    <t>GO-MAN-375</t>
  </si>
  <si>
    <t>Using non-production data, open Mentor availability editor, public mentor profile, admin training assignments, and user dashboard. Prepare the state named “Administrator free-course assignment”, perform the single relevant navigation or action, and record the visible result, resulting URL, HTTP status where applicable, and browser console/network errors.</t>
  </si>
  <si>
    <t>The “Administrator free-course assignment” scenario reaches the named state once, shows the expected controls and confirmation, updates only the authorized record, and creates no duplicate or unrelated state.</t>
  </si>
  <si>
    <t>Administrator free-course assignment</t>
  </si>
  <si>
    <t>GO-MAN-376</t>
  </si>
  <si>
    <t>Using non-production data, open Mentor availability editor, public mentor profile, admin training assignments, and user dashboard. Prepare the state named “Administrator free-workshop assignment”, perform the single relevant navigation or action, and record the visible result, resulting URL, HTTP status where applicable, and browser console/network errors.</t>
  </si>
  <si>
    <t>The “Administrator free-workshop assignment” scenario reaches the named state once, shows the expected controls and confirmation, updates only the authorized record, and creates no duplicate or unrelated state.</t>
  </si>
  <si>
    <t>Administrator free-workshop assignment</t>
  </si>
  <si>
    <t>GO-MAN-377</t>
  </si>
  <si>
    <t>Using non-production data, open Mentor availability editor, public mentor profile, admin training assignments, and user dashboard. Prepare the state named “Administrator free-video assignment”, perform the single relevant navigation or action, and record the visible result, resulting URL, HTTP status where applicable, and browser console/network errors.</t>
  </si>
  <si>
    <t>The “Administrator free-video assignment” scenario reaches the named state once, shows the expected controls and confirmation, updates only the authorized record, and creates no duplicate or unrelated state.</t>
  </si>
  <si>
    <t>Administrator free-video assignment</t>
  </si>
  <si>
    <t>GO-MAN-378</t>
  </si>
  <si>
    <t>Using non-production data, open Mentor availability editor, public mentor profile, admin training assignments, and user dashboard. Prepare the state named “Training assignment reason”, perform the single relevant navigation or action, and record the visible result, resulting URL, HTTP status where applicable, and browser console/network errors.</t>
  </si>
  <si>
    <t>The “Training assignment reason” scenario reaches the named state once, shows the expected controls and confirmation, updates only the authorized record, and creates no duplicate or unrelated state.</t>
  </si>
  <si>
    <t>Training assignment reason</t>
  </si>
  <si>
    <t>GO-MAN-379</t>
  </si>
  <si>
    <t>Using non-production data, open Mentor availability editor, public mentor profile, admin training assignments, and user dashboard. Prepare the state named “Training assignment expiry”, perform the single relevant navigation or action, and record the visible result, resulting URL, HTTP status where applicable, and browser console/network errors.</t>
  </si>
  <si>
    <t>The “Training assignment expiry” scenario reaches the named state once, shows the expected controls and confirmation, updates only the authorized record, and creates no duplicate or unrelated state.</t>
  </si>
  <si>
    <t>Training assignment expiry</t>
  </si>
  <si>
    <t>GO-MAN-380</t>
  </si>
  <si>
    <t>Using non-production data, open Mentor availability editor, public mentor profile, admin training assignments, and user dashboard. Prepare the state named “Training assignment revocation”, perform the single relevant navigation or action, and record the visible result, resulting URL, HTTP status where applicable, and browser console/network errors.</t>
  </si>
  <si>
    <t>The “Training assignment revocation” scenario reaches the named state once, shows the expected controls and confirmation, updates only the authorized record, and creates no duplicate or unrelated state.</t>
  </si>
  <si>
    <t>Training assignment revocation</t>
  </si>
  <si>
    <t>GO-MAN-381</t>
  </si>
  <si>
    <t>Using non-production data, open Mentor availability editor, public mentor profile, admin training assignments, and user dashboard. Prepare the state named “Assigned preparation in dashboard”, perform the single relevant navigation or action, and record the visible result, resulting URL, HTTP status where applicable, and browser console/network errors.</t>
  </si>
  <si>
    <t>The “Assigned preparation in dashboard” scenario reaches the named state once, shows the expected controls and confirmation, updates only the authorized record, and creates no duplicate or unrelated state.</t>
  </si>
  <si>
    <t>Assigned preparation in dashboard</t>
  </si>
  <si>
    <t>GO-MAN-382</t>
  </si>
  <si>
    <t>Using non-production data, open Mentor availability editor, public mentor profile, admin training assignments, and user dashboard. Prepare the state named “Training access independent of Polar”, perform the single relevant navigation or action, and record the visible result, resulting URL, HTTP status where applicable, and browser console/network errors.</t>
  </si>
  <si>
    <t>The “Training access independent of Polar” scenario reaches the named state once, shows the expected controls and confirmation, updates only the authorized record, and creates no duplicate or unrelated state.</t>
  </si>
  <si>
    <t>Training access independent of Polar</t>
  </si>
  <si>
    <t>GO-MAN-383</t>
  </si>
  <si>
    <t>Using non-production data, open Mentor availability editor, public mentor profile, admin training assignments, and user dashboard. Prepare the state named “No access to unrelated training content”, perform the single relevant navigation or action, and record the visible result, resulting URL, HTTP status where applicable, and browser console/network errors.</t>
  </si>
  <si>
    <t>The “No access to unrelated training content” scenario reaches the named state once, shows the expected controls and confirmation, updates only the authorized record, and creates no duplicate or unrelated state.</t>
  </si>
  <si>
    <t>No access to unrelated training content</t>
  </si>
  <si>
    <t>GO-MAN-384</t>
  </si>
  <si>
    <t>Mentor Matchmaking</t>
  </si>
  <si>
    <t>Using non-production data, open /matchmaking and mentorship request/suggestion/response APIs. Prepare the state named “Community matchmaking eligibility”, perform the single relevant navigation or action, and record the visible result, resulting URL, HTTP status where applicable, and browser console/network errors.</t>
  </si>
  <si>
    <t>The “Community matchmaking eligibility” scenario reaches the named state once, shows the expected controls and confirmation, updates only the authorized record, and creates no duplicate or unrelated state.</t>
  </si>
  <si>
    <t>Community matchmaking eligibility</t>
  </si>
  <si>
    <t>Matchmaking is enabled in staging with compatible, incompatible, unavailable, suspended, and full-capacity mentors. Use synthetic records and do not change production data.</t>
  </si>
  <si>
    <t>GO-MAN-385</t>
  </si>
  <si>
    <t>Using non-production data, open /matchmaking and mentorship request/suggestion/response APIs. Prepare the state named “Business matchmaking eligibility”, perform the single relevant navigation or action, and record the visible result, resulting URL, HTTP status where applicable, and browser console/network errors.</t>
  </si>
  <si>
    <t>The “Business matchmaking eligibility” scenario reaches the named state once, shows the expected controls and confirmation, updates only the authorized record, and creates no duplicate or unrelated state.</t>
  </si>
  <si>
    <t>Business matchmaking eligibility</t>
  </si>
  <si>
    <t>GO-MAN-386</t>
  </si>
  <si>
    <t>Using non-production data, open /matchmaking and mentorship request/suggestion/response APIs. Prepare the state named “Free user blocked from matchmaking”, perform the single relevant navigation or action, and record the visible result, resulting URL, HTTP status where applicable, and browser console/network errors.</t>
  </si>
  <si>
    <t>The “Free user blocked from matchmaking” restriction is enforced in both UI and direct request behavior; the protected action/value is absent and the user receives a clear non-success state.</t>
  </si>
  <si>
    <t>Free user blocked from matchmaking</t>
  </si>
  <si>
    <t>Free Account</t>
  </si>
  <si>
    <t>GO-MAN-387</t>
  </si>
  <si>
    <t>Using non-production data, open /matchmaking and mentorship request/suggestion/response APIs. Prepare the state named “Under-18 user blocked from self-service matching”, perform the single relevant navigation or action, and record the visible result, resulting URL, HTTP status where applicable, and browser console/network errors.</t>
  </si>
  <si>
    <t>The “Under-18 user blocked from self-service matching” restriction is enforced in both UI and direct request behavior; the protected action/value is absent and the user receives a clear non-success state.</t>
  </si>
  <si>
    <t>Under-18 user blocked from self-service matching</t>
  </si>
  <si>
    <t>Community learner, Business learner, mentor, or administrator</t>
  </si>
  <si>
    <t>GO-MAN-388</t>
  </si>
  <si>
    <t>Using non-production data, open /matchmaking and mentorship request/suggestion/response APIs. Prepare the state named “Mentorship request form”, perform the single relevant navigation or action, and record the visible result, resulting URL, HTTP status where applicable, and browser console/network errors.</t>
  </si>
  <si>
    <t>The “Mentorship request form” scenario reaches the named state once, shows the expected controls and confirmation, updates only the authorized record, and creates no duplicate or unrelated state.</t>
  </si>
  <si>
    <t>Mentorship request form</t>
  </si>
  <si>
    <t>GO-MAN-389</t>
  </si>
  <si>
    <t>Using non-production data, open /matchmaking and mentorship request/suggestion/response APIs. Prepare the state named “Mentorship request validation”, perform the single relevant navigation or action, and record the visible result, resulting URL, HTTP status where applicable, and browser console/network errors.</t>
  </si>
  <si>
    <t>The “Mentorship request validation” scenario reaches the named state once, shows the expected controls and confirmation, updates only the authorized record, and creates no duplicate or unrelated state.</t>
  </si>
  <si>
    <t>Mentorship request validation</t>
  </si>
  <si>
    <t>GO-MAN-390</t>
  </si>
  <si>
    <t>Using non-production data, open /matchmaking and mentorship request/suggestion/response APIs. Prepare the state named “Learning objective”, perform the single relevant navigation or action, and record the visible result, resulting URL, HTTP status where applicable, and browser console/network errors.</t>
  </si>
  <si>
    <t>The “Learning objective” scenario reaches the named state once, shows the expected controls and confirmation, updates only the authorized record, and creates no duplicate or unrelated state.</t>
  </si>
  <si>
    <t>Learning objective</t>
  </si>
  <si>
    <t>GO-MAN-391</t>
  </si>
  <si>
    <t>Using non-production data, open /matchmaking and mentorship request/suggestion/response APIs. Prepare the state named “Discipline selection”, perform the single relevant navigation or action, and record the visible result, resulting URL, HTTP status where applicable, and browser console/network errors.</t>
  </si>
  <si>
    <t>The “Discipline selection” scenario reaches the named state once, shows the expected controls and confirmation, updates only the authorized record, and creates no duplicate or unrelated state.</t>
  </si>
  <si>
    <t>Discipline selection</t>
  </si>
  <si>
    <t>GO-MAN-392</t>
  </si>
  <si>
    <t>Using non-production data, open /matchmaking and mentorship request/suggestion/response APIs. Prepare the state named “Skill-level selection”, perform the single relevant navigation or action, and record the visible result, resulting URL, HTTP status where applicable, and browser console/network errors.</t>
  </si>
  <si>
    <t>The “Skill-level selection” scenario reaches the named state once, shows the expected controls and confirmation, updates only the authorized record, and creates no duplicate or unrelated state.</t>
  </si>
  <si>
    <t>Skill-level selection</t>
  </si>
  <si>
    <t>GO-MAN-393</t>
  </si>
  <si>
    <t>Using non-production data, open /matchmaking and mentorship request/suggestion/response APIs. Prepare the state named “Preferred language”, perform the single relevant navigation or action, and record the visible result, resulting URL, HTTP status where applicable, and browser console/network errors.</t>
  </si>
  <si>
    <t>The “Preferred language” scenario reaches the named state once, shows the expected controls and confirmation, updates only the authorized record, and creates no duplicate or unrelated state.</t>
  </si>
  <si>
    <t>Preferred language</t>
  </si>
  <si>
    <t>GO-MAN-394</t>
  </si>
  <si>
    <t>Using non-production data, open /matchmaking and mentorship request/suggestion/response APIs. Prepare the state named “Preferred format”, perform the single relevant navigation or action, and record the visible result, resulting URL, HTTP status where applicable, and browser console/network errors.</t>
  </si>
  <si>
    <t>The “Preferred format” scenario reaches the named state once, shows the expected controls and confirmation, updates only the authorized record, and creates no duplicate or unrelated state.</t>
  </si>
  <si>
    <t>Preferred format</t>
  </si>
  <si>
    <t>GO-MAN-395</t>
  </si>
  <si>
    <t>Using non-production data, open /matchmaking and mentorship request/suggestion/response APIs. Prepare the state named “General availability”, perform the single relevant navigation or action, and record the visible result, resulting URL, HTTP status where applicable, and browser console/network errors.</t>
  </si>
  <si>
    <t>The “General availability” scenario reaches the named state once, shows the expected controls and confirmation, updates only the authorized record, and creates no duplicate or unrelated state.</t>
  </si>
  <si>
    <t>General availability</t>
  </si>
  <si>
    <t>GO-MAN-396</t>
  </si>
  <si>
    <t>Using non-production data, open /matchmaking and mentorship request/suggestion/response APIs. Prepare the state named “Expected duration”, perform the single relevant navigation or action, and record the visible result, resulting URL, HTTP status where applicable, and browser console/network errors.</t>
  </si>
  <si>
    <t>The “Expected duration” scenario reaches the named state once, shows the expected controls and confirmation, updates only the authorized record, and creates no duplicate or unrelated state.</t>
  </si>
  <si>
    <t>Expected duration</t>
  </si>
  <si>
    <t>GO-MAN-397</t>
  </si>
  <si>
    <t>Using non-production data, open /matchmaking and mentorship request/suggestion/response APIs. Prepare the state named “Optional portfolio link”, perform the single relevant navigation or action, and record the visible result, resulting URL, HTTP status where applicable, and browser console/network errors.</t>
  </si>
  <si>
    <t>The “Optional portfolio link” scenario reaches the named state once, shows the expected controls and confirmation, updates only the authorized record, and creates no duplicate or unrelated state.</t>
  </si>
  <si>
    <t>Optional portfolio link</t>
  </si>
  <si>
    <t>GO-MAN-398</t>
  </si>
  <si>
    <t>Using non-production data, open /matchmaking and mentorship request/suggestion/response APIs. Prepare the state named “Optional request note”, perform the single relevant navigation or action, and record the visible result, resulting URL, HTTP status where applicable, and browser console/network errors.</t>
  </si>
  <si>
    <t>The “Optional request note” scenario reaches the named state once, shows the expected controls and confirmation, updates only the authorized record, and creates no duplicate or unrelated state.</t>
  </si>
  <si>
    <t>Optional request note</t>
  </si>
  <si>
    <t>GO-MAN-399</t>
  </si>
  <si>
    <t>Using non-production data, open /matchmaking and mentorship request/suggestion/response APIs. Prepare the state named “Compatible mentor suggestions”, perform the single relevant navigation or action, and record the visible result, resulting URL, HTTP status where applicable, and browser console/network errors.</t>
  </si>
  <si>
    <t>The “Compatible mentor suggestions” scenario reaches the named state once, shows the expected controls and confirmation, updates only the authorized record, and creates no duplicate or unrelated state.</t>
  </si>
  <si>
    <t>Compatible mentor suggestions</t>
  </si>
  <si>
    <t>GO-MAN-400</t>
  </si>
  <si>
    <t>Using non-production data, open /matchmaking and mentorship request/suggestion/response APIs. Prepare the state named “Suspended mentor excluded”, perform the single relevant navigation or action, and record the visible result, resulting URL, HTTP status where applicable, and browser console/network errors.</t>
  </si>
  <si>
    <t>The “Suspended mentor excluded” restriction is enforced in both UI and direct request behavior; the protected action/value is absent and the user receives a clear non-success state.</t>
  </si>
  <si>
    <t>Suspended mentor excluded</t>
  </si>
  <si>
    <t>GO-MAN-401</t>
  </si>
  <si>
    <t>Using non-production data, open /matchmaking and mentorship request/suggestion/response APIs. Prepare the state named “Unavailable mentor excluded”, perform the single relevant navigation or action, and record the visible result, resulting URL, HTTP status where applicable, and browser console/network errors.</t>
  </si>
  <si>
    <t>The “Unavailable mentor excluded” restriction is enforced in both UI and direct request behavior; the protected action/value is absent and the user receives a clear non-success state.</t>
  </si>
  <si>
    <t>Unavailable mentor excluded</t>
  </si>
  <si>
    <t>GO-MAN-402</t>
  </si>
  <si>
    <t>Using non-production data, open /matchmaking and mentorship request/suggestion/response APIs. Prepare the state named “Full-capacity mentor excluded”, perform the single relevant navigation or action, and record the visible result, resulting URL, HTTP status where applicable, and browser console/network errors.</t>
  </si>
  <si>
    <t>The “Full-capacity mentor excluded” restriction is enforced in both UI and direct request behavior; the protected action/value is absent and the user receives a clear non-success state.</t>
  </si>
  <si>
    <t>Full-capacity mentor excluded</t>
  </si>
  <si>
    <t>GO-MAN-403</t>
  </si>
  <si>
    <t>Using non-production data, open /matchmaking and mentorship request/suggestion/response APIs. Prepare the state named “Incorrect discipline excluded”, perform the single relevant navigation or action, and record the visible result, resulting URL, HTTP status where applicable, and browser console/network errors.</t>
  </si>
  <si>
    <t>The “Incorrect discipline excluded” restriction is enforced in both UI and direct request behavior; the protected action/value is absent and the user receives a clear non-success state.</t>
  </si>
  <si>
    <t>Incorrect discipline excluded</t>
  </si>
  <si>
    <t>GO-MAN-404</t>
  </si>
  <si>
    <t>Using non-production data, open /matchmaking and mentorship request/suggestion/response APIs. Prepare the state named “One pending mentorship request limit”, perform the single relevant navigation or action, and record the visible result, resulting URL, HTTP status where applicable, and browser console/network errors.</t>
  </si>
  <si>
    <t>The “One pending mentorship request limit” scenario reaches the named state once, shows the expected controls and confirmation, updates only the authorized record, and creates no duplicate or unrelated state.</t>
  </si>
  <si>
    <t>One pending mentorship request limit</t>
  </si>
  <si>
    <t>GO-MAN-405</t>
  </si>
  <si>
    <t>Using non-production data, open /matchmaking and mentorship request/suggestion/response APIs. Prepare the state named “Mentorship request withdrawal”, perform the single relevant navigation or action, and record the visible result, resulting URL, HTTP status where applicable, and browser console/network errors.</t>
  </si>
  <si>
    <t>The “Mentorship request withdrawal” scenario reaches the named state once, shows the expected controls and confirmation, updates only the authorized record, and creates no duplicate or unrelated state.</t>
  </si>
  <si>
    <t>Mentorship request withdrawal</t>
  </si>
  <si>
    <t>GO-MAN-406</t>
  </si>
  <si>
    <t>Using non-production data, open /matchmaking and mentorship request/suggestion/response APIs. Prepare the state named “Student selects mentor”, perform the single relevant navigation or action, and record the visible result, resulting URL, HTTP status where applicable, and browser console/network errors.</t>
  </si>
  <si>
    <t>The “Student selects mentor” scenario reaches the named state once, shows the expected controls and confirmation, updates only the authorized record, and creates no duplicate or unrelated state.</t>
  </si>
  <si>
    <t>Student selects mentor</t>
  </si>
  <si>
    <t>GO-MAN-407</t>
  </si>
  <si>
    <t>Using non-production data, open /matchmaking and mentorship request/suggestion/response APIs. Prepare the state named “Request GO assistance”, perform the single relevant navigation or action, and record the visible result, resulting URL, HTTP status where applicable, and browser console/network errors.</t>
  </si>
  <si>
    <t>The “Request GO assistance” scenario reaches the named state once, shows the expected controls and confirmation, updates only the authorized record, and creates no duplicate or unrelated state.</t>
  </si>
  <si>
    <t>Request GO assistance</t>
  </si>
  <si>
    <t>GO-MAN-408</t>
  </si>
  <si>
    <t>Using non-production data, open /matchmaking and mentorship request/suggestion/response APIs. Prepare the state named “Mentor accepts request”, perform the single relevant navigation or action, and record the visible result, resulting URL, HTTP status where applicable, and browser console/network errors.</t>
  </si>
  <si>
    <t>The “Mentor accepts request” scenario reaches the named state once, shows the expected controls and confirmation, updates only the authorized record, and creates no duplicate or unrelated state.</t>
  </si>
  <si>
    <t>Mentor accepts request</t>
  </si>
  <si>
    <t>GO-MAN-409</t>
  </si>
  <si>
    <t>Using non-production data, open /matchmaking and mentorship request/suggestion/response APIs. Prepare the state named “Mentor declines request”, perform the single relevant navigation or action, and record the visible result, resulting URL, HTTP status where applicable, and browser console/network errors.</t>
  </si>
  <si>
    <t>The “Mentor declines request” scenario reaches the named state once, shows the expected controls and confirmation, updates only the authorized record, and creates no duplicate or unrelated state.</t>
  </si>
  <si>
    <t>Mentor declines request</t>
  </si>
  <si>
    <t>GO-MAN-410</t>
  </si>
  <si>
    <t>Using non-production data, open /matchmaking and mentorship request/suggestion/response APIs. Prepare the state named “Mentor requests clarification”, perform the single relevant navigation or action, and record the visible result, resulting URL, HTTP status where applicable, and browser console/network errors.</t>
  </si>
  <si>
    <t>The “Mentor requests clarification” scenario reaches the named state once, shows the expected controls and confirmation, updates only the authorized record, and creates no duplicate or unrelated state.</t>
  </si>
  <si>
    <t>Mentor requests clarification</t>
  </si>
  <si>
    <t>GO-MAN-411</t>
  </si>
  <si>
    <t>Using non-production data, open /matchmaking and mentorship request/suggestion/response APIs. Prepare the state named “Five-working-day response expiry”, perform the single relevant navigation or action, and record the visible result, resulting URL, HTTP status where applicable, and browser console/network errors.</t>
  </si>
  <si>
    <t>The “Five-working-day response expiry” scenario reaches the named state once, shows the expected controls and confirmation, updates only the authorized record, and creates no duplicate or unrelated state.</t>
  </si>
  <si>
    <t>Five-working-day response expiry</t>
  </si>
  <si>
    <t>GO-MAN-412</t>
  </si>
  <si>
    <t>Using non-production data, open /matchmaking and mentorship request/suggestion/response APIs. Prepare the state named “Matchmaking notifications”, perform the single relevant navigation or action, and record the visible result, resulting URL, HTTP status where applicable, and browser console/network errors.</t>
  </si>
  <si>
    <t>Exactly the intended recipient receives the “Matchmaking notifications” event; no participant email address is exposed and platform state persists if email delivery fails.</t>
  </si>
  <si>
    <t>Matchmaking notifications</t>
  </si>
  <si>
    <t>GO-MAN-413</t>
  </si>
  <si>
    <t>Using non-production data, open /matchmaking and mentorship request/suggestion/response APIs. Prepare the state named “One active engagement limit”, perform the single relevant navigation or action, and record the visible result, resulting URL, HTTP status where applicable, and browser console/network errors.</t>
  </si>
  <si>
    <t>The “One active engagement limit” scenario reaches the named state once, shows the expected controls and confirmation, updates only the authorized record, and creates no duplicate or unrelated state.</t>
  </si>
  <si>
    <t>One active engagement limit</t>
  </si>
  <si>
    <t>GO-MAN-414</t>
  </si>
  <si>
    <t>Using non-production data, open /matchmaking and mentorship request/suggestion/response APIs. Prepare the state named “Administrator mentorship override”, perform the single relevant navigation or action, and record the visible result, resulting URL, HTTP status where applicable, and browser console/network errors.</t>
  </si>
  <si>
    <t>The “Administrator mentorship override” scenario reaches the named state once, shows the expected controls and confirmation, updates only the authorized record, and creates no duplicate or unrelated state.</t>
  </si>
  <si>
    <t>Administrator mentorship override</t>
  </si>
  <si>
    <t>GO-MAN-415</t>
  </si>
  <si>
    <t>Using non-production data, open /matchmaking and mentorship request/suggestion/response APIs. Prepare the state named “Student dashboard status”, perform the single relevant navigation or action, and record the visible result, resulting URL, HTTP status where applicable, and browser console/network errors.</t>
  </si>
  <si>
    <t>The “Student dashboard status” scenario reaches the named state once, shows the expected controls and confirmation, updates only the authorized record, and creates no duplicate or unrelated state.</t>
  </si>
  <si>
    <t>Student dashboard status</t>
  </si>
  <si>
    <t>GO-MAN-416</t>
  </si>
  <si>
    <t>Using non-production data, open /matchmaking and mentorship request/suggestion/response APIs. Prepare the state named “Mentor dashboard status”, perform the single relevant navigation or action, and record the visible result, resulting URL, HTTP status where applicable, and browser console/network errors.</t>
  </si>
  <si>
    <t>The “Mentor dashboard status” scenario reaches the named state once, shows the expected controls and confirmation, updates only the authorized record, and creates no duplicate or unrelated state.</t>
  </si>
  <si>
    <t>Mentor dashboard status</t>
  </si>
  <si>
    <t>GO-MAN-417</t>
  </si>
  <si>
    <t>Using non-production data, open /matchmaking and mentorship request/suggestion/response APIs. Prepare the state named “Mentorship direct URL authorization”, perform the single relevant navigation or action, and record the visible result, resulting URL, HTTP status where applicable, and browser console/network errors.</t>
  </si>
  <si>
    <t>The “Mentorship direct URL authorization” scenario reaches the named state once, shows the expected controls and confirmation, updates only the authorized record, and creates no duplicate or unrelated state.</t>
  </si>
  <si>
    <t>Mentorship direct URL authorization</t>
  </si>
  <si>
    <t>GO-MAN-418</t>
  </si>
  <si>
    <t>Using non-production data, open /matchmaking and mentorship request/suggestion/response APIs. Prepare the state named “Mentorship cross-account protection”, perform the single relevant navigation or action, and record the visible result, resulting URL, HTTP status where applicable, and browser console/network errors.</t>
  </si>
  <si>
    <t>The “Mentorship cross-account protection” scenario reaches the named state once, shows the expected controls and confirmation, updates only the authorized record, and creates no duplicate or unrelated state.</t>
  </si>
  <si>
    <t>Mentorship cross-account protection</t>
  </si>
  <si>
    <t>GO-MAN-419</t>
  </si>
  <si>
    <t>Mentorship Lifecycle</t>
  </si>
  <si>
    <t>Using non-production data, open Mentorship engagement scheduling, lifecycle, dashboard, and concern routes. Prepare the state named “Mentor proposes time windows”, perform the single relevant navigation or action, and record the visible result, resulting URL, HTTP status where applicable, and browser console/network errors.</t>
  </si>
  <si>
    <t>The “Mentor proposes time windows” scenario reaches the named state once, shows the expected controls and confirmation, updates only the authorized record, and creates no duplicate or unrelated state.</t>
  </si>
  <si>
    <t>Mentor proposes time windows</t>
  </si>
  <si>
    <t>A synthetic accepted engagement exists with separate student, mentor, unrelated, and admin accounts. Use synthetic records and do not change production data.</t>
  </si>
  <si>
    <t>GO-MAN-420</t>
  </si>
  <si>
    <t>Using non-production data, open Mentorship engagement scheduling, lifecycle, dashboard, and concern routes. Prepare the state named “Student confirms a time”, perform the single relevant navigation or action, and record the visible result, resulting URL, HTTP status where applicable, and browser console/network errors.</t>
  </si>
  <si>
    <t>The “Student confirms a time” scenario reaches the named state once, shows the expected controls and confirmation, updates only the authorized record, and creates no duplicate or unrelated state.</t>
  </si>
  <si>
    <t>Student confirms a time</t>
  </si>
  <si>
    <t>GO-MAN-421</t>
  </si>
  <si>
    <t>Using non-production data, open Mentorship engagement scheduling, lifecycle, dashboard, and concern routes. Prepare the state named “Mentorship time-zone display”, perform the single relevant navigation or action, and record the visible result, resulting URL, HTTP status where applicable, and browser console/network errors.</t>
  </si>
  <si>
    <t>The “Mentorship time-zone display” scenario reaches the named state once, shows the expected controls and confirmation, updates only the authorized record, and creates no duplicate or unrelated state.</t>
  </si>
  <si>
    <t>Mentorship time-zone display</t>
  </si>
  <si>
    <t>GO-MAN-422</t>
  </si>
  <si>
    <t>Using non-production data, open Mentorship engagement scheduling, lifecycle, dashboard, and concern routes. Prepare the state named “Agreed session in both dashboards”, perform the single relevant navigation or action, and record the visible result, resulting URL, HTTP status where applicable, and browser console/network errors.</t>
  </si>
  <si>
    <t>The “Agreed session in both dashboards” scenario reaches the named state once, shows the expected controls and confirmation, updates only the authorized record, and creates no duplicate or unrelated state.</t>
  </si>
  <si>
    <t>Agreed session in both dashboards</t>
  </si>
  <si>
    <t>Mentorship participant, unrelated user, or administrator</t>
  </si>
  <si>
    <t>GO-MAN-423</t>
  </si>
  <si>
    <t>Using non-production data, open Mentorship engagement scheduling, lifecycle, dashboard, and concern routes. Prepare the state named “Private meeting URL”, perform the single relevant navigation or action, and record the visible result, resulting URL, HTTP status where applicable, and browser console/network errors.</t>
  </si>
  <si>
    <t>The “Private meeting URL” restriction is enforced in both UI and direct request behavior; the protected action/value is absent and the user receives a clear non-success state.</t>
  </si>
  <si>
    <t>Private meeting URL</t>
  </si>
  <si>
    <t>GO-MAN-424</t>
  </si>
  <si>
    <t>Using non-production data, open Mentorship engagement scheduling, lifecycle, dashboard, and concern routes. Prepare the state named “Unauthorized meeting-link access”, perform the single relevant navigation or action, and record the visible result, resulting URL, HTTP status where applicable, and browser console/network errors.</t>
  </si>
  <si>
    <t>The “Unauthorized meeting-link access” scenario reaches the named state once, shows the expected controls and confirmation, updates only the authorized record, and creates no duplicate or unrelated state.</t>
  </si>
  <si>
    <t>Unauthorized meeting-link access</t>
  </si>
  <si>
    <t>GO-MAN-425</t>
  </si>
  <si>
    <t>Using non-production data, open Mentorship engagement scheduling, lifecycle, dashboard, and concern routes. Prepare the state named “Mentorship rescheduling where supported”, perform the single relevant navigation or action, and record the visible result, resulting URL, HTTP status where applicable, and browser console/network errors.</t>
  </si>
  <si>
    <t>The “Mentorship rescheduling where supported” scenario reaches the named state once, shows the expected controls and confirmation, updates only the authorized record, and creates no duplicate or unrelated state.</t>
  </si>
  <si>
    <t>Mentorship rescheduling where supported</t>
  </si>
  <si>
    <t>GO-MAN-426</t>
  </si>
  <si>
    <t>Using non-production data, open Mentorship engagement scheduling, lifecycle, dashboard, and concern routes. Prepare the state named “Scheduled mentorship state”, perform the single relevant navigation or action, and record the visible result, resulting URL, HTTP status where applicable, and browser console/network errors.</t>
  </si>
  <si>
    <t>The “Scheduled mentorship state” scenario reaches the named state once, shows the expected controls and confirmation, updates only the authorized record, and creates no duplicate or unrelated state.</t>
  </si>
  <si>
    <t>Scheduled mentorship state</t>
  </si>
  <si>
    <t>GO-MAN-427</t>
  </si>
  <si>
    <t>Using non-production data, open Mentorship engagement scheduling, lifecycle, dashboard, and concern routes. Prepare the state named “Attended mentorship state”, perform the single relevant navigation or action, and record the visible result, resulting URL, HTTP status where applicable, and browser console/network errors.</t>
  </si>
  <si>
    <t>The “Attended mentorship state” scenario reaches the named state once, shows the expected controls and confirmation, updates only the authorized record, and creates no duplicate or unrelated state.</t>
  </si>
  <si>
    <t>Attended mentorship state</t>
  </si>
  <si>
    <t>GO-MAN-428</t>
  </si>
  <si>
    <t>Using non-production data, open Mentorship engagement scheduling, lifecycle, dashboard, and concern routes. Prepare the state named “Missed mentorship state”, perform the single relevant navigation or action, and record the visible result, resulting URL, HTTP status where applicable, and browser console/network errors.</t>
  </si>
  <si>
    <t>The “Missed mentorship state” scenario reaches the named state once, shows the expected controls and confirmation, updates only the authorized record, and creates no duplicate or unrelated state.</t>
  </si>
  <si>
    <t>Missed mentorship state</t>
  </si>
  <si>
    <t>GO-MAN-429</t>
  </si>
  <si>
    <t>Using non-production data, open Mentorship engagement scheduling, lifecycle, dashboard, and concern routes. Prepare the state named “Active mentorship state”, perform the single relevant navigation or action, and record the visible result, resulting URL, HTTP status where applicable, and browser console/network errors.</t>
  </si>
  <si>
    <t>The “Active mentorship state” scenario reaches the named state once, shows the expected controls and confirmation, updates only the authorized record, and creates no duplicate or unrelated state.</t>
  </si>
  <si>
    <t>Active mentorship state</t>
  </si>
  <si>
    <t>GO-MAN-430</t>
  </si>
  <si>
    <t>Using non-production data, open Mentorship engagement scheduling, lifecycle, dashboard, and concern routes. Prepare the state named “Completed mentorship state”, perform the single relevant navigation or action, and record the visible result, resulting URL, HTTP status where applicable, and browser console/network errors.</t>
  </si>
  <si>
    <t>The “Completed mentorship state” scenario reaches the named state once, shows the expected controls and confirmation, updates only the authorized record, and creates no duplicate or unrelated state.</t>
  </si>
  <si>
    <t>Completed mentorship state</t>
  </si>
  <si>
    <t>GO-MAN-431</t>
  </si>
  <si>
    <t>Using non-production data, open Mentorship engagement scheduling, lifecycle, dashboard, and concern routes. Prepare the state named “Canceled mentorship state”, perform the single relevant navigation or action, and record the visible result, resulting URL, HTTP status where applicable, and browser console/network errors.</t>
  </si>
  <si>
    <t>The “Canceled mentorship state” scenario reaches the named state once, shows the expected controls and confirmation, updates only the authorized record, and creates no duplicate or unrelated state.</t>
  </si>
  <si>
    <t>Canceled mentorship state</t>
  </si>
  <si>
    <t>GO-MAN-432</t>
  </si>
  <si>
    <t>Using non-production data, open Mentorship engagement scheduling, lifecycle, dashboard, and concern routes. Prepare the state named “Participant mentorship cancellation”, perform the single relevant navigation or action, and record the visible result, resulting URL, HTTP status where applicable, and browser console/network errors.</t>
  </si>
  <si>
    <t>The “Participant mentorship cancellation” scenario reaches the named state once, shows the expected controls and confirmation, updates only the authorized record, and creates no duplicate or unrelated state.</t>
  </si>
  <si>
    <t>Participant mentorship cancellation</t>
  </si>
  <si>
    <t>GO-MAN-433</t>
  </si>
  <si>
    <t>Using non-production data, open Mentorship engagement scheduling, lifecycle, dashboard, and concern routes. Prepare the state named “Mentorship concern report”, perform the single relevant navigation or action, and record the visible result, resulting URL, HTTP status where applicable, and browser console/network errors.</t>
  </si>
  <si>
    <t>The “Mentorship concern report” scenario reaches the named state once, shows the expected controls and confirmation, updates only the authorized record, and creates no duplicate or unrelated state.</t>
  </si>
  <si>
    <t>Mentorship concern report</t>
  </si>
  <si>
    <t>GO-MAN-434</t>
  </si>
  <si>
    <t>Using non-production data, open Mentorship engagement scheduling, lifecycle, dashboard, and concern routes. Prepare the state named “Concern report private from other participant”, perform the single relevant navigation or action, and record the visible result, resulting URL, HTTP status where applicable, and browser console/network errors.</t>
  </si>
  <si>
    <t>The “Concern report private from other participant” restriction is enforced in both UI and direct request behavior; the protected action/value is absent and the user receives a clear non-success state.</t>
  </si>
  <si>
    <t>Concern report private from other participant</t>
  </si>
  <si>
    <t>GO-MAN-435</t>
  </si>
  <si>
    <t>Using non-production data, open Mentorship engagement scheduling, lifecycle, dashboard, and concern routes. Prepare the state named “Administrator receives concern report”, perform the single relevant navigation or action, and record the visible result, resulting URL, HTTP status where applicable, and browser console/network errors.</t>
  </si>
  <si>
    <t>The “Administrator receives concern report” scenario reaches the named state once, shows the expected controls and confirmation, updates only the authorized record, and creates no duplicate or unrelated state.</t>
  </si>
  <si>
    <t>Administrator receives concern report</t>
  </si>
  <si>
    <t>GO-MAN-436</t>
  </si>
  <si>
    <t>Using non-production data, open Mentorship engagement scheduling, lifecycle, dashboard, and concern routes. Prepare the state named “Unrelated user cannot report against engagement”, perform the single relevant navigation or action, and record the visible result, resulting URL, HTTP status where applicable, and browser console/network errors.</t>
  </si>
  <si>
    <t>The “Unrelated user cannot report against engagement” restriction is enforced in both UI and direct request behavior; the protected action/value is absent and the user receives a clear non-success state.</t>
  </si>
  <si>
    <t>Unrelated user cannot report against engagement</t>
  </si>
  <si>
    <t>GO-MAN-437</t>
  </si>
  <si>
    <t>Mentorship Feedback</t>
  </si>
  <si>
    <t>Using non-production data, open Mentorship feedback APIs, participant dashboard, admin moderation, and public mentor references. Prepare the state named “Feedback only after completed engagement”, perform the single relevant navigation or action, and record the visible result, resulting URL, HTTP status where applicable, and browser console/network errors.</t>
  </si>
  <si>
    <t>The “Feedback only after completed engagement” scenario reaches the named state once, shows the expected controls and confirmation, updates only the authorized record, and creates no duplicate or unrelated state.</t>
  </si>
  <si>
    <t>Feedback only after completed engagement</t>
  </si>
  <si>
    <t>Completed-engagement participant, administrator, or visitor</t>
  </si>
  <si>
    <t>Synthetic completed engagements cover deadlines, duplicate authors, consent, reports, disputes, and moderation states. Use synthetic records and do not change production data.</t>
  </si>
  <si>
    <t>GO-MAN-438</t>
  </si>
  <si>
    <t>Using non-production data, open Mentorship feedback APIs, participant dashboard, admin moderation, and public mentor references. Prepare the state named “Student-to-mentor feedback”, perform the single relevant navigation or action, and record the visible result, resulting URL, HTTP status where applicable, and browser console/network errors.</t>
  </si>
  <si>
    <t>The “Student-to-mentor feedback” scenario reaches the named state once, shows the expected controls and confirmation, updates only the authorized record, and creates no duplicate or unrelated state.</t>
  </si>
  <si>
    <t>Student-to-mentor feedback</t>
  </si>
  <si>
    <t>GO-MAN-439</t>
  </si>
  <si>
    <t>Using non-production data, open Mentorship feedback APIs, participant dashboard, admin moderation, and public mentor references. Prepare the state named “Mentor-to-student feedback”, perform the single relevant navigation or action, and record the visible result, resulting URL, HTTP status where applicable, and browser console/network errors.</t>
  </si>
  <si>
    <t>The “Mentor-to-student feedback” scenario reaches the named state once, shows the expected controls and confirmation, updates only the authorized record, and creates no duplicate or unrelated state.</t>
  </si>
  <si>
    <t>Mentor-to-student feedback</t>
  </si>
  <si>
    <t>GO-MAN-440</t>
  </si>
  <si>
    <t>Using non-production data, open Mentorship feedback APIs, participant dashboard, admin moderation, and public mentor references. Prepare the state named “One feedback submission per participant per engagement”, perform the single relevant navigation or action, and record the visible result, resulting URL, HTTP status where applicable, and browser console/network errors.</t>
  </si>
  <si>
    <t>The “One feedback submission per participant per engagement” scenario reaches the named state once, shows the expected controls and confirmation, updates only the authorized record, and creates no duplicate or unrelated state.</t>
  </si>
  <si>
    <t>One feedback submission per participant per engagement</t>
  </si>
  <si>
    <t>GO-MAN-441</t>
  </si>
  <si>
    <t>Using non-production data, open Mentorship feedback APIs, participant dashboard, admin moderation, and public mentor references. Prepare the state named “14-day feedback deadline”, perform the single relevant navigation or action, and record the visible result, resulting URL, HTTP status where applicable, and browser console/network errors.</t>
  </si>
  <si>
    <t>The “14-day feedback deadline” scenario reaches the named state once, shows the expected controls and confirmation, updates only the authorized record, and creates no duplicate or unrelated state.</t>
  </si>
  <si>
    <t>14-day feedback deadline</t>
  </si>
  <si>
    <t>GO-MAN-442</t>
  </si>
  <si>
    <t>Using non-production data, open Mentorship feedback APIs, participant dashboard, admin moderation, and public mentor references. Prepare the state named “Duplicate feedback blocked”, perform the single relevant navigation or action, and record the visible result, resulting URL, HTTP status where applicable, and browser console/network errors.</t>
  </si>
  <si>
    <t>The “Duplicate feedback blocked” restriction is enforced in both UI and direct request behavior; the protected action/value is absent and the user receives a clear non-success state.</t>
  </si>
  <si>
    <t>Duplicate feedback blocked</t>
  </si>
  <si>
    <t>GO-MAN-443</t>
  </si>
  <si>
    <t>Using non-production data, open Mentorship feedback APIs, participant dashboard, admin moderation, and public mentor references. Prepare the state named “Private written feedback”, perform the single relevant navigation or action, and record the visible result, resulting URL, HTTP status where applicable, and browser console/network errors.</t>
  </si>
  <si>
    <t>The “Private written feedback” restriction is enforced in both UI and direct request behavior; the protected action/value is absent and the user receives a clear non-success state.</t>
  </si>
  <si>
    <t>Private written feedback</t>
  </si>
  <si>
    <t>GO-MAN-444</t>
  </si>
  <si>
    <t>Using non-production data, open Mentorship feedback APIs, participant dashboard, admin moderation, and public mentor references. Prepare the state named “Participants cannot see each other's private written feedback”, perform the single relevant navigation or action, and record the visible result, resulting URL, HTTP status where applicable, and browser console/network errors.</t>
  </si>
  <si>
    <t>The “Participants cannot see each other's private written feedback” restriction is enforced in both UI and direct request behavior; the protected action/value is absent and the user receives a clear non-success state.</t>
  </si>
  <si>
    <t>Participants cannot see each other's private written feedback</t>
  </si>
  <si>
    <t>GO-MAN-445</t>
  </si>
  <si>
    <t>Using non-production data, open Mentorship feedback APIs, participant dashboard, admin moderation, and public mentor references. Prepare the state named “Report feedback”, perform the single relevant navigation or action, and record the visible result, resulting URL, HTTP status where applicable, and browser console/network errors.</t>
  </si>
  <si>
    <t>The “Report feedback” scenario reaches the named state once, shows the expected controls and confirmation, updates only the authorized record, and creates no duplicate or unrelated state.</t>
  </si>
  <si>
    <t>Report feedback</t>
  </si>
  <si>
    <t>GO-MAN-446</t>
  </si>
  <si>
    <t>Using non-production data, open Mentorship feedback APIs, participant dashboard, admin moderation, and public mentor references. Prepare the state named “Feedback moderation”, perform the single relevant navigation or action, and record the visible result, resulting URL, HTTP status where applicable, and browser console/network errors.</t>
  </si>
  <si>
    <t>The “Feedback moderation” scenario reaches the named state once, shows the expected controls and confirmation, updates only the authorized record, and creates no duplicate or unrelated state.</t>
  </si>
  <si>
    <t>Feedback moderation</t>
  </si>
  <si>
    <t>GO-MAN-447</t>
  </si>
  <si>
    <t>Using non-production data, open Mentorship feedback APIs, participant dashboard, admin moderation, and public mentor references. Prepare the state named “Feedback dispute”, perform the single relevant navigation or action, and record the visible result, resulting URL, HTTP status where applicable, and browser console/network errors.</t>
  </si>
  <si>
    <t>The “Feedback dispute” scenario reaches the named state once, shows the expected controls and confirmation, updates only the authorized record, and creates no duplicate or unrelated state.</t>
  </si>
  <si>
    <t>Feedback dispute</t>
  </si>
  <si>
    <t>GO-MAN-448</t>
  </si>
  <si>
    <t>Using non-production data, open Mentorship feedback APIs, participant dashboard, admin moderation, and public mentor references. Prepare the state named “Feedback correction or appeal”, perform the single relevant navigation or action, and record the visible result, resulting URL, HTTP status where applicable, and browser console/network errors.</t>
  </si>
  <si>
    <t>The “Feedback correction or appeal” scenario reaches the named state once, shows the expected controls and confirmation, updates only the authorized record, and creates no duplicate or unrelated state.</t>
  </si>
  <si>
    <t>Feedback correction or appeal</t>
  </si>
  <si>
    <t>GO-MAN-449</t>
  </si>
  <si>
    <t>Using non-production data, open Mentorship feedback APIs, participant dashboard, admin moderation, and public mentor references. Prepare the state named “Disputed feedback excluded”, perform the single relevant navigation or action, and record the visible result, resulting URL, HTTP status where applicable, and browser console/network errors.</t>
  </si>
  <si>
    <t>The “Disputed feedback excluded” restriction is enforced in both UI and direct request behavior; the protected action/value is absent and the user receives a clear non-success state.</t>
  </si>
  <si>
    <t>Disputed feedback excluded</t>
  </si>
  <si>
    <t>GO-MAN-450</t>
  </si>
  <si>
    <t>Using non-production data, open Mentorship feedback APIs, participant dashboard, admin moderation, and public mentor references. Prepare the state named “Public threshold of three distinct students”, perform the single relevant navigation or action, and record the visible result, resulting URL, HTTP status where applicable, and browser console/network errors.</t>
  </si>
  <si>
    <t>The “Public threshold of three distinct students” scenario reaches the named state once, shows the expected controls and confirmation, updates only the authorized record, and creates no duplicate or unrelated state.</t>
  </si>
  <si>
    <t>Public threshold of three distinct students</t>
  </si>
  <si>
    <t>GO-MAN-451</t>
  </si>
  <si>
    <t>Using non-production data, open Mentorship feedback APIs, participant dashboard, admin moderation, and public mentor references. Prepare the state named “Fewer than three reviews shows no aggregate”, perform the single relevant navigation or action, and record the visible result, resulting URL, HTTP status where applicable, and browser console/network errors.</t>
  </si>
  <si>
    <t>The “Fewer than three reviews shows no aggregate” scenario reaches the named state once, shows the expected controls and confirmation, updates only the authorized record, and creates no duplicate or unrelated state.</t>
  </si>
  <si>
    <t>Fewer than three reviews shows no aggregate</t>
  </si>
  <si>
    <t>GO-MAN-452</t>
  </si>
  <si>
    <t>Using non-production data, open Mentorship feedback APIs, participant dashboard, admin moderation, and public mentor references. Prepare the state named “Exactly three eligible reviews”, perform the single relevant navigation or action, and record the visible result, resulting URL, HTTP status where applicable, and browser console/network errors.</t>
  </si>
  <si>
    <t>The “Exactly three eligible reviews” scenario reaches the named state once, shows the expected controls and confirmation, updates only the authorized record, and creates no duplicate or unrelated state.</t>
  </si>
  <si>
    <t>Exactly three eligible reviews</t>
  </si>
  <si>
    <t>GO-MAN-453</t>
  </si>
  <si>
    <t>Using non-production data, open Mentorship feedback APIs, participant dashboard, admin moderation, and public mentor references. Prepare the state named “Duplicate student does not inflate threshold”, perform the single relevant navigation or action, and record the visible result, resulting URL, HTTP status where applicable, and browser console/network errors.</t>
  </si>
  <si>
    <t>The “Duplicate student does not inflate threshold” scenario reaches the named state once, shows the expected controls and confirmation, updates only the authorized record, and creates no duplicate or unrelated state.</t>
  </si>
  <si>
    <t>Duplicate student does not inflate threshold</t>
  </si>
  <si>
    <t>GO-MAN-454</t>
  </si>
  <si>
    <t>Using non-production data, open Mentorship feedback APIs, participant dashboard, admin moderation, and public mentor references. Prepare the state named “Public descriptive strengths”, perform the single relevant navigation or action, and record the visible result, resulting URL, HTTP status where applicable, and browser console/network errors.</t>
  </si>
  <si>
    <t>The “Public descriptive strengths” scenario reaches the named state once, shows the expected controls and confirmation, updates only the authorized record, and creates no duplicate or unrelated state.</t>
  </si>
  <si>
    <t>Public descriptive strengths</t>
  </si>
  <si>
    <t>GO-MAN-455</t>
  </si>
  <si>
    <t>Using non-production data, open Mentorship feedback APIs, participant dashboard, admin moderation, and public mentor references. Prepare the state named “No feedback stars”, perform the single relevant navigation or action, and record the visible result, resulting URL, HTTP status where applicable, and browser console/network errors.</t>
  </si>
  <si>
    <t>The “No feedback stars” scenario reaches the named state once, shows the expected controls and confirmation, updates only the authorized record, and creates no duplicate or unrelated state.</t>
  </si>
  <si>
    <t>No feedback stars</t>
  </si>
  <si>
    <t>GO-MAN-456</t>
  </si>
  <si>
    <t>Using non-production data, open Mentorship feedback APIs, participant dashboard, admin moderation, and public mentor references. Prepare the state named “No numerical feedback average”, perform the single relevant navigation or action, and record the visible result, resulting URL, HTTP status where applicable, and browser console/network errors.</t>
  </si>
  <si>
    <t>The “No numerical feedback average” scenario reaches the named state once, shows the expected controls and confirmation, updates only the authorized record, and creates no duplicate or unrelated state.</t>
  </si>
  <si>
    <t>No numerical feedback average</t>
  </si>
  <si>
    <t>GO-MAN-457</t>
  </si>
  <si>
    <t>Using non-production data, open Mentorship feedback APIs, participant dashboard, admin moderation, and public mentor references. Prepare the state named “No mentor rankings”, perform the single relevant navigation or action, and record the visible result, resulting URL, HTTP status where applicable, and browser console/network errors.</t>
  </si>
  <si>
    <t>The “No mentor rankings” scenario reaches the named state once, shows the expected controls and confirmation, updates only the authorized record, and creates no duplicate or unrelated state.</t>
  </si>
  <si>
    <t>No mentor rankings</t>
  </si>
  <si>
    <t>GO-MAN-458</t>
  </si>
  <si>
    <t>Using non-production data, open Mentorship feedback APIs, participant dashboard, admin moderation, and public mentor references. Prepare the state named “No public feedback comments”, perform the single relevant navigation or action, and record the visible result, resulting URL, HTTP status where applicable, and browser console/network errors.</t>
  </si>
  <si>
    <t>The “No public feedback comments” scenario reaches the named state once, shows the expected controls and confirmation, updates only the authorized record, and creates no duplicate or unrelated state.</t>
  </si>
  <si>
    <t>No public feedback comments</t>
  </si>
  <si>
    <t>GO-MAN-459</t>
  </si>
  <si>
    <t>Using non-production data, open Mentorship feedback APIs, participant dashboard, admin moderation, and public mentor references. Prepare the state named “No reviewer identities”, perform the single relevant navigation or action, and record the visible result, resulting URL, HTTP status where applicable, and browser console/network errors.</t>
  </si>
  <si>
    <t>The “No reviewer identities” scenario reaches the named state once, shows the expected controls and confirmation, updates only the authorized record, and creates no duplicate or unrelated state.</t>
  </si>
  <si>
    <t>No reviewer identities</t>
  </si>
  <si>
    <t>GO-MAN-460</t>
  </si>
  <si>
    <t>Using non-production data, open Mentorship feedback APIs, participant dashboard, admin moderation, and public mentor references. Prepare the state named “Private student reputation”, perform the single relevant navigation or action, and record the visible result, resulting URL, HTTP status where applicable, and browser console/network errors.</t>
  </si>
  <si>
    <t>The “Private student reputation” restriction is enforced in both UI and direct request behavior; the protected action/value is absent and the user receives a clear non-success state.</t>
  </si>
  <si>
    <t>Private student reputation</t>
  </si>
  <si>
    <t>GO-MAN-461</t>
  </si>
  <si>
    <t>Using non-production data, open Mentorship feedback APIs, participant dashboard, admin moderation, and public mentor references. Prepare the state named “User-controlled sharing of selected strengths”, perform the single relevant navigation or action, and record the visible result, resulting URL, HTTP status where applicable, and browser console/network errors.</t>
  </si>
  <si>
    <t>The “User-controlled sharing of selected strengths” scenario reaches the named state once, shows the expected controls and confirmation, updates only the authorized record, and creates no duplicate or unrelated state.</t>
  </si>
  <si>
    <t>User-controlled sharing of selected strengths</t>
  </si>
  <si>
    <t>GO-MAN-462</t>
  </si>
  <si>
    <t>Using non-production data, open Mentorship feedback APIs, participant dashboard, admin moderation, and public mentor references. Prepare the state named “Feedback presentation not color-only”, perform the single relevant navigation or action, and record the visible result, resulting URL, HTTP status where applicable, and browser console/network errors.</t>
  </si>
  <si>
    <t>The “Feedback presentation not color-only” scenario reaches the named state once, shows the expected controls and confirmation, updates only the authorized record, and creates no duplicate or unrelated state.</t>
  </si>
  <si>
    <t>Feedback presentation not color-only</t>
  </si>
  <si>
    <t>GO-MAN-463</t>
  </si>
  <si>
    <t>Asset Packs</t>
  </si>
  <si>
    <t>Using non-production data, open /asset-packs, contributor workspace, protected open route, admin review, and Legacy review. Prepare the state named “Community member asset submission”, perform the single relevant navigation or action, and record the visible result, resulting URL, HTTP status where applicable, and browser console/network errors.</t>
  </si>
  <si>
    <t>The “Community member asset submission” scenario reaches the named state once, shows the expected controls and confirmation, updates only the authorized record, and creates no duplicate or unrelated state.</t>
  </si>
  <si>
    <t>Community member asset submission</t>
  </si>
  <si>
    <t>Asset submissions are enabled in staging and synthetic packs cover all workflow/access states. Use synthetic records and do not change production data.</t>
  </si>
  <si>
    <t>GO-MAN-464</t>
  </si>
  <si>
    <t>Using non-production data, open /asset-packs, contributor workspace, protected open route, admin review, and Legacy review. Prepare the state named “Business member asset submission”, perform the single relevant navigation or action, and record the visible result, resulting URL, HTTP status where applicable, and browser console/network errors.</t>
  </si>
  <si>
    <t>The “Business member asset submission” scenario reaches the named state once, shows the expected controls and confirmation, updates only the authorized record, and creates no duplicate or unrelated state.</t>
  </si>
  <si>
    <t>Business member asset submission</t>
  </si>
  <si>
    <t>GO-MAN-465</t>
  </si>
  <si>
    <t>Using non-production data, open /asset-packs, contributor workspace, protected open route, admin review, and Legacy review. Prepare the state named “Free user asset submission blocked”, perform the single relevant navigation or action, and record the visible result, resulting URL, HTTP status where applicable, and browser console/network errors.</t>
  </si>
  <si>
    <t>The “Free user asset submission blocked” restriction is enforced in both UI and direct request behavior; the protected action/value is absent and the user receives a clear non-success state.</t>
  </si>
  <si>
    <t>Free user asset submission blocked</t>
  </si>
  <si>
    <t>GO-MAN-466</t>
  </si>
  <si>
    <t>Using non-production data, open /asset-packs, contributor workspace, protected open route, admin review, and Legacy review. Prepare the state named “Asset draft”, perform the single relevant navigation or action, and record the visible result, resulting URL, HTTP status where applicable, and browser console/network errors.</t>
  </si>
  <si>
    <t>The “Asset draft” scenario reaches the named state once, shows the expected controls and confirmation, updates only the authorized record, and creates no duplicate or unrelated state.</t>
  </si>
  <si>
    <t>Asset draft</t>
  </si>
  <si>
    <t>Community member, Business member, free user, or administrator</t>
  </si>
  <si>
    <t>GO-MAN-467</t>
  </si>
  <si>
    <t>Using non-production data, open /asset-packs, contributor workspace, protected open route, admin review, and Legacy review. Prepare the state named “Asset submitted”, perform the single relevant navigation or action, and record the visible result, resulting URL, HTTP status where applicable, and browser console/network errors.</t>
  </si>
  <si>
    <t>The “Asset submitted” scenario reaches the named state once, shows the expected controls and confirmation, updates only the authorized record, and creates no duplicate or unrelated state.</t>
  </si>
  <si>
    <t>Asset submitted</t>
  </si>
  <si>
    <t>GO-MAN-468</t>
  </si>
  <si>
    <t>Using non-production data, open /asset-packs, contributor workspace, protected open route, admin review, and Legacy review. Prepare the state named “Asset changes requested”, perform the single relevant navigation or action, and record the visible result, resulting URL, HTTP status where applicable, and browser console/network errors.</t>
  </si>
  <si>
    <t>The “Asset changes requested” scenario reaches the named state once, shows the expected controls and confirmation, updates only the authorized record, and creates no duplicate or unrelated state.</t>
  </si>
  <si>
    <t>Asset changes requested</t>
  </si>
  <si>
    <t>GO-MAN-469</t>
  </si>
  <si>
    <t>Using non-production data, open /asset-packs, contributor workspace, protected open route, admin review, and Legacy review. Prepare the state named “Asset approved”, perform the single relevant navigation or action, and record the visible result, resulting URL, HTTP status where applicable, and browser console/network errors.</t>
  </si>
  <si>
    <t>The “Asset approved” scenario reaches the named state once, shows the expected controls and confirmation, updates only the authorized record, and creates no duplicate or unrelated state.</t>
  </si>
  <si>
    <t>Asset approved</t>
  </si>
  <si>
    <t>GO-MAN-470</t>
  </si>
  <si>
    <t>Using non-production data, open /asset-packs, contributor workspace, protected open route, admin review, and Legacy review. Prepare the state named “Asset published”, perform the single relevant navigation or action, and record the visible result, resulting URL, HTTP status where applicable, and browser console/network errors.</t>
  </si>
  <si>
    <t>The “Asset published” scenario reaches the named state once, shows the expected controls and confirmation, updates only the authorized record, and creates no duplicate or unrelated state.</t>
  </si>
  <si>
    <t>Asset published</t>
  </si>
  <si>
    <t>GO-MAN-471</t>
  </si>
  <si>
    <t>Using non-production data, open /asset-packs, contributor workspace, protected open route, admin review, and Legacy review. Prepare the state named “Asset legacy”, perform the single relevant navigation or action, and record the visible result, resulting URL, HTTP status where applicable, and browser console/network errors.</t>
  </si>
  <si>
    <t>The “Asset legacy” scenario reaches the named state once, shows the expected controls and confirmation, updates only the authorized record, and creates no duplicate or unrelated state.</t>
  </si>
  <si>
    <t>Asset legacy</t>
  </si>
  <si>
    <t>GO-MAN-472</t>
  </si>
  <si>
    <t>Using non-production data, open /asset-packs, contributor workspace, protected open route, admin review, and Legacy review. Prepare the state named “Asset archived”, perform the single relevant navigation or action, and record the visible result, resulting URL, HTTP status where applicable, and browser console/network errors.</t>
  </si>
  <si>
    <t>The “Asset archived” restriction is enforced in both UI and direct request behavior; the protected action/value is absent and the user receives a clear non-success state.</t>
  </si>
  <si>
    <t>Asset archived</t>
  </si>
  <si>
    <t>GO-MAN-473</t>
  </si>
  <si>
    <t>Using non-production data, open /asset-packs, contributor workspace, protected open route, admin review, and Legacy review. Prepare the state named “Asset removed”, perform the single relevant navigation or action, and record the visible result, resulting URL, HTTP status where applicable, and browser console/network errors.</t>
  </si>
  <si>
    <t>The “Asset removed” restriction is enforced in both UI and direct request behavior; the protected action/value is absent and the user receives a clear non-success state.</t>
  </si>
  <si>
    <t>Asset removed</t>
  </si>
  <si>
    <t>GO-MAN-474</t>
  </si>
  <si>
    <t>Using non-production data, open /asset-packs, contributor workspace, protected open route, admin review, and Legacy review. Prepare the state named “Asset preview image required”, perform the single relevant navigation or action, and record the visible result, resulting URL, HTTP status where applicable, and browser console/network errors.</t>
  </si>
  <si>
    <t>The “Asset preview image required” scenario reaches the named state once, shows the expected controls and confirmation, updates only the authorized record, and creates no duplicate or unrelated state.</t>
  </si>
  <si>
    <t>Asset preview image required</t>
  </si>
  <si>
    <t>GO-MAN-475</t>
  </si>
  <si>
    <t>Using non-production data, open /asset-packs, contributor workspace, protected open route, admin review, and Legacy review. Prepare the state named “Asset file manifest required”, perform the single relevant navigation or action, and record the visible result, resulting URL, HTTP status where applicable, and browser console/network errors.</t>
  </si>
  <si>
    <t>The “Asset file manifest required” scenario reaches the named state once, shows the expected controls and confirmation, updates only the authorized record, and creates no duplicate or unrelated state.</t>
  </si>
  <si>
    <t>Asset file manifest required</t>
  </si>
  <si>
    <t>GO-MAN-476</t>
  </si>
  <si>
    <t>Using non-production data, open /asset-packs, contributor workspace, protected open route, admin review, and Legacy review. Prepare the state named “Asset compatibility fields”, perform the single relevant navigation or action, and record the visible result, resulting URL, HTTP status where applicable, and browser console/network errors.</t>
  </si>
  <si>
    <t>The “Asset compatibility fields” scenario reaches the named state once, shows the expected controls and confirmation, updates only the authorized record, and creates no duplicate or unrelated state.</t>
  </si>
  <si>
    <t>Asset compatibility fields</t>
  </si>
  <si>
    <t>GO-MAN-477</t>
  </si>
  <si>
    <t>Using non-production data, open /asset-packs, contributor workspace, protected open route, admin review, and Legacy review. Prepare the state named “Asset license selection”, perform the single relevant navigation or action, and record the visible result, resulting URL, HTTP status where applicable, and browser console/network errors.</t>
  </si>
  <si>
    <t>The “Asset license selection” scenario reaches the named state once, shows the expected controls and confirmation, updates only the authorized record, and creates no duplicate or unrelated state.</t>
  </si>
  <si>
    <t>Asset license selection</t>
  </si>
  <si>
    <t>GO-MAN-478</t>
  </si>
  <si>
    <t>Using non-production data, open /asset-packs, contributor workspace, protected open route, admin review, and Legacy review. Prepare the state named “Asset attribution”, perform the single relevant navigation or action, and record the visible result, resulting URL, HTTP status where applicable, and browser console/network errors.</t>
  </si>
  <si>
    <t>The “Asset attribution” scenario reaches the named state once, shows the expected controls and confirmation, updates only the authorized record, and creates no duplicate or unrelated state.</t>
  </si>
  <si>
    <t>Asset attribution</t>
  </si>
  <si>
    <t>GO-MAN-479</t>
  </si>
  <si>
    <t>Using non-production data, open /asset-packs, contributor workspace, protected open route, admin review, and Legacy review. Prepare the state named “Asset commercial-use status”, perform the single relevant navigation or action, and record the visible result, resulting URL, HTTP status where applicable, and browser console/network errors.</t>
  </si>
  <si>
    <t>The “Asset commercial-use status” scenario reaches the named state once, shows the expected controls and confirmation, updates only the authorized record, and creates no duplicate or unrelated state.</t>
  </si>
  <si>
    <t>Asset commercial-use status</t>
  </si>
  <si>
    <t>GO-MAN-480</t>
  </si>
  <si>
    <t>Using non-production data, open /asset-packs, contributor workspace, protected open route, admin review, and Legacy review. Prepare the state named “Asset Google Drive link”, perform the single relevant navigation or action, and record the visible result, resulting URL, HTTP status where applicable, and browser console/network errors.</t>
  </si>
  <si>
    <t>The “Asset Google Drive link” scenario reaches the named state once, shows the expected controls and confirmation, updates only the authorized record, and creates no duplicate or unrelated state.</t>
  </si>
  <si>
    <t>Asset Google Drive link</t>
  </si>
  <si>
    <t>GO-MAN-481</t>
  </si>
  <si>
    <t>Using non-production data, open /asset-packs, contributor workspace, protected open route, admin review, and Legacy review. Prepare the state named “Administrator asset approval”, perform the single relevant navigation or action, and record the visible result, resulting URL, HTTP status where applicable, and browser console/network errors.</t>
  </si>
  <si>
    <t>The “Administrator asset approval” scenario reaches the named state once, shows the expected controls and confirmation, updates only the authorized record, and creates no duplicate or unrelated state.</t>
  </si>
  <si>
    <t>Administrator asset approval</t>
  </si>
  <si>
    <t>GO-MAN-482</t>
  </si>
  <si>
    <t>Using non-production data, open /asset-packs, contributor workspace, protected open route, admin review, and Legacy review. Prepare the state named “Unrelated user asset approval denied”, perform the single relevant navigation or action, and record the visible result, resulting URL, HTTP status where applicable, and browser console/network errors.</t>
  </si>
  <si>
    <t>The “Unrelated user asset approval denied” restriction is enforced in both UI and direct request behavior; the protected action/value is absent and the user receives a clear non-success state.</t>
  </si>
  <si>
    <t>Unrelated user asset approval denied</t>
  </si>
  <si>
    <t>GO-MAN-483</t>
  </si>
  <si>
    <t>Using non-production data, open /asset-packs, contributor workspace, protected open route, admin review, and Legacy review. Prepare the state named “New asset version submission”, perform the single relevant navigation or action, and record the visible result, resulting URL, HTTP status where applicable, and browser console/network errors.</t>
  </si>
  <si>
    <t>The “New asset version submission” scenario reaches the named state once, shows the expected controls and confirmation, updates only the authorized record, and creates no duplicate or unrelated state.</t>
  </si>
  <si>
    <t>New asset version submission</t>
  </si>
  <si>
    <t>GO-MAN-484</t>
  </si>
  <si>
    <t>Using non-production data, open /asset-packs, contributor workspace, protected open route, admin review, and Legacy review. Prepare the state named “Existing asset version remains active until update approval”, perform the single relevant navigation or action, and record the visible result, resulting URL, HTTP status where applicable, and browser console/network errors.</t>
  </si>
  <si>
    <t>The “Existing asset version remains active until update approval” scenario reaches the named state once, shows the expected controls and confirmation, updates only the authorized record, and creates no duplicate or unrelated state.</t>
  </si>
  <si>
    <t>Existing asset version remains active until update approval</t>
  </si>
  <si>
    <t>GO-MAN-485</t>
  </si>
  <si>
    <t>Using non-production data, open /asset-packs, contributor workspace, protected open route, admin review, and Legacy review. Prepare the state named “Public pack access”, perform the single relevant navigation or action, and record the visible result, resulting URL, HTTP status where applicable, and browser console/network errors.</t>
  </si>
  <si>
    <t>The “Public pack access” scenario reaches the named state once, shows the expected controls and confirmation, updates only the authorized record, and creates no duplicate or unrelated state.</t>
  </si>
  <si>
    <t>Public pack access</t>
  </si>
  <si>
    <t>GO-MAN-486</t>
  </si>
  <si>
    <t>Using non-production data, open /asset-packs, contributor workspace, protected open route, admin review, and Legacy review. Prepare the state named “Community pack access”, perform the single relevant navigation or action, and record the visible result, resulting URL, HTTP status where applicable, and browser console/network errors.</t>
  </si>
  <si>
    <t>The “Community pack access” scenario reaches the named state once, shows the expected controls and confirmation, updates only the authorized record, and creates no duplicate or unrelated state.</t>
  </si>
  <si>
    <t>Community pack access</t>
  </si>
  <si>
    <t>GO-MAN-487</t>
  </si>
  <si>
    <t>Using non-production data, open /asset-packs, contributor workspace, protected open route, admin review, and Legacy review. Prepare the state named “Business inherited pack access”, perform the single relevant navigation or action, and record the visible result, resulting URL, HTTP status where applicable, and browser console/network errors.</t>
  </si>
  <si>
    <t>The “Business inherited pack access” scenario reaches the named state once, shows the expected controls and confirmation, updates only the authorized record, and creates no duplicate or unrelated state.</t>
  </si>
  <si>
    <t>Business inherited pack access</t>
  </si>
  <si>
    <t>GO-MAN-488</t>
  </si>
  <si>
    <t>Using non-production data, open /asset-packs, contributor workspace, protected open route, admin review, and Legacy review. Prepare the state named “Individual asset grant”, perform the single relevant navigation or action, and record the visible result, resulting URL, HTTP status where applicable, and browser console/network errors.</t>
  </si>
  <si>
    <t>The “Individual asset grant” scenario reaches the named state once, shows the expected controls and confirmation, updates only the authorized record, and creates no duplicate or unrelated state.</t>
  </si>
  <si>
    <t>Individual asset grant</t>
  </si>
  <si>
    <t>GO-MAN-489</t>
  </si>
  <si>
    <t>Using non-production data, open /asset-packs, contributor workspace, protected open route, admin review, and Legacy review. Prepare the state named “Protected asset download redirect”, perform the single relevant navigation or action, and record the visible result, resulting URL, HTTP status where applicable, and browser console/network errors.</t>
  </si>
  <si>
    <t>The “Protected asset download redirect” restriction is enforced in both UI and direct request behavior; the protected action/value is absent and the user receives a clear non-success state.</t>
  </si>
  <si>
    <t>Protected asset download redirect</t>
  </si>
  <si>
    <t>GO-MAN-490</t>
  </si>
  <si>
    <t>Using non-production data, open /asset-packs, contributor workspace, protected open route, admin review, and Legacy review. Prepare the state named “Missing asset download URL”, perform the single relevant navigation or action, and record the visible result, resulting URL, HTTP status where applicable, and browser console/network errors.</t>
  </si>
  <si>
    <t>The “Missing asset download URL” restriction is enforced in both UI and direct request behavior; the protected action/value is absent and the user receives a clear non-success state.</t>
  </si>
  <si>
    <t>Missing asset download URL</t>
  </si>
  <si>
    <t>GO-MAN-491</t>
  </si>
  <si>
    <t>Using non-production data, open /asset-packs, contributor workspace, protected open route, admin review, and Legacy review. Prepare the state named “Visible Legacy label”, perform the single relevant navigation or action, and record the visible result, resulting URL, HTTP status where applicable, and browser console/network errors.</t>
  </si>
  <si>
    <t>The “Visible Legacy label” scenario reaches the named state once, shows the expected controls and confirmation, updates only the authorized record, and creates no duplicate or unrelated state.</t>
  </si>
  <si>
    <t>Visible Legacy label</t>
  </si>
  <si>
    <t>GO-MAN-492</t>
  </si>
  <si>
    <t>Using non-production data, open /asset-packs, contributor workspace, protected open route, admin review, and Legacy review. Prepare the state named “Legacy admin review checklist”, perform the single relevant navigation or action, and record the visible result, resulting URL, HTTP status where applicable, and browser console/network errors.</t>
  </si>
  <si>
    <t>The “Legacy admin review checklist” scenario reaches the named state once, shows the expected controls and confirmation, updates only the authorized record, and creates no duplicate or unrelated state.</t>
  </si>
  <si>
    <t>Legacy admin review checklist</t>
  </si>
  <si>
    <t>GO-MAN-493</t>
  </si>
  <si>
    <t>Using non-production data, open /asset-packs, contributor workspace, protected open route, admin review, and Legacy review. Prepare the state named “April 2025 resource unchanged without ID”, perform the single relevant navigation or action, and record the visible result, resulting URL, HTTP status where applicable, and browser console/network errors.</t>
  </si>
  <si>
    <t>The “April 2025 resource unchanged without ID” restriction is enforced in both UI and direct request behavior; the protected action/value is absent and the user receives a clear non-success state.</t>
  </si>
  <si>
    <t>April 2025 resource unchanged without ID</t>
  </si>
  <si>
    <t>GO-MAN-494</t>
  </si>
  <si>
    <t>Visual &amp; Accessibility</t>
  </si>
  <si>
    <t>Using non-production data, open All new public, member, and administrator product surfaces. Prepare the state named “390px mobile viewport”, perform the single relevant navigation or action, and record the visible result, resulting URL, HTTP status where applicable, and browser console/network errors.</t>
  </si>
  <si>
    <t>At “390px mobile viewport”, content remains readable with no clipping or horizontal overflow; focus, labels, status meaning, touch targets, and motion behavior remain perceivable and operable.</t>
  </si>
  <si>
    <t>390px mobile viewport</t>
  </si>
  <si>
    <t>Visitor, keyboard user, screen-reader user, or administrator</t>
  </si>
  <si>
    <t>Use staging data for populated, empty, locked, loading, error, and confirmation states; reduced motion available. Use synthetic records and do not change production data.</t>
  </si>
  <si>
    <t>GO-MAN-495</t>
  </si>
  <si>
    <t>Using non-production data, open All new public, member, and administrator product surfaces. Prepare the state named “Tablet viewport”, perform the single relevant navigation or action, and record the visible result, resulting URL, HTTP status where applicable, and browser console/network errors.</t>
  </si>
  <si>
    <t>At “Tablet viewport”, content remains readable with no clipping or horizontal overflow; focus, labels, status meaning, touch targets, and motion behavior remain perceivable and operable.</t>
  </si>
  <si>
    <t>Tablet viewport</t>
  </si>
  <si>
    <t>GO-MAN-496</t>
  </si>
  <si>
    <t>Using non-production data, open All new public, member, and administrator product surfaces. Prepare the state named “Normal desktop viewport”, perform the single relevant navigation or action, and record the visible result, resulting URL, HTTP status where applicable, and browser console/network errors.</t>
  </si>
  <si>
    <t>At “Normal desktop viewport”, content remains readable with no clipping or horizontal overflow; focus, labels, status meaning, touch targets, and motion behavior remain perceivable and operable.</t>
  </si>
  <si>
    <t>Normal desktop viewport</t>
  </si>
  <si>
    <t>GO-MAN-497</t>
  </si>
  <si>
    <t>Using non-production data, open All new public, member, and administrator product surfaces. Prepare the state named “Wide desktop viewport”, perform the single relevant navigation or action, and record the visible result, resulting URL, HTTP status where applicable, and browser console/network errors.</t>
  </si>
  <si>
    <t>At “Wide desktop viewport”, content remains readable with no clipping or horizontal overflow; focus, labels, status meaning, touch targets, and motion behavior remain perceivable and operable.</t>
  </si>
  <si>
    <t>Wide desktop viewport</t>
  </si>
  <si>
    <t>GO-MAN-498</t>
  </si>
  <si>
    <t>Using non-production data, open All new public, member, and administrator product surfaces. Prepare the state named “Browser zoom at 200 percent”, perform the single relevant navigation or action, and record the visible result, resulting URL, HTTP status where applicable, and browser console/network errors.</t>
  </si>
  <si>
    <t>At “Browser zoom at 200 percent”, content remains readable with no clipping or horizontal overflow; focus, labels, status meaning, touch targets, and motion behavior remain perceivable and operable.</t>
  </si>
  <si>
    <t>Browser zoom at 200 percent</t>
  </si>
  <si>
    <t>GO-MAN-499</t>
  </si>
  <si>
    <t>Using non-production data, open All new public, member, and administrator product surfaces. Prepare the state named “Long text”, perform the single relevant navigation or action, and record the visible result, resulting URL, HTTP status where applicable, and browser console/network errors.</t>
  </si>
  <si>
    <t>At “Long text”, content remains readable with no clipping or horizontal overflow; focus, labels, status meaning, touch targets, and motion behavior remain perceivable and operable.</t>
  </si>
  <si>
    <t>Long text</t>
  </si>
  <si>
    <t>GO-MAN-500</t>
  </si>
  <si>
    <t>Using non-production data, open All new public, member, and administrator product surfaces. Prepare the state named “Empty states”, perform the single relevant navigation or action, and record the visible result, resulting URL, HTTP status where applicable, and browser console/network errors.</t>
  </si>
  <si>
    <t>The “Empty states” state displays an explicit empty-state message and approved next action without blank or broken layout.</t>
  </si>
  <si>
    <t>Empty states</t>
  </si>
  <si>
    <t>GO-MAN-501</t>
  </si>
  <si>
    <t>Using non-production data, open All new public, member, and administrator product surfaces. Prepare the state named “Locked states”, perform the single relevant navigation or action, and record the visible result, resulting URL, HTTP status where applicable, and browser console/network errors.</t>
  </si>
  <si>
    <t>The “Locked states” scenario reaches the named state once, shows the expected controls and confirmation, updates only the authorized record, and creates no duplicate or unrelated state.</t>
  </si>
  <si>
    <t>Locked states</t>
  </si>
  <si>
    <t>GO-MAN-502</t>
  </si>
  <si>
    <t>Using non-production data, open All new public, member, and administrator product surfaces. Prepare the state named “Loading states for new products”, perform the single relevant navigation or action, and record the visible result, resulting URL, HTTP status where applicable, and browser console/network errors.</t>
  </si>
  <si>
    <t>The “Loading states for new products” state displays progress, prevents duplicate submission, and resolves to success or a visible error.</t>
  </si>
  <si>
    <t>Loading states for new products</t>
  </si>
  <si>
    <t>GO-MAN-503</t>
  </si>
  <si>
    <t>Using non-production data, open All new public, member, and administrator product surfaces. Prepare the state named “Error states for new products”, perform the single relevant navigation or action, and record the visible result, resulting URL, HTTP status where applicable, and browser console/network errors.</t>
  </si>
  <si>
    <t>The “Error states for new products” state presents an actionable, non-sensitive error associated with the initiating control.</t>
  </si>
  <si>
    <t>Error states for new products</t>
  </si>
  <si>
    <t>GO-MAN-504</t>
  </si>
  <si>
    <t>Using non-production data, open All new public, member, and administrator product surfaces. Prepare the state named “Confirmation dialogs”, perform the single relevant navigation or action, and record the visible result, resulting URL, HTTP status where applicable, and browser console/network errors.</t>
  </si>
  <si>
    <t>At “Confirmation dialogs”, content remains readable with no clipping or horizontal overflow; focus, labels, status meaning, touch targets, and motion behavior remain perceivable and operable.</t>
  </si>
  <si>
    <t>Confirmation dialogs</t>
  </si>
  <si>
    <t>GO-MAN-505</t>
  </si>
  <si>
    <t>Using non-production data, open All new public, member, and administrator product surfaces. Prepare the state named “Drawers”, perform the single relevant navigation or action, and record the visible result, resulting URL, HTTP status where applicable, and browser console/network errors.</t>
  </si>
  <si>
    <t>The “Drawers” scenario reaches the named state once, shows the expected controls and confirmation, updates only the authorized record, and creates no duplicate or unrelated state.</t>
  </si>
  <si>
    <t>Drawers</t>
  </si>
  <si>
    <t>GO-MAN-506</t>
  </si>
  <si>
    <t>Using non-production data, open All new public, member, and administrator product surfaces. Prepare the state named “Admin tables”, perform the single relevant navigation or action, and record the visible result, resulting URL, HTTP status where applicable, and browser console/network errors.</t>
  </si>
  <si>
    <t>The “Admin tables” scenario reaches the named state once, shows the expected controls and confirmation, updates only the authorized record, and creates no duplicate or unrelated state.</t>
  </si>
  <si>
    <t>Admin tables</t>
  </si>
  <si>
    <t>GO-MAN-507</t>
  </si>
  <si>
    <t>Using non-production data, open All new public, member, and administrator product surfaces. Prepare the state named “Product cards”, perform the single relevant navigation or action, and record the visible result, resulting URL, HTTP status where applicable, and browser console/network errors.</t>
  </si>
  <si>
    <t>The “Product cards” scenario reaches the named state once, shows the expected controls and confirmation, updates only the authorized record, and creates no duplicate or unrelated state.</t>
  </si>
  <si>
    <t>Product cards</t>
  </si>
  <si>
    <t>GO-MAN-508</t>
  </si>
  <si>
    <t>Using non-production data, open All new public, member, and administrator product surfaces. Prepare the state named “Notification center visual QA”, perform the single relevant navigation or action, and record the visible result, resulting URL, HTTP status where applicable, and browser console/network errors.</t>
  </si>
  <si>
    <t>At “Notification center visual QA”, content remains readable with no clipping or horizontal overflow; focus, labels, status meaning, touch targets, and motion behavior remain perceivable and operable.</t>
  </si>
  <si>
    <t>Notification center visual QA</t>
  </si>
  <si>
    <t>GO-MAN-509</t>
  </si>
  <si>
    <t>Using non-production data, open All new public, member, and administrator product surfaces. Prepare the state named “Mentor directory visual QA”, perform the single relevant navigation or action, and record the visible result, resulting URL, HTTP status where applicable, and browser console/network errors.</t>
  </si>
  <si>
    <t>At “Mentor directory visual QA”, content remains readable with no clipping or horizontal overflow; focus, labels, status meaning, touch targets, and motion behavior remain perceivable and operable.</t>
  </si>
  <si>
    <t>Mentor directory visual QA</t>
  </si>
  <si>
    <t>GO-MAN-510</t>
  </si>
  <si>
    <t>Using non-production data, open All new public, member, and administrator product surfaces. Prepare the state named “Course enrollment visual QA”, perform the single relevant navigation or action, and record the visible result, resulting URL, HTTP status where applicable, and browser console/network errors.</t>
  </si>
  <si>
    <t>At “Course enrollment visual QA”, content remains readable with no clipping or horizontal overflow; focus, labels, status meaning, touch targets, and motion behavior remain perceivable and operable.</t>
  </si>
  <si>
    <t>Course enrollment visual QA</t>
  </si>
  <si>
    <t>GO-MAN-511</t>
  </si>
  <si>
    <t>Using non-production data, open All new public, member, and administrator product surfaces. Prepare the state named “Video bundles visual QA”, perform the single relevant navigation or action, and record the visible result, resulting URL, HTTP status where applicable, and browser console/network errors.</t>
  </si>
  <si>
    <t>At “Video bundles visual QA”, content remains readable with no clipping or horizontal overflow; focus, labels, status meaning, touch targets, and motion behavior remain perceivable and operable.</t>
  </si>
  <si>
    <t>Video bundles visual QA</t>
  </si>
  <si>
    <t>GO-MAN-512</t>
  </si>
  <si>
    <t>Using non-production data, open All new public, member, and administrator product surfaces. Prepare the state named “Asset submissions visual QA”, perform the single relevant navigation or action, and record the visible result, resulting URL, HTTP status where applicable, and browser console/network errors.</t>
  </si>
  <si>
    <t>At “Asset submissions visual QA”, content remains readable with no clipping or horizontal overflow; focus, labels, status meaning, touch targets, and motion behavior remain perceivable and operable.</t>
  </si>
  <si>
    <t>Asset submissions visual QA</t>
  </si>
  <si>
    <t>GO-MAN-513</t>
  </si>
  <si>
    <t>Using non-production data, open All new public, member, and administrator product surfaces. Prepare the state named “Admin pages visual QA”, perform the single relevant navigation or action, and record the visible result, resulting URL, HTTP status where applicable, and browser console/network errors.</t>
  </si>
  <si>
    <t>At “Admin pages visual QA”, content remains readable with no clipping or horizontal overflow; focus, labels, status meaning, touch targets, and motion behavior remain perceivable and operable.</t>
  </si>
  <si>
    <t>Admin pages visual QA</t>
  </si>
  <si>
    <t>GO-MAN-514</t>
  </si>
  <si>
    <t>Using non-production data, open All new public, member, and administrator product surfaces. Prepare the state named “No horizontal overflow”, perform the single relevant navigation or action, and record the visible result, resulting URL, HTTP status where applicable, and browser console/network errors.</t>
  </si>
  <si>
    <t>At “No horizontal overflow”, content remains readable with no clipping or horizontal overflow; focus, labels, status meaning, touch targets, and motion behavior remain perceivable and operable.</t>
  </si>
  <si>
    <t>No horizontal overflow</t>
  </si>
  <si>
    <t>GO-MAN-515</t>
  </si>
  <si>
    <t>Using non-production data, open All new public, member, and administrator product surfaces. Prepare the state named “No overlapping content”, perform the single relevant navigation or action, and record the visible result, resulting URL, HTTP status where applicable, and browser console/network errors.</t>
  </si>
  <si>
    <t>At “No overlapping content”, content remains readable with no clipping or horizontal overflow; focus, labels, status meaning, touch targets, and motion behavior remain perceivable and operable.</t>
  </si>
  <si>
    <t>No overlapping content</t>
  </si>
  <si>
    <t>GO-MAN-516</t>
  </si>
  <si>
    <t>Using non-production data, open All new public, member, and administrator product surfaces. Prepare the state named “Visible focus”, perform the single relevant navigation or action, and record the visible result, resulting URL, HTTP status where applicable, and browser console/network errors.</t>
  </si>
  <si>
    <t>At “Visible focus”, content remains readable with no clipping or horizontal overflow; focus, labels, status meaning, touch targets, and motion behavior remain perceivable and operable.</t>
  </si>
  <si>
    <t>Visible focus</t>
  </si>
  <si>
    <t>GO-MAN-517</t>
  </si>
  <si>
    <t>Using non-production data, open All new public, member, and administrator product surfaces. Prepare the state named “Keyboard-only operation”, perform the single relevant navigation or action, and record the visible result, resulting URL, HTTP status where applicable, and browser console/network errors.</t>
  </si>
  <si>
    <t>At “Keyboard-only operation”, content remains readable with no clipping or horizontal overflow; focus, labels, status meaning, touch targets, and motion behavior remain perceivable and operable.</t>
  </si>
  <si>
    <t>Keyboard-only operation</t>
  </si>
  <si>
    <t>GO-MAN-518</t>
  </si>
  <si>
    <t>Using non-production data, open All new public, member, and administrator product surfaces. Prepare the state named “Screen-reader labels”, perform the single relevant navigation or action, and record the visible result, resulting URL, HTTP status where applicable, and browser console/network errors.</t>
  </si>
  <si>
    <t>At “Screen-reader labels”, content remains readable with no clipping or horizontal overflow; focus, labels, status meaning, touch targets, and motion behavior remain perceivable and operable.</t>
  </si>
  <si>
    <t>Screen-reader labels</t>
  </si>
  <si>
    <t>GO-MAN-519</t>
  </si>
  <si>
    <t>Using non-production data, open All new public, member, and administrator product surfaces. Prepare the state named “Form-error association”, perform the single relevant navigation or action, and record the visible result, resulting URL, HTTP status where applicable, and browser console/network errors.</t>
  </si>
  <si>
    <t>The “Form-error association” state presents an actionable, non-sensitive error associated with the initiating control.</t>
  </si>
  <si>
    <t>Form-error association</t>
  </si>
  <si>
    <t>GO-MAN-520</t>
  </si>
  <si>
    <t>Using non-production data, open All new public, member, and administrator product surfaces. Prepare the state named “Color contrast”, perform the single relevant navigation or action, and record the visible result, resulting URL, HTTP status where applicable, and browser console/network errors.</t>
  </si>
  <si>
    <t>At “Color contrast”, content remains readable with no clipping or horizontal overflow; focus, labels, status meaning, touch targets, and motion behavior remain perceivable and operable.</t>
  </si>
  <si>
    <t>Color contrast</t>
  </si>
  <si>
    <t>GO-MAN-521</t>
  </si>
  <si>
    <t>Using non-production data, open All new public, member, and administrator product surfaces. Prepare the state named “Non-color status indicators”, perform the single relevant navigation or action, and record the visible result, resulting URL, HTTP status where applicable, and browser console/network errors.</t>
  </si>
  <si>
    <t>At “Non-color status indicators”, content remains readable with no clipping or horizontal overflow; focus, labels, status meaning, touch targets, and motion behavior remain perceivable and operable.</t>
  </si>
  <si>
    <t>Non-color status indicators</t>
  </si>
  <si>
    <t>GO-MAN-522</t>
  </si>
  <si>
    <t>Using non-production data, open All new public, member, and administrator product surfaces. Prepare the state named “Reduced-motion behavior”, perform the single relevant navigation or action, and record the visible result, resulting URL, HTTP status where applicable, and browser console/network errors.</t>
  </si>
  <si>
    <t>At “Reduced-motion behavior”, content remains readable with no clipping or horizontal overflow; focus, labels, status meaning, touch targets, and motion behavior remain perceivable and operable.</t>
  </si>
  <si>
    <t>Reduced-motion behavior</t>
  </si>
  <si>
    <t>GO-MAN-523</t>
  </si>
  <si>
    <t>Using non-production data, open All new public, member, and administrator product surfaces. Prepare the state named “Touch-target size”, perform the single relevant navigation or action, and record the visible result, resulting URL, HTTP status where applicable, and browser console/network errors.</t>
  </si>
  <si>
    <t>At “Touch-target size”, content remains readable with no clipping or horizontal overflow; focus, labels, status meaning, touch targets, and motion behavior remain perceivable and operable.</t>
  </si>
  <si>
    <t>Touch-target size</t>
  </si>
  <si>
    <t>GO-MAN-524</t>
  </si>
  <si>
    <t>Using non-production data, open All new public, member, and administrator product surfaces. Prepare the state named “Dialog focus trapping”, perform the single relevant navigation or action, and record the visible result, resulting URL, HTTP status where applicable, and browser console/network errors.</t>
  </si>
  <si>
    <t>At “Dialog focus trapping”, content remains readable with no clipping or horizontal overflow; focus, labels, status meaning, touch targets, and motion behavior remain perceivable and operable.</t>
  </si>
  <si>
    <t>Dialog focus trapping</t>
  </si>
  <si>
    <t>GO-MAN-525</t>
  </si>
  <si>
    <t>Using non-production data, open All new public, member, and administrator product surfaces. Prepare the state named “Dialog Escape behavior”, perform the single relevant navigation or action, and record the visible result, resulting URL, HTTP status where applicable, and browser console/network errors.</t>
  </si>
  <si>
    <t>At “Dialog Escape behavior”, content remains readable with no clipping or horizontal overflow; focus, labels, status meaning, touch targets, and motion behavior remain perceivable and operable.</t>
  </si>
  <si>
    <t>Dialog Escape behavior</t>
  </si>
  <si>
    <t>GO-MAN-526</t>
  </si>
  <si>
    <t>Using non-production data, open All new public, member, and administrator product surfaces. Prepare the state named “Heading hierarchy”, perform the single relevant navigation or action, and record the visible result, resulting URL, HTTP status where applicable, and browser console/network errors.</t>
  </si>
  <si>
    <t>At “Heading hierarchy”, content remains readable with no clipping or horizontal overflow; focus, labels, status meaning, touch targets, and motion behavior remain perceivable and operable.</t>
  </si>
  <si>
    <t>Heading hierarchy</t>
  </si>
  <si>
    <t>GO-MAN-527</t>
  </si>
  <si>
    <t>Using non-production data, open All new public, member, and administrator product surfaces. Prepare the state named “Descriptive links”, perform the single relevant navigation or action, and record the visible result, resulting URL, HTTP status where applicable, and browser console/network errors.</t>
  </si>
  <si>
    <t>At “Descriptive links”, content remains readable with no clipping or horizontal overflow; focus, labels, status meaning, touch targets, and motion behavior remain perceivable and operable.</t>
  </si>
  <si>
    <t>Descriptive links</t>
  </si>
  <si>
    <t>GO-MAN-528</t>
  </si>
  <si>
    <t>Using non-production data, open All new public, member, and administrator product surfaces. Prepare the state named “External-link indication”, perform the single relevant navigation or action, and record the visible result, resulting URL, HTTP status where applicable, and browser console/network errors.</t>
  </si>
  <si>
    <t>At “External-link indication”, content remains readable with no clipping or horizontal overflow; focus, labels, status meaning, touch targets, and motion behavior remain perceivable and operable.</t>
  </si>
  <si>
    <t>External-link indication</t>
  </si>
  <si>
    <t>Account</t>
  </si>
  <si>
    <t>Purpose</t>
  </si>
  <si>
    <t>Email</t>
  </si>
  <si>
    <t>Free email user</t>
  </si>
  <si>
    <t>Membership prompts, restricted project creation and onboarding</t>
  </si>
  <si>
    <t>kikerkov@gmail.com</t>
  </si>
  <si>
    <t>Free Google user</t>
  </si>
  <si>
    <t>Google login, redirect and profile tests</t>
  </si>
  <si>
    <t>mugi@mugi.mk</t>
  </si>
  <si>
    <t>Active Community member</t>
  </si>
  <si>
    <t>Applying to projects and upgrading to Business</t>
  </si>
  <si>
    <t>ivan.kikerkov@gmail.com</t>
  </si>
  <si>
    <t>Canceled Community member</t>
  </si>
  <si>
    <t>Renewal buttons and access after cancellation</t>
  </si>
  <si>
    <t>galacticomniworce@gmail.com</t>
  </si>
  <si>
    <t>Business Creator</t>
  </si>
  <si>
    <t>Own, create, edit and delete projects</t>
  </si>
  <si>
    <t>galacticomnivore@galacticomnivore.com</t>
  </si>
  <si>
    <t>Administrative permissions and owner/admin comparisons</t>
  </si>
  <si>
    <t>galacticadmin@gmail.com</t>
  </si>
  <si>
    <t>STATUS UPDATE 
GO WEBSITE 2.0 
TEST SUITE RESULTS 
29.07.2026</t>
  </si>
</sst>
</file>

<file path=xl/styles.xml><?xml version="1.0" encoding="utf-8"?>
<styleSheet xmlns="http://schemas.openxmlformats.org/spreadsheetml/2006/main">
  <numFmts count="3">
    <numFmt numFmtId="164" formatCode="yyyy-mm-dd"/>
    <numFmt numFmtId="165" formatCode="#,##0"/>
    <numFmt numFmtId="166" formatCode="0.0%"/>
  </numFmts>
  <fonts count="15">
    <font>
      <sz val="10.0"/>
      <color rgb="FF000000"/>
      <name val="Arial"/>
      <scheme val="minor"/>
    </font>
    <font>
      <color theme="1"/>
      <name val="Arial"/>
      <scheme val="minor"/>
    </font>
    <font>
      <u/>
      <color rgb="FF0000FF"/>
    </font>
    <font>
      <b/>
      <sz val="11.0"/>
      <color rgb="FFFFFFFF"/>
      <name val="Carlito"/>
    </font>
    <font>
      <color rgb="FF000000"/>
      <name val="Carlito"/>
    </font>
    <font>
      <u/>
      <color rgb="FF0000FF"/>
    </font>
    <font>
      <color theme="1"/>
      <name val="Arial"/>
    </font>
    <font>
      <b/>
      <color theme="1"/>
      <name val="Arial"/>
      <scheme val="minor"/>
    </font>
    <font>
      <sz val="20.0"/>
      <color theme="1"/>
      <name val="Arial"/>
      <scheme val="minor"/>
    </font>
    <font>
      <sz val="11"/>
      <name val="Carlito"/>
    </font>
    <font>
      <sz val="10"/>
      <color rgb="FF17243D"/>
      <name val="Arial"/>
    </font>
    <font>
      <b/>
      <sz val="10"/>
      <color rgb="FFFFFFFF"/>
      <name val="Arial"/>
    </font>
    <font>
      <sz val="10"/>
      <color rgb="FF526079"/>
      <name val="Arial"/>
    </font>
    <font>
      <b/>
      <sz val="16"/>
      <color rgb="FF17243D"/>
      <name val="Arial"/>
    </font>
    <font>
      <b/>
      <sz val="10"/>
      <color rgb="FF17243D"/>
      <name val="Arial"/>
    </font>
  </fonts>
  <fills count="10">
    <fill>
      <patternFill patternType="none"/>
    </fill>
    <fill>
      <patternFill patternType="lightGray"/>
    </fill>
    <fill>
      <patternFill patternType="solid">
        <fgColor rgb="FF1D4ED8"/>
        <bgColor rgb="FF1D4ED8"/>
      </patternFill>
    </fill>
    <fill>
      <patternFill patternType="none"/>
    </fill>
    <fill>
      <patternFill patternType="gray125"/>
    </fill>
    <fill>
      <patternFill patternType="solid">
        <fgColor rgb="FF2247B8"/>
      </patternFill>
    </fill>
    <fill>
      <patternFill patternType="solid">
        <fgColor rgb="FFF5F7FC"/>
      </patternFill>
    </fill>
    <fill>
      <patternFill patternType="solid">
        <fgColor rgb="FFFFF2CC"/>
      </patternFill>
    </fill>
    <fill>
      <patternFill patternType="solid">
        <fgColor rgb="FFFFF9E8"/>
      </patternFill>
    </fill>
    <fill>
      <patternFill patternType="solid">
        <fgColor rgb="FFEEF2FB"/>
      </patternFill>
    </fill>
  </fills>
  <borders count="2">
    <border/>
    <border>
      <left/>
      <right/>
      <top/>
      <bottom/>
      <diagonal/>
    </border>
  </borders>
  <cellStyleXfs count="2">
    <xf borderId="0" fillId="0" fontId="0" numFmtId="0" applyAlignment="1" applyFont="1"/>
    <xf numFmtId="0" fontId="9" fillId="3" borderId="1"/>
  </cellStyleXfs>
  <cellXfs count="48">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0" fontId="1" numFmtId="0" xfId="0" applyAlignment="1" applyFont="1">
      <alignment readingOrder="0"/>
    </xf>
    <xf borderId="0" fillId="0" fontId="2" numFmtId="0" xfId="0" applyAlignment="1" applyFont="1">
      <alignment readingOrder="0"/>
    </xf>
    <xf borderId="0" fillId="0" fontId="1" numFmtId="0" xfId="0" applyFont="1"/>
    <xf borderId="0" fillId="2" fontId="3" numFmtId="0" xfId="0" applyAlignment="1" applyFill="1" applyFont="1">
      <alignment horizontal="center" readingOrder="0" shrinkToFit="0" wrapText="1"/>
    </xf>
    <xf borderId="0" fillId="0" fontId="4" numFmtId="0" xfId="0" applyAlignment="1" applyFont="1">
      <alignment readingOrder="0" shrinkToFit="0" vertical="top" wrapText="1"/>
    </xf>
    <xf borderId="0" fillId="0" fontId="4" numFmtId="0" xfId="0" applyAlignment="1" applyFont="1">
      <alignment horizontal="center" readingOrder="0" shrinkToFit="0" vertical="top" wrapText="1"/>
    </xf>
    <xf borderId="0" fillId="0" fontId="5" numFmtId="0" xfId="0" applyAlignment="1" applyFont="1">
      <alignment readingOrder="0" shrinkToFit="0" wrapText="1"/>
    </xf>
    <xf borderId="0" fillId="0" fontId="6" numFmtId="0" xfId="0" applyAlignment="1" applyFont="1">
      <alignment shrinkToFit="0" vertical="bottom" wrapText="1"/>
    </xf>
    <xf borderId="0" fillId="0" fontId="7" numFmtId="0" xfId="0" applyAlignment="1" applyFont="1">
      <alignment horizontal="center" readingOrder="0"/>
    </xf>
    <xf borderId="0" fillId="0" fontId="8" numFmtId="0" xfId="0" applyAlignment="1" applyFont="1">
      <alignment readingOrder="0"/>
    </xf>
    <xf borderId="0" fillId="0" fontId="1" numFmtId="0" xfId="0" applyAlignment="1" applyFont="1">
      <alignment horizontal="lef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numFmtId="0" fontId="9" fillId="3" borderId="1" xfId="1"/>
    <xf numFmtId="0" fontId="10" fillId="3" borderId="1" xfId="1" applyNumberFormat="1" applyFont="1" applyFill="1" applyBorder="1"/>
    <xf numFmtId="0" fontId="10" fillId="3" borderId="1" xfId="1" applyNumberFormat="1" applyFont="1" applyFill="1" applyBorder="1" applyAlignment="1">
      <alignment vertical="top"/>
    </xf>
    <xf numFmtId="0" fontId="10" fillId="3" borderId="1" xfId="1" applyNumberFormat="1" applyFont="1" applyFill="1" applyBorder="1" applyAlignment="1">
      <alignment vertical="top" wrapText="1"/>
    </xf>
    <xf numFmtId="0" fontId="10" fillId="5" borderId="1" xfId="1" applyNumberFormat="1" applyFont="1" applyFill="1" applyBorder="1" applyAlignment="1">
      <alignment vertical="top" wrapText="1"/>
    </xf>
    <xf numFmtId="0" fontId="11" fillId="5" borderId="1" xfId="1" applyNumberFormat="1" applyFont="1" applyFill="1" applyBorder="1" applyAlignment="1">
      <alignment vertical="top" wrapText="1"/>
    </xf>
    <xf numFmtId="0" fontId="11" fillId="5" borderId="1" xfId="1" applyNumberFormat="1" applyFont="1" applyFill="1" applyBorder="1" applyAlignment="1">
      <alignment horizontal="center" vertical="top" wrapText="1"/>
    </xf>
    <xf numFmtId="0" fontId="11" fillId="5" borderId="1" xfId="1" applyNumberFormat="1" applyFont="1" applyFill="1" applyBorder="1" applyAlignment="1">
      <alignment horizontal="center" vertical="center" wrapText="1"/>
    </xf>
    <xf numFmtId="0" fontId="10" fillId="6" borderId="1" xfId="1" applyNumberFormat="1" applyFont="1" applyFill="1" applyBorder="1" applyAlignment="1">
      <alignment vertical="top" wrapText="1"/>
    </xf>
    <xf numFmtId="0" fontId="10" fillId="7" borderId="1" xfId="1" applyNumberFormat="1" applyFont="1" applyFill="1" applyBorder="1" applyAlignment="1">
      <alignment vertical="top" wrapText="1"/>
    </xf>
    <xf numFmtId="0" fontId="10" fillId="8" borderId="1" xfId="1" applyNumberFormat="1" applyFont="1" applyFill="1" applyBorder="1" applyAlignment="1">
      <alignment vertical="top" wrapText="1"/>
    </xf>
    <xf numFmtId="0" fontId="12" fillId="3" borderId="1" xfId="1" applyNumberFormat="1" applyFont="1" applyFill="1" applyBorder="1" applyAlignment="1">
      <alignment vertical="top" wrapText="1"/>
    </xf>
    <xf numFmtId="0" fontId="12" fillId="6" borderId="1" xfId="1" applyNumberFormat="1" applyFont="1" applyFill="1" applyBorder="1" applyAlignment="1">
      <alignment vertical="top" wrapText="1"/>
    </xf>
    <xf numFmtId="164" fontId="10" fillId="8" borderId="1" xfId="1" applyNumberFormat="1" applyFont="1" applyFill="1" applyBorder="1" applyAlignment="1">
      <alignment vertical="top" wrapText="1"/>
    </xf>
    <xf numFmtId="0" fontId="10" fillId="3" borderId="1" xfId="1" applyNumberFormat="1" applyFont="1" applyFill="1" applyBorder="1" applyAlignment="1">
      <alignment vertical="center"/>
    </xf>
    <xf numFmtId="0" fontId="13" fillId="3" borderId="1" xfId="1" applyNumberFormat="1" applyFont="1" applyFill="1" applyBorder="1" applyAlignment="1">
      <alignment vertical="center"/>
    </xf>
    <xf numFmtId="0" fontId="12" fillId="3" borderId="1" xfId="1" applyNumberFormat="1" applyFont="1" applyFill="1" applyBorder="1" applyAlignment="1">
      <alignment vertical="center"/>
    </xf>
    <xf numFmtId="0" fontId="10" fillId="9" borderId="1" xfId="1" applyNumberFormat="1" applyFont="1" applyFill="1" applyBorder="1" applyAlignment="1">
      <alignment vertical="center"/>
    </xf>
    <xf numFmtId="0" fontId="14" fillId="9" borderId="1" xfId="1" applyNumberFormat="1" applyFont="1" applyFill="1" applyBorder="1" applyAlignment="1">
      <alignment vertical="center"/>
    </xf>
    <xf numFmtId="165" fontId="10" fillId="3" borderId="1" xfId="1" applyNumberFormat="1" applyFont="1" applyFill="1" applyBorder="1" applyAlignment="1">
      <alignment vertical="center"/>
    </xf>
    <xf numFmtId="166" fontId="10" fillId="3" borderId="1" xfId="1" applyNumberFormat="1" applyFont="1" applyFill="1" applyBorder="1" applyAlignment="1">
      <alignment vertical="center"/>
    </xf>
    <xf numFmtId="0" fontId="10" fillId="7" borderId="1" xfId="1" applyNumberFormat="1" applyFont="1" applyFill="1" applyBorder="1" applyAlignment="1">
      <alignment vertical="center"/>
    </xf>
    <xf numFmtId="164" fontId="10" fillId="7" borderId="1" xfId="1" applyNumberFormat="1" applyFont="1" applyFill="1" applyBorder="1" applyAlignment="1">
      <alignment vertical="center"/>
    </xf>
    <xf numFmtId="0" fontId="10" fillId="3" borderId="1" xfId="1" applyNumberFormat="1" applyFont="1" applyFill="1" applyBorder="1" applyAlignment="1">
      <alignment vertical="center" wrapText="1"/>
    </xf>
    <xf numFmtId="0" fontId="10" fillId="5" borderId="1" xfId="1" applyNumberFormat="1" applyFont="1" applyFill="1" applyBorder="1" applyAlignment="1">
      <alignment vertical="center"/>
    </xf>
    <xf numFmtId="0" fontId="11" fillId="5" borderId="1" xfId="1" applyNumberFormat="1" applyFont="1" applyFill="1" applyBorder="1" applyAlignment="1">
      <alignment vertical="center"/>
    </xf>
    <xf numFmtId="0" fontId="10" fillId="6" borderId="1" xfId="1" applyNumberFormat="1" applyFont="1" applyFill="1" applyBorder="1" applyAlignment="1">
      <alignment vertical="center"/>
    </xf>
    <xf numFmtId="0" fontId="10" fillId="6" borderId="1" xfId="1" applyNumberFormat="1" applyFont="1" applyFill="1" applyBorder="1" applyAlignment="1">
      <alignment vertical="center" wrapText="1"/>
    </xf>
    <xf numFmtId="0" fontId="10" fillId="7" borderId="1" xfId="1" applyNumberFormat="1" applyFont="1" applyFill="1" applyBorder="1" applyAlignment="1">
      <alignment vertical="center" wrapText="1"/>
    </xf>
    <xf numFmtId="0" fontId="13" fillId="3" borderId="1" xfId="1" applyNumberFormat="1" applyFont="1" applyFill="1" applyBorder="1" applyAlignment="1">
      <alignment vertical="top"/>
    </xf>
    <xf numFmtId="0" fontId="10" fillId="5" borderId="1" xfId="1" applyNumberFormat="1" applyFont="1" applyFill="1" applyBorder="1" applyAlignment="1">
      <alignment vertical="top"/>
    </xf>
    <xf numFmtId="0" fontId="11" fillId="5" borderId="1" xfId="1" applyNumberFormat="1" applyFont="1" applyFill="1" applyBorder="1" applyAlignment="1">
      <alignment vertical="top"/>
    </xf>
  </cellXfs>
  <cellStyles count="2">
    <cellStyle xfId="0" name="Normal" builtinId="0"/>
    <cellStyle name="QA19 Normal" xfId="1"/>
  </cellStyles>
  <dxfs count="14">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
      <font>
        <b/>
        <color rgb="FF205B31"/>
      </font>
      <fill>
        <patternFill patternType="solid">
          <bgColor rgb="FFE4F2E7"/>
        </patternFill>
      </fill>
    </dxf>
    <dxf>
      <font>
        <b/>
        <color rgb="FF9D2424"/>
      </font>
      <fill>
        <patternFill patternType="solid">
          <bgColor rgb="FFFCE5E5"/>
        </patternFill>
      </fill>
    </dxf>
    <dxf>
      <font>
        <b/>
        <color rgb="FF8A4C0C"/>
      </font>
      <fill>
        <patternFill patternType="solid">
          <bgColor rgb="FFFFF0D9"/>
        </patternFill>
      </fill>
    </dxf>
    <dxf>
      <font>
        <b/>
        <color rgb="FF633DA0"/>
      </font>
      <fill>
        <patternFill patternType="solid">
          <bgColor rgb="FFEAE4F7"/>
        </patternFill>
      </fill>
    </dxf>
    <dxf>
      <font>
        <b/>
        <color rgb="FF526079"/>
      </font>
      <fill>
        <patternFill patternType="solid">
          <bgColor rgb="FFE9EDF2"/>
        </patternFill>
      </fill>
    </dxf>
    <dxf>
      <font>
        <b/>
        <color rgb="FF9D2424"/>
      </font>
    </dxf>
    <dxf>
      <font>
        <b/>
        <color rgb="FF2247B8"/>
      </font>
      <fill>
        <patternFill patternType="solid">
          <bgColor rgb="FFE6EDF9"/>
        </patternFill>
      </fill>
    </dxf>
    <dxf>
      <font>
        <b/>
      </font>
    </dxf>
    <dxf>
      <font>
        <b/>
        <color rgb="FF9D2424"/>
      </font>
      <fill>
        <patternFill patternType="solid">
          <bgColor rgb="FFFCE5E5"/>
        </patternFill>
      </fill>
    </dxf>
  </dxfs>
  <tableStyles count="1">
    <tableStyle count="4" pivot="0" name="Chart1 Website Test Suite V1.6 -style">
      <tableStyleElement dxfId="1" type="headerRow"/>
      <tableStyleElement dxfId="2" type="firstRowStripe"/>
      <tableStyleElement dxfId="3" type="secondRowStripe"/>
      <tableStyleElement dxfId="4" size="0" type="wholeTable"/>
    </tableStyle>
  </tableStyles>
</styleSheet>
</file>

<file path=xl/_rels/workbook.xml.rels><?xml version='1.0' encoding='utf-8'?>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microsoft.com/office/2017/10/relationships/person" Target="persons/person.xml" /><Relationship Id="rId11" Type="http://schemas.openxmlformats.org/officeDocument/2006/relationships/worksheet" Target="worksheets/sheet7.xml" /><Relationship Id="rId10" Type="http://schemas.openxmlformats.org/officeDocument/2006/relationships/worksheet" Target="worksheets/sheet6.xml" /><Relationship Id="rId12" Type="http://schemas.openxmlformats.org/officeDocument/2006/relationships/worksheet" Target="worksheets/sheet8.xml" /><Relationship Id="rId9" Type="http://schemas.openxmlformats.org/officeDocument/2006/relationships/worksheet" Target="worksheets/sheet5.xml" /><Relationship Id="rId5" Type="http://schemas.openxmlformats.org/officeDocument/2006/relationships/worksheet" Target="worksheets/sheet1.xml" /><Relationship Id="rId6" Type="http://schemas.openxmlformats.org/officeDocument/2006/relationships/worksheet" Target="worksheets/sheet2.xml" /><Relationship Id="rId7" Type="http://schemas.openxmlformats.org/officeDocument/2006/relationships/worksheet" Target="worksheets/sheet3.xml" /><Relationship Id="rId8" Type="http://schemas.openxmlformats.org/officeDocument/2006/relationships/worksheet" Target="worksheets/sheet4.xml" /><Relationship Type="http://schemas.openxmlformats.org/officeDocument/2006/relationships/worksheet" Target="qa19/worksheets/sheet1.xml" Id="rIdQA19S1" /><Relationship Type="http://schemas.openxmlformats.org/officeDocument/2006/relationships/worksheet" Target="qa19/worksheets/sheet2.xml" Id="rIdQA19S2" /><Relationship Type="http://schemas.openxmlformats.org/officeDocument/2006/relationships/worksheet" Target="qa19/worksheets/sheet3.xml" Id="rIdQA19S3" /></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mn-lt"/>
              </a:defRPr>
            </a:pPr>
            <a:r>
              <a:rPr b="0">
                <a:solidFill>
                  <a:srgbClr val="444746"/>
                </a:solidFill>
                <a:latin typeface="+mn-lt"/>
              </a:rPr>
              <a:t>Website Test Suite V1.6 - Overall Status Breakdown</a:t>
            </a:r>
          </a:p>
        </c:rich>
      </c:tx>
      <c:overlay val="0"/>
    </c:title>
    <c:plotArea>
      <c:layout/>
      <c:barChart>
        <c:barDir val="col"/>
        <c:grouping val="stacked"/>
        <c:ser>
          <c:idx val="0"/>
          <c:order val="0"/>
          <c:tx>
            <c:strRef>
              <c:f>'Chart1 Website Test Suite V1.6 '!$B$3</c:f>
            </c:strRef>
          </c:tx>
          <c:spPr>
            <a:solidFill>
              <a:schemeClr val="accent1"/>
            </a:solidFill>
            <a:ln cmpd="sng">
              <a:noFill/>
            </a:ln>
          </c:spPr>
          <c:invertIfNegative val="0"/>
          <c:cat>
            <c:strRef>
              <c:f>'Chart1 Website Test Suite V1.6 '!$A$4:$A$8</c:f>
            </c:strRef>
          </c:cat>
          <c:val>
            <c:numRef>
              <c:f>'Chart1 Website Test Suite V1.6 '!$B$4:$B$8</c:f>
              <c:numCache/>
            </c:numRef>
          </c:val>
        </c:ser>
        <c:ser>
          <c:idx val="1"/>
          <c:order val="1"/>
          <c:tx>
            <c:strRef>
              <c:f>'Chart1 Website Test Suite V1.6 '!$C$3</c:f>
            </c:strRef>
          </c:tx>
          <c:spPr>
            <a:solidFill>
              <a:schemeClr val="accent2"/>
            </a:solidFill>
            <a:ln cmpd="sng">
              <a:noFill/>
            </a:ln>
          </c:spPr>
          <c:invertIfNegative val="0"/>
          <c:cat>
            <c:strRef>
              <c:f>'Chart1 Website Test Suite V1.6 '!$A$4:$A$8</c:f>
            </c:strRef>
          </c:cat>
          <c:val>
            <c:numRef>
              <c:f>'Chart1 Website Test Suite V1.6 '!$C$4:$C$8</c:f>
              <c:numCache/>
            </c:numRef>
          </c:val>
        </c:ser>
        <c:ser>
          <c:idx val="2"/>
          <c:order val="2"/>
          <c:tx>
            <c:strRef>
              <c:f>'Chart1 Website Test Suite V1.6 '!$D$3</c:f>
            </c:strRef>
          </c:tx>
          <c:spPr>
            <a:solidFill>
              <a:schemeClr val="accent3"/>
            </a:solidFill>
            <a:ln cmpd="sng">
              <a:noFill/>
            </a:ln>
          </c:spPr>
          <c:invertIfNegative val="0"/>
          <c:cat>
            <c:strRef>
              <c:f>'Chart1 Website Test Suite V1.6 '!$A$4:$A$8</c:f>
            </c:strRef>
          </c:cat>
          <c:val>
            <c:numRef>
              <c:f>'Chart1 Website Test Suite V1.6 '!$D$4:$D$8</c:f>
              <c:numCache/>
            </c:numRef>
          </c:val>
        </c:ser>
        <c:ser>
          <c:idx val="3"/>
          <c:order val="3"/>
          <c:tx>
            <c:strRef>
              <c:f>'Chart1 Website Test Suite V1.6 '!$E$3</c:f>
            </c:strRef>
          </c:tx>
          <c:spPr>
            <a:solidFill>
              <a:schemeClr val="accent4"/>
            </a:solidFill>
            <a:ln cmpd="sng">
              <a:noFill/>
            </a:ln>
          </c:spPr>
          <c:invertIfNegative val="0"/>
          <c:cat>
            <c:strRef>
              <c:f>'Chart1 Website Test Suite V1.6 '!$A$4:$A$8</c:f>
            </c:strRef>
          </c:cat>
          <c:val>
            <c:numRef>
              <c:f>'Chart1 Website Test Suite V1.6 '!$E$4:$E$8</c:f>
              <c:numCache/>
            </c:numRef>
          </c:val>
        </c:ser>
        <c:ser>
          <c:idx val="4"/>
          <c:order val="4"/>
          <c:tx>
            <c:strRef>
              <c:f>'Chart1 Website Test Suite V1.6 '!$F$3</c:f>
            </c:strRef>
          </c:tx>
          <c:spPr>
            <a:solidFill>
              <a:schemeClr val="accent5"/>
            </a:solidFill>
            <a:ln cmpd="sng">
              <a:noFill/>
            </a:ln>
          </c:spPr>
          <c:invertIfNegative val="0"/>
          <c:cat>
            <c:strRef>
              <c:f>'Chart1 Website Test Suite V1.6 '!$A$4:$A$8</c:f>
            </c:strRef>
          </c:cat>
          <c:val>
            <c:numRef>
              <c:f>'Chart1 Website Test Suite V1.6 '!$F$4:$F$8</c:f>
              <c:numCache/>
            </c:numRef>
          </c:val>
        </c:ser>
        <c:overlap val="100"/>
        <c:axId val="396654308"/>
        <c:axId val="940510556"/>
      </c:barChart>
      <c:catAx>
        <c:axId val="39665430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Status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40510556"/>
      </c:catAx>
      <c:valAx>
        <c:axId val="9405105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Pass, Blocked, Fail, Not Run, Retest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96654308"/>
      </c:valAx>
    </c:plotArea>
    <c:legend>
      <c:legendPos val="r"/>
      <c:overlay val="0"/>
      <c:txPr>
        <a:bodyPr/>
        <a:lstStyle/>
        <a:p>
          <a:pPr lvl="0">
            <a:defRPr b="0">
              <a:solidFill>
                <a:srgbClr val="1A1A1A"/>
              </a:solidFill>
              <a:latin typeface="+mn-lt"/>
            </a:defRPr>
          </a:pPr>
        </a:p>
      </c:txPr>
    </c:legend>
  </c:chart>
  <c:spPr>
    <a:solidFill>
      <a:srgbClr val="F0F4F9"/>
    </a:solidFill>
  </c:spPr>
</c:chartSpace>
</file>

<file path=xl/drawings/_rels/drawing5.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 Id="rId3" Type="http://schemas.openxmlformats.org/officeDocument/2006/relationships/image" Target="../media/image4.jpg"/><Relationship Id="rId4"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219075</xdr:colOff>
      <xdr:row>3</xdr:row>
      <xdr:rowOff>190500</xdr:rowOff>
    </xdr:from>
    <xdr:ext cx="11877675" cy="83629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21</xdr:col>
      <xdr:colOff>714375</xdr:colOff>
      <xdr:row>6</xdr:row>
      <xdr:rowOff>200025</xdr:rowOff>
    </xdr:from>
    <xdr:ext cx="4876800" cy="14287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923925</xdr:colOff>
      <xdr:row>29</xdr:row>
      <xdr:rowOff>114300</xdr:rowOff>
    </xdr:from>
    <xdr:ext cx="4257675" cy="4257675"/>
    <xdr:pic>
      <xdr:nvPicPr>
        <xdr:cNvPr id="0" name="image4.jp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66675</xdr:colOff>
      <xdr:row>45</xdr:row>
      <xdr:rowOff>9525</xdr:rowOff>
    </xdr:from>
    <xdr:ext cx="4867275" cy="6867525"/>
    <xdr:pic>
      <xdr:nvPicPr>
        <xdr:cNvPr id="0" name="image3.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8</xdr:row>
      <xdr:rowOff>76200</xdr:rowOff>
    </xdr:from>
    <xdr:ext cx="4762500" cy="28575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qa19/tables/table1.xml><?xml version="1.0" encoding="utf-8"?>
<table xmlns="http://schemas.openxmlformats.org/spreadsheetml/2006/main" id="2" name="ManualQA19" displayName="ManualQA19" ref="A1:U675" headerRowCount="1" totalsRowCount="0" totalsRowShown="0">
  <autoFilter ref="A1:U675"/>
  <tableColumns count="21">
    <tableColumn id="1" name="Status"/>
    <tableColumn id="2" name="Test ID"/>
    <tableColumn id="3" name="Suite"/>
    <tableColumn id="4" name="Steps"/>
    <tableColumn id="5" name="Expected Result"/>
    <tableColumn id="6" name="Feature"/>
    <tableColumn id="7" name="Priority"/>
    <tableColumn id="8" name="Persona"/>
    <tableColumn id="9" name="Preconditions"/>
    <tableColumn id="10" name="Run Set"/>
    <tableColumn id="11" name="Actual Result"/>
    <tableColumn id="12" name="Notes"/>
    <tableColumn id="13" name="Evidence Link"/>
    <tableColumn id="14" name="Run Date"/>
    <tableColumn id="15" name="Tester"/>
    <tableColumn id="16" name="Browser / Viewport"/>
    <tableColumn id="17" name="Issue Link"/>
    <tableColumn id="18" name="Scope / Feature Flag"/>
    <tableColumn id="19" name="Previous Status"/>
    <tableColumn id="20" name="Previous Notes / Source"/>
    <tableColumn id="21" name="Change"/>
  </tableColumns>
  <tableStyleInfo name="TableStyleMedium2" showFirstColumn="0" showLastColumn="0" showRowStripes="1" showColumnStripes="0"/>
</table>
</file>

<file path=xl/qa19/tables/table2.xml><?xml version="1.0" encoding="utf-8"?>
<table xmlns="http://schemas.openxmlformats.org/spreadsheetml/2006/main" id="3" name="UXBacklog19" displayName="UXBacklog19" ref="A5:N39" headerRowCount="1" totalsRowCount="0" totalsRowShown="0">
  <tableColumns count="14">
    <tableColumn id="1" name="Item ID"/>
    <tableColumn id="2" name="Area / Page"/>
    <tableColumn id="3" name="Related Test / Source"/>
    <tableColumn id="4" name="Type"/>
    <tableColumn id="5" name="Observation"/>
    <tableColumn id="6" name="Suggested change / decision"/>
    <tableColumn id="7" name="Priority"/>
    <tableColumn id="8" name="Status"/>
    <tableColumn id="9" name="Evidence Link"/>
    <tableColumn id="10" name="Owner"/>
    <tableColumn id="11" name="Target round"/>
    <tableColumn id="12" name="Acceptance check"/>
    <tableColumn id="13" name="Reviewer decision"/>
    <tableColumn id="14" name="Notes"/>
  </tableColumns>
  <tableStyleInfo name="TableStyleMedium2" showFirstColumn="0" showLastColumn="0" showRowStripes="1" showColumnStripes="0"/>
</table>
</file>

<file path=xl/qa19/worksheets/_rels/sheet2.xml.rels><?xml version='1.0' encoding='utf-8'?>
<Relationships xmlns="http://schemas.openxmlformats.org/package/2006/relationships"><Relationship Type="http://schemas.openxmlformats.org/officeDocument/2006/relationships/table" Target="/xl/qa19/tables/table1.xml" Id="Rcb7292bbcc994d46" /></Relationships>
</file>

<file path=xl/qa19/worksheets/_rels/sheet3.xml.rels><?xml version='1.0' encoding='utf-8'?>
<Relationships xmlns="http://schemas.openxmlformats.org/package/2006/relationships"><Relationship Type="http://schemas.openxmlformats.org/officeDocument/2006/relationships/table" Target="/xl/qa19/tables/table2.xml" Id="Rb152c881673f491f" /></Relationships>
</file>

<file path=xl/qa19/worksheets/sheet1.xml><?xml version="1.0" encoding="utf-8"?>
<worksheet xmlns="http://schemas.openxmlformats.org/spreadsheetml/2006/main">
  <sheetPr>
    <tabColor rgb="FF17243D"/>
  </sheetPr>
  <sheetViews>
    <sheetView showGridLines="0" workbookViewId="0"/>
  </sheetViews>
  <sheetFormatPr defaultRowHeight="15"/>
  <cols>
    <col min="1" max="1" width="3" hidden="0" customWidth="1"/>
    <col min="2" max="2" width="36" hidden="0" customWidth="1"/>
    <col min="3" max="3" width="24" hidden="0" customWidth="1"/>
    <col min="4" max="4" width="18" hidden="0" customWidth="1"/>
    <col min="5" max="5" width="3" hidden="0" customWidth="1"/>
    <col min="6" max="6" width="42" hidden="0" customWidth="1"/>
    <col min="7" max="7" width="24" hidden="0" customWidth="1"/>
    <col min="8" max="8" width="20" hidden="0" customWidth="1"/>
    <col min="9" max="9" width="3" hidden="0" customWidth="1"/>
    <col min="10" max="10" width="3" hidden="0" customWidth="1"/>
  </cols>
  <sheetData>
    <row r="1">
      <c r="A1" s="30"/>
      <c r="B1" s="30"/>
      <c r="C1" s="30"/>
      <c r="D1" s="30"/>
      <c r="E1" s="30"/>
      <c r="F1" s="30"/>
      <c r="G1" s="30"/>
      <c r="H1" s="30"/>
      <c r="I1" s="30"/>
      <c r="J1" s="30"/>
    </row>
    <row r="2" ht="28" customHeight="1">
      <c r="A2" s="30"/>
      <c r="B2" s="31" t="str">
        <v>GO Website Manual QA 1.9</v>
      </c>
      <c r="C2" s="31"/>
      <c r="D2" s="31"/>
      <c r="E2" s="31"/>
      <c r="F2" s="31"/>
      <c r="G2" s="31"/>
      <c r="H2" s="31"/>
      <c r="I2" s="30"/>
      <c r="J2" s="30"/>
    </row>
    <row r="3">
      <c r="A3" s="30"/>
      <c r="B3" s="32" t="str">
        <v>Prepared 28 October 2026. New results have not been executed.</v>
      </c>
      <c r="C3" s="32"/>
      <c r="D3" s="32"/>
      <c r="E3" s="32"/>
      <c r="F3" s="32"/>
      <c r="G3" s="32"/>
      <c r="H3" s="32"/>
      <c r="I3" s="30"/>
      <c r="J3" s="30"/>
    </row>
    <row r="4">
      <c r="A4" s="30"/>
      <c r="B4" s="30"/>
      <c r="C4" s="30"/>
      <c r="D4" s="30"/>
      <c r="E4" s="30"/>
      <c r="F4" s="30"/>
      <c r="G4" s="30"/>
      <c r="H4" s="30"/>
      <c r="I4" s="30"/>
      <c r="J4" s="30"/>
    </row>
    <row r="5" ht="24" customHeight="1">
      <c r="A5" s="30"/>
      <c r="B5" s="34" t="str">
        <v>Current run</v>
      </c>
      <c r="C5" s="34"/>
      <c r="D5" s="34"/>
      <c r="E5" s="30"/>
      <c r="F5" s="34" t="str">
        <v>Run details to complete</v>
      </c>
      <c r="G5" s="34"/>
      <c r="H5" s="34"/>
      <c r="I5" s="30"/>
      <c r="J5" s="30"/>
    </row>
    <row r="6">
      <c r="A6" s="30"/>
      <c r="B6" s="30" t="str">
        <v>Total cases</v>
      </c>
      <c r="C6" s="35" t="n">
        <f>COUNTA('V 1.9 TEST'!$B$2:$B$1000)</f>
        <v>674</v>
      </c>
      <c r="D6" s="30"/>
      <c r="E6" s="30"/>
      <c r="F6" s="30" t="str">
        <v>Test environment</v>
      </c>
      <c r="G6" s="37" t="str">
        <v>To complete</v>
      </c>
      <c r="H6" s="37"/>
      <c r="I6" s="30"/>
      <c r="J6" s="30"/>
    </row>
    <row r="7">
      <c r="A7" s="30"/>
      <c r="B7" s="30" t="str">
        <v>Pass</v>
      </c>
      <c r="C7" s="35" t="n">
        <f>COUNTIFS('V 1.9 TEST'!$A$2:$A$1000,"Pass",'V 1.9 TEST'!$B$2:$B$1000,"&lt;&gt;")</f>
        <v>0</v>
      </c>
      <c r="D7" s="30"/>
      <c r="E7" s="30"/>
      <c r="F7" s="30" t="str">
        <v>Base URL</v>
      </c>
      <c r="G7" s="37"/>
      <c r="H7" s="37"/>
      <c r="I7" s="30"/>
      <c r="J7" s="30"/>
    </row>
    <row r="8">
      <c r="A8" s="30"/>
      <c r="B8" s="30" t="str">
        <v>Fail</v>
      </c>
      <c r="C8" s="35" t="n">
        <f>COUNTIFS('V 1.9 TEST'!$A$2:$A$1000,"Fail",'V 1.9 TEST'!$B$2:$B$1000,"&lt;&gt;")</f>
        <v>0</v>
      </c>
      <c r="D8" s="30"/>
      <c r="E8" s="30"/>
      <c r="F8" s="30" t="str">
        <v>Deployed build / commit</v>
      </c>
      <c r="G8" s="37"/>
      <c r="H8" s="37"/>
      <c r="I8" s="30"/>
      <c r="J8" s="30"/>
    </row>
    <row r="9">
      <c r="A9" s="30"/>
      <c r="B9" s="30" t="str">
        <v>Blocked</v>
      </c>
      <c r="C9" s="35" t="n">
        <f>COUNTIFS('V 1.9 TEST'!$A$2:$A$1000,"Blocked",'V 1.9 TEST'!$B$2:$B$1000,"&lt;&gt;")</f>
        <v>0</v>
      </c>
      <c r="D9" s="30"/>
      <c r="E9" s="30"/>
      <c r="F9" s="30" t="str">
        <v>Tester / lead</v>
      </c>
      <c r="G9" s="37"/>
      <c r="H9" s="37"/>
      <c r="I9" s="30"/>
      <c r="J9" s="30"/>
    </row>
    <row r="10">
      <c r="A10" s="30"/>
      <c r="B10" s="30" t="str">
        <v>Retest</v>
      </c>
      <c r="C10" s="35" t="n">
        <f>COUNTIFS('V 1.9 TEST'!$A$2:$A$1000,"Retest",'V 1.9 TEST'!$B$2:$B$1000,"&lt;&gt;")</f>
        <v>0</v>
      </c>
      <c r="D10" s="30"/>
      <c r="E10" s="30"/>
      <c r="F10" s="30" t="str">
        <v>Run started</v>
      </c>
      <c r="G10" s="38"/>
      <c r="H10" s="37"/>
      <c r="I10" s="30"/>
      <c r="J10" s="30"/>
    </row>
    <row r="11">
      <c r="A11" s="30"/>
      <c r="B11" s="30" t="str">
        <v>Not Run</v>
      </c>
      <c r="C11" s="35" t="n">
        <f>COUNTIFS('V 1.9 TEST'!$A$2:$A$1000,"Not Run",'V 1.9 TEST'!$B$2:$B$1000,"&lt;&gt;")</f>
        <v>674</v>
      </c>
      <c r="D11" s="30"/>
      <c r="E11" s="30"/>
      <c r="F11" s="30" t="str">
        <v>Run finished</v>
      </c>
      <c r="G11" s="38"/>
      <c r="H11" s="37"/>
      <c r="I11" s="30"/>
      <c r="J11" s="30"/>
    </row>
    <row r="12">
      <c r="A12" s="30"/>
      <c r="B12" s="30" t="str">
        <v>N/A</v>
      </c>
      <c r="C12" s="35" t="n">
        <f>COUNTIFS('V 1.9 TEST'!$A$2:$A$1000,"N/A",'V 1.9 TEST'!$B$2:$B$1000,"&lt;&gt;")</f>
        <v>0</v>
      </c>
      <c r="D12" s="30"/>
      <c r="E12" s="30"/>
      <c r="F12" s="30" t="str">
        <v>Primary browser / version</v>
      </c>
      <c r="G12" s="37"/>
      <c r="H12" s="37"/>
      <c r="I12" s="30"/>
      <c r="J12" s="30"/>
    </row>
    <row r="13">
      <c r="A13" s="30"/>
      <c r="B13" s="30" t="str">
        <v>Executed (Pass + Fail)</v>
      </c>
      <c r="C13" s="35" t="n">
        <f>SUM(C7:C8)</f>
        <v>0</v>
      </c>
      <c r="D13" s="30"/>
      <c r="E13" s="30"/>
      <c r="F13" s="30" t="str">
        <v>Secondary browser / device</v>
      </c>
      <c r="G13" s="37"/>
      <c r="H13" s="37"/>
      <c r="I13" s="30"/>
      <c r="J13" s="30"/>
    </row>
    <row r="14">
      <c r="A14" s="30"/>
      <c r="B14" s="30" t="str">
        <v>Execution coverage</v>
      </c>
      <c r="C14" s="36" t="n">
        <f>IF(C6-C12=0,0,C13/(C6-C12))</f>
        <v>0</v>
      </c>
      <c r="D14" s="30"/>
      <c r="E14" s="30"/>
      <c r="F14" s="30" t="str">
        <v>Functional review decision</v>
      </c>
      <c r="G14" s="37" t="str">
        <v>Not reviewed</v>
      </c>
      <c r="H14" s="37"/>
      <c r="I14" s="30"/>
      <c r="J14" s="30"/>
    </row>
    <row r="15">
      <c r="A15" s="30"/>
      <c r="B15" s="30" t="str">
        <v>Pass rate of executed</v>
      </c>
      <c r="C15" s="36" t="str">
        <f>IF(C13=0,"n.a.",C7/C13)</f>
        <v>n.a.</v>
      </c>
      <c r="D15" s="30"/>
      <c r="E15" s="30"/>
      <c r="F15" s="30"/>
      <c r="G15" s="30"/>
      <c r="H15" s="30"/>
      <c r="I15" s="30"/>
      <c r="J15" s="30"/>
    </row>
    <row r="16">
      <c r="A16" s="30"/>
      <c r="B16" s="30" t="str">
        <v>Unrecognized / blank status</v>
      </c>
      <c r="C16" s="35" t="n">
        <f>C6-SUM(C7:C12)</f>
        <v>0</v>
      </c>
      <c r="D16" s="30"/>
      <c r="E16" s="30"/>
      <c r="F16" s="30"/>
      <c r="G16" s="30"/>
      <c r="H16" s="30"/>
      <c r="I16" s="30"/>
      <c r="J16" s="30"/>
    </row>
    <row r="17">
      <c r="A17" s="30"/>
      <c r="B17" s="30"/>
      <c r="C17" s="30"/>
      <c r="D17" s="30"/>
      <c r="E17" s="30"/>
      <c r="F17" s="30"/>
      <c r="G17" s="30"/>
      <c r="H17" s="30"/>
      <c r="I17" s="30"/>
      <c r="J17" s="30"/>
    </row>
    <row r="18" ht="24" customHeight="1">
      <c r="A18" s="30"/>
      <c r="B18" s="34" t="str">
        <v>Functional completion</v>
      </c>
      <c r="C18" s="34"/>
      <c r="D18" s="34"/>
      <c r="E18" s="30"/>
      <c r="F18" s="34" t="str">
        <v>Run order</v>
      </c>
      <c r="G18" s="34"/>
      <c r="H18" s="34"/>
      <c r="I18" s="30"/>
      <c r="J18" s="30"/>
    </row>
    <row r="19" ht="53" customHeight="1">
      <c r="A19" s="30"/>
      <c r="B19" s="30" t="str">
        <v>Applicable functional cases</v>
      </c>
      <c r="C19" s="30" t="n">
        <f>COUNTIFS('V 1.9 TEST'!$B$2:$B$1000,"&lt;&gt;",'V 1.9 TEST'!$J$2:$J$1000,"&lt;&gt;Visual",'V 1.9 TEST'!$A$2:$A$1000,"&lt;&gt;N/A")</f>
        <v>629</v>
      </c>
      <c r="D19" s="30"/>
      <c r="E19" s="30"/>
      <c r="F19" s="30" t="str">
        <v>1. Prepare</v>
      </c>
      <c r="G19" s="39" t="str">
        <v>Enter URL/build, accounts and effective flags. Do not copy passwords or tokens into this workbook.</v>
      </c>
      <c r="H19" s="39"/>
      <c r="I19" s="30"/>
      <c r="J19" s="30"/>
    </row>
    <row r="20" ht="53" customHeight="1">
      <c r="A20" s="30"/>
      <c r="B20" s="30" t="str">
        <v>Functional Pass</v>
      </c>
      <c r="C20" s="30" t="n">
        <f>COUNTIFS('V 1.9 TEST'!$B$2:$B$1000,"&lt;&gt;",'V 1.9 TEST'!$J$2:$J$1000,"&lt;&gt;Visual",'V 1.9 TEST'!$A$2:$A$1000,"Pass")</f>
        <v>0</v>
      </c>
      <c r="D20" s="30"/>
      <c r="E20" s="30"/>
      <c r="F20" s="30" t="str">
        <v>2. Smoke</v>
      </c>
      <c r="G20" s="39" t="str">
        <v>Filter Run Set = Smoke. Run the critical end-to-end journeys first.</v>
      </c>
      <c r="H20" s="39"/>
      <c r="I20" s="30"/>
      <c r="J20" s="30"/>
    </row>
    <row r="21" ht="53" customHeight="1">
      <c r="A21" s="30"/>
      <c r="B21" s="30" t="str">
        <v>Functional checks remaining</v>
      </c>
      <c r="C21" s="30" t="n">
        <f>C19-C20</f>
        <v>629</v>
      </c>
      <c r="D21" s="30"/>
      <c r="E21" s="30"/>
      <c r="F21" s="30" t="str">
        <v>3. Regression</v>
      </c>
      <c r="G21" s="39" t="str">
        <v>Run current in-scope regression cases by suite and persona. Then run Extended integration checks.</v>
      </c>
      <c r="H21" s="39"/>
      <c r="I21" s="30"/>
      <c r="J21" s="30"/>
    </row>
    <row r="22" ht="53" customHeight="1">
      <c r="A22" s="30"/>
      <c r="B22" s="30" t="str">
        <v>P0 Fail / Blocked / Retest</v>
      </c>
      <c r="C22" s="30" t="n">
        <f>COUNTIFS('V 1.9 TEST'!$G$2:$G$1000,"P0",'V 1.9 TEST'!$A$2:$A$1000,"Fail")+COUNTIFS('V 1.9 TEST'!$G$2:$G$1000,"P0",'V 1.9 TEST'!$A$2:$A$1000,"Blocked")+COUNTIFS('V 1.9 TEST'!$G$2:$G$1000,"P0",'V 1.9 TEST'!$A$2:$A$1000,"Retest")</f>
        <v>0</v>
      </c>
      <c r="D22" s="30"/>
      <c r="E22" s="30"/>
      <c r="F22" s="30" t="str">
        <v>4. Record</v>
      </c>
      <c r="G22" s="39" t="str">
        <v>Use Status, Actual Result, Notes, Evidence Link, date, tester, browser/viewport and Issue Link.</v>
      </c>
      <c r="H22" s="39"/>
      <c r="I22" s="30"/>
      <c r="J22" s="30"/>
    </row>
    <row r="23" ht="53" customHeight="1">
      <c r="A23" s="30"/>
      <c r="B23" s="30" t="str">
        <v>Run state</v>
      </c>
      <c r="C23" s="39" t="str">
        <f>IF(OR(G7="",G8=""),"Record URL and build",IF(C16&lt;&gt;0,"Check status entries",IF(C21&gt;0,"Testing incomplete",IF(G14&lt;&gt;"Approved","Review required","Functional review approved"))))</f>
        <v>Record URL and build</v>
      </c>
      <c r="D23" s="39"/>
      <c r="E23" s="30"/>
      <c r="F23" s="30" t="str">
        <v>5. Retest</v>
      </c>
      <c r="G23" s="39" t="str">
        <v>Filter Previous Status for Retest, Fail or Blocked. Historical status is context and never a current pass.</v>
      </c>
      <c r="H23" s="39"/>
      <c r="I23" s="30"/>
      <c r="J23" s="30"/>
    </row>
    <row r="24" ht="53" customHeight="1">
      <c r="A24" s="30"/>
      <c r="B24" s="30"/>
      <c r="C24" s="39"/>
      <c r="D24" s="39"/>
      <c r="E24" s="30"/>
      <c r="F24" s="30" t="str">
        <v>6. Visual</v>
      </c>
      <c r="G24" s="39" t="str">
        <v>Capture current appearance, accessibility and motion after functionality. Log later cosmetic work in UX Backlog.</v>
      </c>
      <c r="H24" s="39"/>
      <c r="I24" s="30"/>
      <c r="J24" s="30"/>
    </row>
    <row r="25">
      <c r="A25" s="30"/>
      <c r="B25" s="30"/>
      <c r="C25" s="30"/>
      <c r="D25" s="30"/>
      <c r="E25" s="30"/>
      <c r="F25" s="30"/>
      <c r="G25" s="30"/>
      <c r="H25" s="30"/>
      <c r="I25" s="30"/>
      <c r="J25" s="30"/>
    </row>
    <row r="26">
      <c r="A26" s="30"/>
      <c r="B26" s="30"/>
      <c r="C26" s="30"/>
      <c r="D26" s="30"/>
      <c r="E26" s="30"/>
      <c r="F26" s="30"/>
      <c r="G26" s="30"/>
      <c r="H26" s="30"/>
      <c r="I26" s="30"/>
      <c r="J26" s="30"/>
    </row>
    <row r="27" ht="24" customHeight="1">
      <c r="A27" s="30"/>
      <c r="B27" s="34" t="str">
        <v>Coverage by suite</v>
      </c>
      <c r="C27" s="34"/>
      <c r="D27" s="34"/>
      <c r="E27" s="34"/>
      <c r="F27" s="34"/>
      <c r="G27" s="34"/>
      <c r="H27" s="34"/>
      <c r="I27" s="30"/>
      <c r="J27" s="30"/>
    </row>
    <row r="28" ht="26" customHeight="1">
      <c r="A28" s="30"/>
      <c r="B28" s="41" t="str">
        <v>Suite</v>
      </c>
      <c r="C28" s="41" t="str">
        <v>Total</v>
      </c>
      <c r="D28" s="41" t="str">
        <v>Pass</v>
      </c>
      <c r="E28" s="30"/>
      <c r="F28" s="41" t="str">
        <v>Fail</v>
      </c>
      <c r="G28" s="41" t="str">
        <v>Blocked</v>
      </c>
      <c r="H28" s="41" t="str">
        <v>Remaining</v>
      </c>
      <c r="I28" s="30"/>
      <c r="J28" s="30"/>
    </row>
    <row r="29" ht="25" customHeight="1">
      <c r="A29" s="30"/>
      <c r="B29" s="39" t="str">
        <v>Public Website</v>
      </c>
      <c r="C29" s="30" t="n">
        <f>COUNTIFS('V 1.9 TEST'!$C$2:$C$1000,B29)</f>
        <v>10</v>
      </c>
      <c r="D29" s="30" t="n">
        <f>COUNTIFS('V 1.9 TEST'!$C$2:$C$1000,B29,'V 1.9 TEST'!$A$2:$A$1000,"Pass")</f>
        <v>0</v>
      </c>
      <c r="E29" s="30"/>
      <c r="F29" s="30" t="n">
        <f>COUNTIFS('V 1.9 TEST'!$C$2:$C$1000,B29,'V 1.9 TEST'!$A$2:$A$1000,"Fail")</f>
        <v>0</v>
      </c>
      <c r="G29" s="30" t="n">
        <f>COUNTIFS('V 1.9 TEST'!$C$2:$C$1000,B29,'V 1.9 TEST'!$A$2:$A$1000,"Blocked")</f>
        <v>0</v>
      </c>
      <c r="H29" s="30" t="n">
        <f>C29-D29-COUNTIFS('V 1.9 TEST'!$C$2:$C$1000,B29,'V 1.9 TEST'!$A$2:$A$1000,"N/A")</f>
        <v>10</v>
      </c>
      <c r="I29" s="30"/>
      <c r="J29" s="30"/>
    </row>
    <row r="30" ht="25" customHeight="1">
      <c r="A30" s="30"/>
      <c r="B30" s="43" t="str">
        <v>Auth</v>
      </c>
      <c r="C30" s="42" t="n">
        <f>COUNTIFS('V 1.9 TEST'!$C$2:$C$1000,B30)</f>
        <v>7</v>
      </c>
      <c r="D30" s="42" t="n">
        <f>COUNTIFS('V 1.9 TEST'!$C$2:$C$1000,B30,'V 1.9 TEST'!$A$2:$A$1000,"Pass")</f>
        <v>0</v>
      </c>
      <c r="E30" s="30"/>
      <c r="F30" s="42" t="n">
        <f>COUNTIFS('V 1.9 TEST'!$C$2:$C$1000,B30,'V 1.9 TEST'!$A$2:$A$1000,"Fail")</f>
        <v>0</v>
      </c>
      <c r="G30" s="42" t="n">
        <f>COUNTIFS('V 1.9 TEST'!$C$2:$C$1000,B30,'V 1.9 TEST'!$A$2:$A$1000,"Blocked")</f>
        <v>0</v>
      </c>
      <c r="H30" s="42" t="n">
        <f>C30-D30-COUNTIFS('V 1.9 TEST'!$C$2:$C$1000,B30,'V 1.9 TEST'!$A$2:$A$1000,"N/A")</f>
        <v>7</v>
      </c>
      <c r="I30" s="30"/>
      <c r="J30" s="30"/>
    </row>
    <row r="31" ht="25" customHeight="1">
      <c r="A31" s="30"/>
      <c r="B31" s="39" t="str">
        <v>Onboarding</v>
      </c>
      <c r="C31" s="30" t="n">
        <f>COUNTIFS('V 1.9 TEST'!$C$2:$C$1000,B31)</f>
        <v>5</v>
      </c>
      <c r="D31" s="30" t="n">
        <f>COUNTIFS('V 1.9 TEST'!$C$2:$C$1000,B31,'V 1.9 TEST'!$A$2:$A$1000,"Pass")</f>
        <v>0</v>
      </c>
      <c r="E31" s="30"/>
      <c r="F31" s="30" t="n">
        <f>COUNTIFS('V 1.9 TEST'!$C$2:$C$1000,B31,'V 1.9 TEST'!$A$2:$A$1000,"Fail")</f>
        <v>0</v>
      </c>
      <c r="G31" s="30" t="n">
        <f>COUNTIFS('V 1.9 TEST'!$C$2:$C$1000,B31,'V 1.9 TEST'!$A$2:$A$1000,"Blocked")</f>
        <v>0</v>
      </c>
      <c r="H31" s="30" t="n">
        <f>C31-D31-COUNTIFS('V 1.9 TEST'!$C$2:$C$1000,B31,'V 1.9 TEST'!$A$2:$A$1000,"N/A")</f>
        <v>5</v>
      </c>
      <c r="I31" s="30"/>
      <c r="J31" s="30"/>
    </row>
    <row r="32" ht="25" customHeight="1">
      <c r="A32" s="30"/>
      <c r="B32" s="43" t="str">
        <v>Profile</v>
      </c>
      <c r="C32" s="42" t="n">
        <f>COUNTIFS('V 1.9 TEST'!$C$2:$C$1000,B32)</f>
        <v>4</v>
      </c>
      <c r="D32" s="42" t="n">
        <f>COUNTIFS('V 1.9 TEST'!$C$2:$C$1000,B32,'V 1.9 TEST'!$A$2:$A$1000,"Pass")</f>
        <v>0</v>
      </c>
      <c r="E32" s="30"/>
      <c r="F32" s="42" t="n">
        <f>COUNTIFS('V 1.9 TEST'!$C$2:$C$1000,B32,'V 1.9 TEST'!$A$2:$A$1000,"Fail")</f>
        <v>0</v>
      </c>
      <c r="G32" s="42" t="n">
        <f>COUNTIFS('V 1.9 TEST'!$C$2:$C$1000,B32,'V 1.9 TEST'!$A$2:$A$1000,"Blocked")</f>
        <v>0</v>
      </c>
      <c r="H32" s="42" t="n">
        <f>C32-D32-COUNTIFS('V 1.9 TEST'!$C$2:$C$1000,B32,'V 1.9 TEST'!$A$2:$A$1000,"N/A")</f>
        <v>4</v>
      </c>
      <c r="I32" s="30"/>
      <c r="J32" s="30"/>
    </row>
    <row r="33" ht="25" customHeight="1">
      <c r="A33" s="30"/>
      <c r="B33" s="39" t="str">
        <v>CV</v>
      </c>
      <c r="C33" s="30" t="n">
        <f>COUNTIFS('V 1.9 TEST'!$C$2:$C$1000,B33)</f>
        <v>6</v>
      </c>
      <c r="D33" s="30" t="n">
        <f>COUNTIFS('V 1.9 TEST'!$C$2:$C$1000,B33,'V 1.9 TEST'!$A$2:$A$1000,"Pass")</f>
        <v>0</v>
      </c>
      <c r="E33" s="30"/>
      <c r="F33" s="30" t="n">
        <f>COUNTIFS('V 1.9 TEST'!$C$2:$C$1000,B33,'V 1.9 TEST'!$A$2:$A$1000,"Fail")</f>
        <v>0</v>
      </c>
      <c r="G33" s="30" t="n">
        <f>COUNTIFS('V 1.9 TEST'!$C$2:$C$1000,B33,'V 1.9 TEST'!$A$2:$A$1000,"Blocked")</f>
        <v>0</v>
      </c>
      <c r="H33" s="30" t="n">
        <f>C33-D33-COUNTIFS('V 1.9 TEST'!$C$2:$C$1000,B33,'V 1.9 TEST'!$A$2:$A$1000,"N/A")</f>
        <v>6</v>
      </c>
      <c r="I33" s="30"/>
      <c r="J33" s="30"/>
    </row>
    <row r="34" ht="25" customHeight="1">
      <c r="A34" s="30"/>
      <c r="B34" s="43" t="str">
        <v>Projects</v>
      </c>
      <c r="C34" s="42" t="n">
        <f>COUNTIFS('V 1.9 TEST'!$C$2:$C$1000,B34)</f>
        <v>17</v>
      </c>
      <c r="D34" s="42" t="n">
        <f>COUNTIFS('V 1.9 TEST'!$C$2:$C$1000,B34,'V 1.9 TEST'!$A$2:$A$1000,"Pass")</f>
        <v>0</v>
      </c>
      <c r="E34" s="30"/>
      <c r="F34" s="42" t="n">
        <f>COUNTIFS('V 1.9 TEST'!$C$2:$C$1000,B34,'V 1.9 TEST'!$A$2:$A$1000,"Fail")</f>
        <v>0</v>
      </c>
      <c r="G34" s="42" t="n">
        <f>COUNTIFS('V 1.9 TEST'!$C$2:$C$1000,B34,'V 1.9 TEST'!$A$2:$A$1000,"Blocked")</f>
        <v>0</v>
      </c>
      <c r="H34" s="42" t="n">
        <f>C34-D34-COUNTIFS('V 1.9 TEST'!$C$2:$C$1000,B34,'V 1.9 TEST'!$A$2:$A$1000,"N/A")</f>
        <v>17</v>
      </c>
      <c r="I34" s="30"/>
      <c r="J34" s="30"/>
    </row>
    <row r="35" ht="25" customHeight="1">
      <c r="A35" s="30"/>
      <c r="B35" s="39" t="str">
        <v>Applications</v>
      </c>
      <c r="C35" s="30" t="n">
        <f>COUNTIFS('V 1.9 TEST'!$C$2:$C$1000,B35)</f>
        <v>11</v>
      </c>
      <c r="D35" s="30" t="n">
        <f>COUNTIFS('V 1.9 TEST'!$C$2:$C$1000,B35,'V 1.9 TEST'!$A$2:$A$1000,"Pass")</f>
        <v>0</v>
      </c>
      <c r="E35" s="30"/>
      <c r="F35" s="30" t="n">
        <f>COUNTIFS('V 1.9 TEST'!$C$2:$C$1000,B35,'V 1.9 TEST'!$A$2:$A$1000,"Fail")</f>
        <v>0</v>
      </c>
      <c r="G35" s="30" t="n">
        <f>COUNTIFS('V 1.9 TEST'!$C$2:$C$1000,B35,'V 1.9 TEST'!$A$2:$A$1000,"Blocked")</f>
        <v>0</v>
      </c>
      <c r="H35" s="30" t="n">
        <f>C35-D35-COUNTIFS('V 1.9 TEST'!$C$2:$C$1000,B35,'V 1.9 TEST'!$A$2:$A$1000,"N/A")</f>
        <v>11</v>
      </c>
      <c r="I35" s="30"/>
      <c r="J35" s="30"/>
    </row>
    <row r="36" ht="25" customHeight="1">
      <c r="A36" s="30"/>
      <c r="B36" s="43" t="str">
        <v>Admin</v>
      </c>
      <c r="C36" s="42" t="n">
        <f>COUNTIFS('V 1.9 TEST'!$C$2:$C$1000,B36)</f>
        <v>6</v>
      </c>
      <c r="D36" s="42" t="n">
        <f>COUNTIFS('V 1.9 TEST'!$C$2:$C$1000,B36,'V 1.9 TEST'!$A$2:$A$1000,"Pass")</f>
        <v>0</v>
      </c>
      <c r="E36" s="30"/>
      <c r="F36" s="42" t="n">
        <f>COUNTIFS('V 1.9 TEST'!$C$2:$C$1000,B36,'V 1.9 TEST'!$A$2:$A$1000,"Fail")</f>
        <v>0</v>
      </c>
      <c r="G36" s="42" t="n">
        <f>COUNTIFS('V 1.9 TEST'!$C$2:$C$1000,B36,'V 1.9 TEST'!$A$2:$A$1000,"Blocked")</f>
        <v>0</v>
      </c>
      <c r="H36" s="42" t="n">
        <f>C36-D36-COUNTIFS('V 1.9 TEST'!$C$2:$C$1000,B36,'V 1.9 TEST'!$A$2:$A$1000,"N/A")</f>
        <v>6</v>
      </c>
      <c r="I36" s="30"/>
      <c r="J36" s="30"/>
    </row>
    <row r="37" ht="25" customHeight="1">
      <c r="A37" s="30"/>
      <c r="B37" s="39" t="str">
        <v>Billing</v>
      </c>
      <c r="C37" s="30" t="n">
        <f>COUNTIFS('V 1.9 TEST'!$C$2:$C$1000,B37)</f>
        <v>17</v>
      </c>
      <c r="D37" s="30" t="n">
        <f>COUNTIFS('V 1.9 TEST'!$C$2:$C$1000,B37,'V 1.9 TEST'!$A$2:$A$1000,"Pass")</f>
        <v>0</v>
      </c>
      <c r="E37" s="30"/>
      <c r="F37" s="30" t="n">
        <f>COUNTIFS('V 1.9 TEST'!$C$2:$C$1000,B37,'V 1.9 TEST'!$A$2:$A$1000,"Fail")</f>
        <v>0</v>
      </c>
      <c r="G37" s="30" t="n">
        <f>COUNTIFS('V 1.9 TEST'!$C$2:$C$1000,B37,'V 1.9 TEST'!$A$2:$A$1000,"Blocked")</f>
        <v>0</v>
      </c>
      <c r="H37" s="30" t="n">
        <f>C37-D37-COUNTIFS('V 1.9 TEST'!$C$2:$C$1000,B37,'V 1.9 TEST'!$A$2:$A$1000,"N/A")</f>
        <v>17</v>
      </c>
      <c r="I37" s="30"/>
      <c r="J37" s="30"/>
    </row>
    <row r="38" ht="25" customHeight="1">
      <c r="A38" s="30"/>
      <c r="B38" s="43" t="str">
        <v>Firestore Rules</v>
      </c>
      <c r="C38" s="42" t="n">
        <f>COUNTIFS('V 1.9 TEST'!$C$2:$C$1000,B38)</f>
        <v>7</v>
      </c>
      <c r="D38" s="42" t="n">
        <f>COUNTIFS('V 1.9 TEST'!$C$2:$C$1000,B38,'V 1.9 TEST'!$A$2:$A$1000,"Pass")</f>
        <v>0</v>
      </c>
      <c r="E38" s="30"/>
      <c r="F38" s="42" t="n">
        <f>COUNTIFS('V 1.9 TEST'!$C$2:$C$1000,B38,'V 1.9 TEST'!$A$2:$A$1000,"Fail")</f>
        <v>0</v>
      </c>
      <c r="G38" s="42" t="n">
        <f>COUNTIFS('V 1.9 TEST'!$C$2:$C$1000,B38,'V 1.9 TEST'!$A$2:$A$1000,"Blocked")</f>
        <v>0</v>
      </c>
      <c r="H38" s="42" t="n">
        <f>C38-D38-COUNTIFS('V 1.9 TEST'!$C$2:$C$1000,B38,'V 1.9 TEST'!$A$2:$A$1000,"N/A")</f>
        <v>7</v>
      </c>
      <c r="I38" s="30"/>
      <c r="J38" s="30"/>
    </row>
    <row r="39" ht="25" customHeight="1">
      <c r="A39" s="30"/>
      <c r="B39" s="39" t="str">
        <v>UX</v>
      </c>
      <c r="C39" s="30" t="n">
        <f>COUNTIFS('V 1.9 TEST'!$C$2:$C$1000,B39)</f>
        <v>8</v>
      </c>
      <c r="D39" s="30" t="n">
        <f>COUNTIFS('V 1.9 TEST'!$C$2:$C$1000,B39,'V 1.9 TEST'!$A$2:$A$1000,"Pass")</f>
        <v>0</v>
      </c>
      <c r="E39" s="30"/>
      <c r="F39" s="30" t="n">
        <f>COUNTIFS('V 1.9 TEST'!$C$2:$C$1000,B39,'V 1.9 TEST'!$A$2:$A$1000,"Fail")</f>
        <v>0</v>
      </c>
      <c r="G39" s="30" t="n">
        <f>COUNTIFS('V 1.9 TEST'!$C$2:$C$1000,B39,'V 1.9 TEST'!$A$2:$A$1000,"Blocked")</f>
        <v>0</v>
      </c>
      <c r="H39" s="30" t="n">
        <f>C39-D39-COUNTIFS('V 1.9 TEST'!$C$2:$C$1000,B39,'V 1.9 TEST'!$A$2:$A$1000,"N/A")</f>
        <v>8</v>
      </c>
      <c r="I39" s="30"/>
      <c r="J39" s="30"/>
    </row>
    <row r="40" ht="25" customHeight="1">
      <c r="A40" s="30"/>
      <c r="B40" s="43" t="str">
        <v>Release</v>
      </c>
      <c r="C40" s="42" t="n">
        <f>COUNTIFS('V 1.9 TEST'!$C$2:$C$1000,B40)</f>
        <v>2</v>
      </c>
      <c r="D40" s="42" t="n">
        <f>COUNTIFS('V 1.9 TEST'!$C$2:$C$1000,B40,'V 1.9 TEST'!$A$2:$A$1000,"Pass")</f>
        <v>0</v>
      </c>
      <c r="E40" s="30"/>
      <c r="F40" s="42" t="n">
        <f>COUNTIFS('V 1.9 TEST'!$C$2:$C$1000,B40,'V 1.9 TEST'!$A$2:$A$1000,"Fail")</f>
        <v>0</v>
      </c>
      <c r="G40" s="42" t="n">
        <f>COUNTIFS('V 1.9 TEST'!$C$2:$C$1000,B40,'V 1.9 TEST'!$A$2:$A$1000,"Blocked")</f>
        <v>0</v>
      </c>
      <c r="H40" s="42" t="n">
        <f>C40-D40-COUNTIFS('V 1.9 TEST'!$C$2:$C$1000,B40,'V 1.9 TEST'!$A$2:$A$1000,"N/A")</f>
        <v>2</v>
      </c>
      <c r="I40" s="30"/>
      <c r="J40" s="30"/>
    </row>
    <row r="41" ht="25" customHeight="1">
      <c r="A41" s="30"/>
      <c r="B41" s="39" t="str">
        <v>Product Navigation</v>
      </c>
      <c r="C41" s="30" t="n">
        <f>COUNTIFS('V 1.9 TEST'!$C$2:$C$1000,B41)</f>
        <v>18</v>
      </c>
      <c r="D41" s="30" t="n">
        <f>COUNTIFS('V 1.9 TEST'!$C$2:$C$1000,B41,'V 1.9 TEST'!$A$2:$A$1000,"Pass")</f>
        <v>0</v>
      </c>
      <c r="E41" s="30"/>
      <c r="F41" s="30" t="n">
        <f>COUNTIFS('V 1.9 TEST'!$C$2:$C$1000,B41,'V 1.9 TEST'!$A$2:$A$1000,"Fail")</f>
        <v>0</v>
      </c>
      <c r="G41" s="30" t="n">
        <f>COUNTIFS('V 1.9 TEST'!$C$2:$C$1000,B41,'V 1.9 TEST'!$A$2:$A$1000,"Blocked")</f>
        <v>0</v>
      </c>
      <c r="H41" s="30" t="n">
        <f>C41-D41-COUNTIFS('V 1.9 TEST'!$C$2:$C$1000,B41,'V 1.9 TEST'!$A$2:$A$1000,"N/A")</f>
        <v>18</v>
      </c>
      <c r="I41" s="30"/>
      <c r="J41" s="30"/>
    </row>
    <row r="42" ht="25" customHeight="1">
      <c r="A42" s="30"/>
      <c r="B42" s="43" t="str">
        <v>Membership</v>
      </c>
      <c r="C42" s="42" t="n">
        <f>COUNTIFS('V 1.9 TEST'!$C$2:$C$1000,B42)</f>
        <v>21</v>
      </c>
      <c r="D42" s="42" t="n">
        <f>COUNTIFS('V 1.9 TEST'!$C$2:$C$1000,B42,'V 1.9 TEST'!$A$2:$A$1000,"Pass")</f>
        <v>0</v>
      </c>
      <c r="E42" s="30"/>
      <c r="F42" s="42" t="n">
        <f>COUNTIFS('V 1.9 TEST'!$C$2:$C$1000,B42,'V 1.9 TEST'!$A$2:$A$1000,"Fail")</f>
        <v>0</v>
      </c>
      <c r="G42" s="42" t="n">
        <f>COUNTIFS('V 1.9 TEST'!$C$2:$C$1000,B42,'V 1.9 TEST'!$A$2:$A$1000,"Blocked")</f>
        <v>0</v>
      </c>
      <c r="H42" s="42" t="n">
        <f>C42-D42-COUNTIFS('V 1.9 TEST'!$C$2:$C$1000,B42,'V 1.9 TEST'!$A$2:$A$1000,"N/A")</f>
        <v>21</v>
      </c>
      <c r="I42" s="30"/>
      <c r="J42" s="30"/>
    </row>
    <row r="43" ht="25" customHeight="1">
      <c r="A43" s="30"/>
      <c r="B43" s="39" t="str">
        <v>Protected Links</v>
      </c>
      <c r="C43" s="30" t="n">
        <f>COUNTIFS('V 1.9 TEST'!$C$2:$C$1000,B43)</f>
        <v>20</v>
      </c>
      <c r="D43" s="30" t="n">
        <f>COUNTIFS('V 1.9 TEST'!$C$2:$C$1000,B43,'V 1.9 TEST'!$A$2:$A$1000,"Pass")</f>
        <v>0</v>
      </c>
      <c r="E43" s="30"/>
      <c r="F43" s="30" t="n">
        <f>COUNTIFS('V 1.9 TEST'!$C$2:$C$1000,B43,'V 1.9 TEST'!$A$2:$A$1000,"Fail")</f>
        <v>0</v>
      </c>
      <c r="G43" s="30" t="n">
        <f>COUNTIFS('V 1.9 TEST'!$C$2:$C$1000,B43,'V 1.9 TEST'!$A$2:$A$1000,"Blocked")</f>
        <v>0</v>
      </c>
      <c r="H43" s="30" t="n">
        <f>C43-D43-COUNTIFS('V 1.9 TEST'!$C$2:$C$1000,B43,'V 1.9 TEST'!$A$2:$A$1000,"N/A")</f>
        <v>20</v>
      </c>
      <c r="I43" s="30"/>
      <c r="J43" s="30"/>
    </row>
    <row r="44" ht="25" customHeight="1">
      <c r="A44" s="30"/>
      <c r="B44" s="43" t="str">
        <v>Publication States</v>
      </c>
      <c r="C44" s="42" t="n">
        <f>COUNTIFS('V 1.9 TEST'!$C$2:$C$1000,B44)</f>
        <v>36</v>
      </c>
      <c r="D44" s="42" t="n">
        <f>COUNTIFS('V 1.9 TEST'!$C$2:$C$1000,B44,'V 1.9 TEST'!$A$2:$A$1000,"Pass")</f>
        <v>0</v>
      </c>
      <c r="E44" s="30"/>
      <c r="F44" s="42" t="n">
        <f>COUNTIFS('V 1.9 TEST'!$C$2:$C$1000,B44,'V 1.9 TEST'!$A$2:$A$1000,"Fail")</f>
        <v>0</v>
      </c>
      <c r="G44" s="42" t="n">
        <f>COUNTIFS('V 1.9 TEST'!$C$2:$C$1000,B44,'V 1.9 TEST'!$A$2:$A$1000,"Blocked")</f>
        <v>0</v>
      </c>
      <c r="H44" s="42" t="n">
        <f>C44-D44-COUNTIFS('V 1.9 TEST'!$C$2:$C$1000,B44,'V 1.9 TEST'!$A$2:$A$1000,"N/A")</f>
        <v>36</v>
      </c>
      <c r="I44" s="30"/>
      <c r="J44" s="30"/>
    </row>
    <row r="45" ht="25" customHeight="1">
      <c r="A45" s="30"/>
      <c r="B45" s="39" t="str">
        <v>Learning</v>
      </c>
      <c r="C45" s="30" t="n">
        <f>COUNTIFS('V 1.9 TEST'!$C$2:$C$1000,B45)</f>
        <v>62</v>
      </c>
      <c r="D45" s="30" t="n">
        <f>COUNTIFS('V 1.9 TEST'!$C$2:$C$1000,B45,'V 1.9 TEST'!$A$2:$A$1000,"Pass")</f>
        <v>0</v>
      </c>
      <c r="E45" s="30"/>
      <c r="F45" s="30" t="n">
        <f>COUNTIFS('V 1.9 TEST'!$C$2:$C$1000,B45,'V 1.9 TEST'!$A$2:$A$1000,"Fail")</f>
        <v>0</v>
      </c>
      <c r="G45" s="30" t="n">
        <f>COUNTIFS('V 1.9 TEST'!$C$2:$C$1000,B45,'V 1.9 TEST'!$A$2:$A$1000,"Blocked")</f>
        <v>0</v>
      </c>
      <c r="H45" s="30" t="n">
        <f>C45-D45-COUNTIFS('V 1.9 TEST'!$C$2:$C$1000,B45,'V 1.9 TEST'!$A$2:$A$1000,"N/A")</f>
        <v>62</v>
      </c>
      <c r="I45" s="30"/>
      <c r="J45" s="30"/>
    </row>
    <row r="46" ht="25" customHeight="1">
      <c r="A46" s="30"/>
      <c r="B46" s="43" t="str">
        <v>Notifications</v>
      </c>
      <c r="C46" s="42" t="n">
        <f>COUNTIFS('V 1.9 TEST'!$C$2:$C$1000,B46)</f>
        <v>28</v>
      </c>
      <c r="D46" s="42" t="n">
        <f>COUNTIFS('V 1.9 TEST'!$C$2:$C$1000,B46,'V 1.9 TEST'!$A$2:$A$1000,"Pass")</f>
        <v>0</v>
      </c>
      <c r="E46" s="30"/>
      <c r="F46" s="42" t="n">
        <f>COUNTIFS('V 1.9 TEST'!$C$2:$C$1000,B46,'V 1.9 TEST'!$A$2:$A$1000,"Fail")</f>
        <v>0</v>
      </c>
      <c r="G46" s="42" t="n">
        <f>COUNTIFS('V 1.9 TEST'!$C$2:$C$1000,B46,'V 1.9 TEST'!$A$2:$A$1000,"Blocked")</f>
        <v>0</v>
      </c>
      <c r="H46" s="42" t="n">
        <f>C46-D46-COUNTIFS('V 1.9 TEST'!$C$2:$C$1000,B46,'V 1.9 TEST'!$A$2:$A$1000,"N/A")</f>
        <v>28</v>
      </c>
      <c r="I46" s="30"/>
      <c r="J46" s="30"/>
    </row>
    <row r="47" ht="25" customHeight="1">
      <c r="A47" s="30"/>
      <c r="B47" s="39" t="str">
        <v>Video Bundles</v>
      </c>
      <c r="C47" s="30" t="n">
        <f>COUNTIFS('V 1.9 TEST'!$C$2:$C$1000,B47)</f>
        <v>27</v>
      </c>
      <c r="D47" s="30" t="n">
        <f>COUNTIFS('V 1.9 TEST'!$C$2:$C$1000,B47,'V 1.9 TEST'!$A$2:$A$1000,"Pass")</f>
        <v>0</v>
      </c>
      <c r="E47" s="30"/>
      <c r="F47" s="30" t="n">
        <f>COUNTIFS('V 1.9 TEST'!$C$2:$C$1000,B47,'V 1.9 TEST'!$A$2:$A$1000,"Fail")</f>
        <v>0</v>
      </c>
      <c r="G47" s="30" t="n">
        <f>COUNTIFS('V 1.9 TEST'!$C$2:$C$1000,B47,'V 1.9 TEST'!$A$2:$A$1000,"Blocked")</f>
        <v>0</v>
      </c>
      <c r="H47" s="30" t="n">
        <f>C47-D47-COUNTIFS('V 1.9 TEST'!$C$2:$C$1000,B47,'V 1.9 TEST'!$A$2:$A$1000,"N/A")</f>
        <v>27</v>
      </c>
      <c r="I47" s="30"/>
      <c r="J47" s="30"/>
    </row>
    <row r="48" ht="25" customHeight="1">
      <c r="A48" s="30"/>
      <c r="B48" s="43" t="str">
        <v>Mentor Programme</v>
      </c>
      <c r="C48" s="42" t="n">
        <f>COUNTIFS('V 1.9 TEST'!$C$2:$C$1000,B48)</f>
        <v>19</v>
      </c>
      <c r="D48" s="42" t="n">
        <f>COUNTIFS('V 1.9 TEST'!$C$2:$C$1000,B48,'V 1.9 TEST'!$A$2:$A$1000,"Pass")</f>
        <v>0</v>
      </c>
      <c r="E48" s="30"/>
      <c r="F48" s="42" t="n">
        <f>COUNTIFS('V 1.9 TEST'!$C$2:$C$1000,B48,'V 1.9 TEST'!$A$2:$A$1000,"Fail")</f>
        <v>0</v>
      </c>
      <c r="G48" s="42" t="n">
        <f>COUNTIFS('V 1.9 TEST'!$C$2:$C$1000,B48,'V 1.9 TEST'!$A$2:$A$1000,"Blocked")</f>
        <v>0</v>
      </c>
      <c r="H48" s="42" t="n">
        <f>C48-D48-COUNTIFS('V 1.9 TEST'!$C$2:$C$1000,B48,'V 1.9 TEST'!$A$2:$A$1000,"N/A")</f>
        <v>19</v>
      </c>
      <c r="I48" s="30"/>
      <c r="J48" s="30"/>
    </row>
    <row r="49" ht="25" customHeight="1">
      <c r="A49" s="30"/>
      <c r="B49" s="39" t="str">
        <v>Mentor Directory</v>
      </c>
      <c r="C49" s="30" t="n">
        <f>COUNTIFS('V 1.9 TEST'!$C$2:$C$1000,B49)</f>
        <v>30</v>
      </c>
      <c r="D49" s="30" t="n">
        <f>COUNTIFS('V 1.9 TEST'!$C$2:$C$1000,B49,'V 1.9 TEST'!$A$2:$A$1000,"Pass")</f>
        <v>0</v>
      </c>
      <c r="E49" s="30"/>
      <c r="F49" s="30" t="n">
        <f>COUNTIFS('V 1.9 TEST'!$C$2:$C$1000,B49,'V 1.9 TEST'!$A$2:$A$1000,"Fail")</f>
        <v>0</v>
      </c>
      <c r="G49" s="30" t="n">
        <f>COUNTIFS('V 1.9 TEST'!$C$2:$C$1000,B49,'V 1.9 TEST'!$A$2:$A$1000,"Blocked")</f>
        <v>0</v>
      </c>
      <c r="H49" s="30" t="n">
        <f>C49-D49-COUNTIFS('V 1.9 TEST'!$C$2:$C$1000,B49,'V 1.9 TEST'!$A$2:$A$1000,"N/A")</f>
        <v>30</v>
      </c>
      <c r="I49" s="30"/>
      <c r="J49" s="30"/>
    </row>
    <row r="50" ht="25" customHeight="1">
      <c r="A50" s="30"/>
      <c r="B50" s="43" t="str">
        <v>Mentor Availability &amp; Training</v>
      </c>
      <c r="C50" s="42" t="n">
        <f>COUNTIFS('V 1.9 TEST'!$C$2:$C$1000,B50)</f>
        <v>22</v>
      </c>
      <c r="D50" s="42" t="n">
        <f>COUNTIFS('V 1.9 TEST'!$C$2:$C$1000,B50,'V 1.9 TEST'!$A$2:$A$1000,"Pass")</f>
        <v>0</v>
      </c>
      <c r="E50" s="30"/>
      <c r="F50" s="42" t="n">
        <f>COUNTIFS('V 1.9 TEST'!$C$2:$C$1000,B50,'V 1.9 TEST'!$A$2:$A$1000,"Fail")</f>
        <v>0</v>
      </c>
      <c r="G50" s="42" t="n">
        <f>COUNTIFS('V 1.9 TEST'!$C$2:$C$1000,B50,'V 1.9 TEST'!$A$2:$A$1000,"Blocked")</f>
        <v>0</v>
      </c>
      <c r="H50" s="42" t="n">
        <f>C50-D50-COUNTIFS('V 1.9 TEST'!$C$2:$C$1000,B50,'V 1.9 TEST'!$A$2:$A$1000,"N/A")</f>
        <v>22</v>
      </c>
      <c r="I50" s="30"/>
      <c r="J50" s="30"/>
    </row>
    <row r="51" ht="25" customHeight="1">
      <c r="A51" s="30"/>
      <c r="B51" s="39" t="str">
        <v>Mentorship Requests</v>
      </c>
      <c r="C51" s="30" t="n">
        <f>COUNTIFS('V 1.9 TEST'!$C$2:$C$1000,B51)</f>
        <v>35</v>
      </c>
      <c r="D51" s="30" t="n">
        <f>COUNTIFS('V 1.9 TEST'!$C$2:$C$1000,B51,'V 1.9 TEST'!$A$2:$A$1000,"Pass")</f>
        <v>0</v>
      </c>
      <c r="E51" s="30"/>
      <c r="F51" s="30" t="n">
        <f>COUNTIFS('V 1.9 TEST'!$C$2:$C$1000,B51,'V 1.9 TEST'!$A$2:$A$1000,"Fail")</f>
        <v>0</v>
      </c>
      <c r="G51" s="30" t="n">
        <f>COUNTIFS('V 1.9 TEST'!$C$2:$C$1000,B51,'V 1.9 TEST'!$A$2:$A$1000,"Blocked")</f>
        <v>0</v>
      </c>
      <c r="H51" s="30" t="n">
        <f>C51-D51-COUNTIFS('V 1.9 TEST'!$C$2:$C$1000,B51,'V 1.9 TEST'!$A$2:$A$1000,"N/A")</f>
        <v>35</v>
      </c>
      <c r="I51" s="30"/>
      <c r="J51" s="30"/>
    </row>
    <row r="52" ht="25" customHeight="1">
      <c r="A52" s="30"/>
      <c r="B52" s="43" t="str">
        <v>Mentorship Lifecycle</v>
      </c>
      <c r="C52" s="42" t="n">
        <f>COUNTIFS('V 1.9 TEST'!$C$2:$C$1000,B52)</f>
        <v>18</v>
      </c>
      <c r="D52" s="42" t="n">
        <f>COUNTIFS('V 1.9 TEST'!$C$2:$C$1000,B52,'V 1.9 TEST'!$A$2:$A$1000,"Pass")</f>
        <v>0</v>
      </c>
      <c r="E52" s="30"/>
      <c r="F52" s="42" t="n">
        <f>COUNTIFS('V 1.9 TEST'!$C$2:$C$1000,B52,'V 1.9 TEST'!$A$2:$A$1000,"Fail")</f>
        <v>0</v>
      </c>
      <c r="G52" s="42" t="n">
        <f>COUNTIFS('V 1.9 TEST'!$C$2:$C$1000,B52,'V 1.9 TEST'!$A$2:$A$1000,"Blocked")</f>
        <v>0</v>
      </c>
      <c r="H52" s="42" t="n">
        <f>C52-D52-COUNTIFS('V 1.9 TEST'!$C$2:$C$1000,B52,'V 1.9 TEST'!$A$2:$A$1000,"N/A")</f>
        <v>18</v>
      </c>
      <c r="I52" s="30"/>
      <c r="J52" s="30"/>
    </row>
    <row r="53" ht="25" customHeight="1">
      <c r="A53" s="30"/>
      <c r="B53" s="39" t="str">
        <v>Mentorship Feedback</v>
      </c>
      <c r="C53" s="30" t="n">
        <f>COUNTIFS('V 1.9 TEST'!$C$2:$C$1000,B53)</f>
        <v>26</v>
      </c>
      <c r="D53" s="30" t="n">
        <f>COUNTIFS('V 1.9 TEST'!$C$2:$C$1000,B53,'V 1.9 TEST'!$A$2:$A$1000,"Pass")</f>
        <v>0</v>
      </c>
      <c r="E53" s="30"/>
      <c r="F53" s="30" t="n">
        <f>COUNTIFS('V 1.9 TEST'!$C$2:$C$1000,B53,'V 1.9 TEST'!$A$2:$A$1000,"Fail")</f>
        <v>0</v>
      </c>
      <c r="G53" s="30" t="n">
        <f>COUNTIFS('V 1.9 TEST'!$C$2:$C$1000,B53,'V 1.9 TEST'!$A$2:$A$1000,"Blocked")</f>
        <v>0</v>
      </c>
      <c r="H53" s="30" t="n">
        <f>C53-D53-COUNTIFS('V 1.9 TEST'!$C$2:$C$1000,B53,'V 1.9 TEST'!$A$2:$A$1000,"N/A")</f>
        <v>26</v>
      </c>
      <c r="I53" s="30"/>
      <c r="J53" s="30"/>
    </row>
    <row r="54" ht="25" customHeight="1">
      <c r="A54" s="30"/>
      <c r="B54" s="43" t="str">
        <v>Asset Packs</v>
      </c>
      <c r="C54" s="42" t="n">
        <f>COUNTIFS('V 1.9 TEST'!$C$2:$C$1000,B54)</f>
        <v>31</v>
      </c>
      <c r="D54" s="42" t="n">
        <f>COUNTIFS('V 1.9 TEST'!$C$2:$C$1000,B54,'V 1.9 TEST'!$A$2:$A$1000,"Pass")</f>
        <v>0</v>
      </c>
      <c r="E54" s="30"/>
      <c r="F54" s="42" t="n">
        <f>COUNTIFS('V 1.9 TEST'!$C$2:$C$1000,B54,'V 1.9 TEST'!$A$2:$A$1000,"Fail")</f>
        <v>0</v>
      </c>
      <c r="G54" s="42" t="n">
        <f>COUNTIFS('V 1.9 TEST'!$C$2:$C$1000,B54,'V 1.9 TEST'!$A$2:$A$1000,"Blocked")</f>
        <v>0</v>
      </c>
      <c r="H54" s="42" t="n">
        <f>C54-D54-COUNTIFS('V 1.9 TEST'!$C$2:$C$1000,B54,'V 1.9 TEST'!$A$2:$A$1000,"N/A")</f>
        <v>31</v>
      </c>
      <c r="I54" s="30"/>
      <c r="J54" s="30"/>
    </row>
    <row r="55" ht="25" customHeight="1">
      <c r="A55" s="30"/>
      <c r="B55" s="39" t="str">
        <v>Visual &amp; Accessibility</v>
      </c>
      <c r="C55" s="30" t="n">
        <f>COUNTIFS('V 1.9 TEST'!$C$2:$C$1000,B55)</f>
        <v>35</v>
      </c>
      <c r="D55" s="30" t="n">
        <f>COUNTIFS('V 1.9 TEST'!$C$2:$C$1000,B55,'V 1.9 TEST'!$A$2:$A$1000,"Pass")</f>
        <v>0</v>
      </c>
      <c r="E55" s="30"/>
      <c r="F55" s="30" t="n">
        <f>COUNTIFS('V 1.9 TEST'!$C$2:$C$1000,B55,'V 1.9 TEST'!$A$2:$A$1000,"Fail")</f>
        <v>0</v>
      </c>
      <c r="G55" s="30" t="n">
        <f>COUNTIFS('V 1.9 TEST'!$C$2:$C$1000,B55,'V 1.9 TEST'!$A$2:$A$1000,"Blocked")</f>
        <v>0</v>
      </c>
      <c r="H55" s="30" t="n">
        <f>C55-D55-COUNTIFS('V 1.9 TEST'!$C$2:$C$1000,B55,'V 1.9 TEST'!$A$2:$A$1000,"N/A")</f>
        <v>35</v>
      </c>
      <c r="I55" s="30"/>
      <c r="J55" s="30"/>
    </row>
    <row r="56" ht="25" customHeight="1">
      <c r="A56" s="30"/>
      <c r="B56" s="43" t="str">
        <v>Auth &amp; Account Recovery</v>
      </c>
      <c r="C56" s="42" t="n">
        <f>COUNTIFS('V 1.9 TEST'!$C$2:$C$1000,B56)</f>
        <v>6</v>
      </c>
      <c r="D56" s="42" t="n">
        <f>COUNTIFS('V 1.9 TEST'!$C$2:$C$1000,B56,'V 1.9 TEST'!$A$2:$A$1000,"Pass")</f>
        <v>0</v>
      </c>
      <c r="E56" s="30"/>
      <c r="F56" s="42" t="n">
        <f>COUNTIFS('V 1.9 TEST'!$C$2:$C$1000,B56,'V 1.9 TEST'!$A$2:$A$1000,"Fail")</f>
        <v>0</v>
      </c>
      <c r="G56" s="42" t="n">
        <f>COUNTIFS('V 1.9 TEST'!$C$2:$C$1000,B56,'V 1.9 TEST'!$A$2:$A$1000,"Blocked")</f>
        <v>0</v>
      </c>
      <c r="H56" s="42" t="n">
        <f>C56-D56-COUNTIFS('V 1.9 TEST'!$C$2:$C$1000,B56,'V 1.9 TEST'!$A$2:$A$1000,"N/A")</f>
        <v>6</v>
      </c>
      <c r="I56" s="30"/>
      <c r="J56" s="30"/>
    </row>
    <row r="57" ht="25" customHeight="1">
      <c r="A57" s="30"/>
      <c r="B57" s="39" t="str">
        <v>Profile &amp; Passport Regression</v>
      </c>
      <c r="C57" s="30" t="n">
        <f>COUNTIFS('V 1.9 TEST'!$C$2:$C$1000,B57)</f>
        <v>10</v>
      </c>
      <c r="D57" s="30" t="n">
        <f>COUNTIFS('V 1.9 TEST'!$C$2:$C$1000,B57,'V 1.9 TEST'!$A$2:$A$1000,"Pass")</f>
        <v>0</v>
      </c>
      <c r="E57" s="30"/>
      <c r="F57" s="30" t="n">
        <f>COUNTIFS('V 1.9 TEST'!$C$2:$C$1000,B57,'V 1.9 TEST'!$A$2:$A$1000,"Fail")</f>
        <v>0</v>
      </c>
      <c r="G57" s="30" t="n">
        <f>COUNTIFS('V 1.9 TEST'!$C$2:$C$1000,B57,'V 1.9 TEST'!$A$2:$A$1000,"Blocked")</f>
        <v>0</v>
      </c>
      <c r="H57" s="30" t="n">
        <f>C57-D57-COUNTIFS('V 1.9 TEST'!$C$2:$C$1000,B57,'V 1.9 TEST'!$A$2:$A$1000,"N/A")</f>
        <v>10</v>
      </c>
      <c r="I57" s="30"/>
      <c r="J57" s="30"/>
    </row>
    <row r="58" ht="25" customHeight="1">
      <c r="A58" s="30"/>
      <c r="B58" s="43" t="str">
        <v>Creator Capacity &amp; Publishing</v>
      </c>
      <c r="C58" s="42" t="n">
        <f>COUNTIFS('V 1.9 TEST'!$C$2:$C$1000,B58)</f>
        <v>13</v>
      </c>
      <c r="D58" s="42" t="n">
        <f>COUNTIFS('V 1.9 TEST'!$C$2:$C$1000,B58,'V 1.9 TEST'!$A$2:$A$1000,"Pass")</f>
        <v>0</v>
      </c>
      <c r="E58" s="30"/>
      <c r="F58" s="42" t="n">
        <f>COUNTIFS('V 1.9 TEST'!$C$2:$C$1000,B58,'V 1.9 TEST'!$A$2:$A$1000,"Fail")</f>
        <v>0</v>
      </c>
      <c r="G58" s="42" t="n">
        <f>COUNTIFS('V 1.9 TEST'!$C$2:$C$1000,B58,'V 1.9 TEST'!$A$2:$A$1000,"Blocked")</f>
        <v>0</v>
      </c>
      <c r="H58" s="42" t="n">
        <f>C58-D58-COUNTIFS('V 1.9 TEST'!$C$2:$C$1000,B58,'V 1.9 TEST'!$A$2:$A$1000,"N/A")</f>
        <v>13</v>
      </c>
      <c r="I58" s="30"/>
      <c r="J58" s="30"/>
    </row>
    <row r="59" ht="25" customHeight="1">
      <c r="A59" s="30"/>
      <c r="B59" s="39" t="str">
        <v>Team Matchmaking</v>
      </c>
      <c r="C59" s="30" t="n">
        <f>COUNTIFS('V 1.9 TEST'!$C$2:$C$1000,B59)</f>
        <v>20</v>
      </c>
      <c r="D59" s="30" t="n">
        <f>COUNTIFS('V 1.9 TEST'!$C$2:$C$1000,B59,'V 1.9 TEST'!$A$2:$A$1000,"Pass")</f>
        <v>0</v>
      </c>
      <c r="E59" s="30"/>
      <c r="F59" s="30" t="n">
        <f>COUNTIFS('V 1.9 TEST'!$C$2:$C$1000,B59,'V 1.9 TEST'!$A$2:$A$1000,"Fail")</f>
        <v>0</v>
      </c>
      <c r="G59" s="30" t="n">
        <f>COUNTIFS('V 1.9 TEST'!$C$2:$C$1000,B59,'V 1.9 TEST'!$A$2:$A$1000,"Blocked")</f>
        <v>0</v>
      </c>
      <c r="H59" s="30" t="n">
        <f>C59-D59-COUNTIFS('V 1.9 TEST'!$C$2:$C$1000,B59,'V 1.9 TEST'!$A$2:$A$1000,"N/A")</f>
        <v>20</v>
      </c>
      <c r="I59" s="30"/>
      <c r="J59" s="30"/>
    </row>
    <row r="60" ht="25" customHeight="1">
      <c r="A60" s="30"/>
      <c r="B60" s="43" t="str">
        <v>Monday Builds &amp; Voting</v>
      </c>
      <c r="C60" s="42" t="n">
        <f>COUNTIFS('V 1.9 TEST'!$C$2:$C$1000,B60)</f>
        <v>12</v>
      </c>
      <c r="D60" s="42" t="n">
        <f>COUNTIFS('V 1.9 TEST'!$C$2:$C$1000,B60,'V 1.9 TEST'!$A$2:$A$1000,"Pass")</f>
        <v>0</v>
      </c>
      <c r="E60" s="30"/>
      <c r="F60" s="42" t="n">
        <f>COUNTIFS('V 1.9 TEST'!$C$2:$C$1000,B60,'V 1.9 TEST'!$A$2:$A$1000,"Fail")</f>
        <v>0</v>
      </c>
      <c r="G60" s="42" t="n">
        <f>COUNTIFS('V 1.9 TEST'!$C$2:$C$1000,B60,'V 1.9 TEST'!$A$2:$A$1000,"Blocked")</f>
        <v>0</v>
      </c>
      <c r="H60" s="42" t="n">
        <f>C60-D60-COUNTIFS('V 1.9 TEST'!$C$2:$C$1000,B60,'V 1.9 TEST'!$A$2:$A$1000,"N/A")</f>
        <v>12</v>
      </c>
      <c r="I60" s="30"/>
      <c r="J60" s="30"/>
    </row>
    <row r="61" ht="25" customHeight="1">
      <c r="A61" s="30"/>
      <c r="B61" s="39" t="str">
        <v>Official Passport Stamps</v>
      </c>
      <c r="C61" s="30" t="n">
        <f>COUNTIFS('V 1.9 TEST'!$C$2:$C$1000,B61)</f>
        <v>10</v>
      </c>
      <c r="D61" s="30" t="n">
        <f>COUNTIFS('V 1.9 TEST'!$C$2:$C$1000,B61,'V 1.9 TEST'!$A$2:$A$1000,"Pass")</f>
        <v>0</v>
      </c>
      <c r="E61" s="30"/>
      <c r="F61" s="30" t="n">
        <f>COUNTIFS('V 1.9 TEST'!$C$2:$C$1000,B61,'V 1.9 TEST'!$A$2:$A$1000,"Fail")</f>
        <v>0</v>
      </c>
      <c r="G61" s="30" t="n">
        <f>COUNTIFS('V 1.9 TEST'!$C$2:$C$1000,B61,'V 1.9 TEST'!$A$2:$A$1000,"Blocked")</f>
        <v>0</v>
      </c>
      <c r="H61" s="30" t="n">
        <f>C61-D61-COUNTIFS('V 1.9 TEST'!$C$2:$C$1000,B61,'V 1.9 TEST'!$A$2:$A$1000,"N/A")</f>
        <v>10</v>
      </c>
      <c r="I61" s="30"/>
      <c r="J61" s="30"/>
    </row>
    <row r="62" ht="25" customHeight="1">
      <c r="A62" s="30"/>
      <c r="B62" s="43" t="str">
        <v>GO Merch Reservations</v>
      </c>
      <c r="C62" s="42" t="n">
        <f>COUNTIFS('V 1.9 TEST'!$C$2:$C$1000,B62)</f>
        <v>20</v>
      </c>
      <c r="D62" s="42" t="n">
        <f>COUNTIFS('V 1.9 TEST'!$C$2:$C$1000,B62,'V 1.9 TEST'!$A$2:$A$1000,"Pass")</f>
        <v>0</v>
      </c>
      <c r="E62" s="30"/>
      <c r="F62" s="42" t="n">
        <f>COUNTIFS('V 1.9 TEST'!$C$2:$C$1000,B62,'V 1.9 TEST'!$A$2:$A$1000,"Fail")</f>
        <v>0</v>
      </c>
      <c r="G62" s="42" t="n">
        <f>COUNTIFS('V 1.9 TEST'!$C$2:$C$1000,B62,'V 1.9 TEST'!$A$2:$A$1000,"Blocked")</f>
        <v>0</v>
      </c>
      <c r="H62" s="42" t="n">
        <f>C62-D62-COUNTIFS('V 1.9 TEST'!$C$2:$C$1000,B62,'V 1.9 TEST'!$A$2:$A$1000,"N/A")</f>
        <v>20</v>
      </c>
      <c r="I62" s="30"/>
      <c r="J62" s="30"/>
    </row>
    <row r="63" ht="25" customHeight="1">
      <c r="A63" s="30"/>
      <c r="B63" s="39" t="str">
        <v>Omnivore &amp; Starter Pathway</v>
      </c>
      <c r="C63" s="30" t="n">
        <f>COUNTIFS('V 1.9 TEST'!$C$2:$C$1000,B63)</f>
        <v>12</v>
      </c>
      <c r="D63" s="30" t="n">
        <f>COUNTIFS('V 1.9 TEST'!$C$2:$C$1000,B63,'V 1.9 TEST'!$A$2:$A$1000,"Pass")</f>
        <v>0</v>
      </c>
      <c r="E63" s="30"/>
      <c r="F63" s="30" t="n">
        <f>COUNTIFS('V 1.9 TEST'!$C$2:$C$1000,B63,'V 1.9 TEST'!$A$2:$A$1000,"Fail")</f>
        <v>0</v>
      </c>
      <c r="G63" s="30" t="n">
        <f>COUNTIFS('V 1.9 TEST'!$C$2:$C$1000,B63,'V 1.9 TEST'!$A$2:$A$1000,"Blocked")</f>
        <v>0</v>
      </c>
      <c r="H63" s="30" t="n">
        <f>C63-D63-COUNTIFS('V 1.9 TEST'!$C$2:$C$1000,B63,'V 1.9 TEST'!$A$2:$A$1000,"N/A")</f>
        <v>12</v>
      </c>
      <c r="I63" s="30"/>
      <c r="J63" s="30"/>
    </row>
    <row r="64" ht="25" customHeight="1">
      <c r="A64" s="30"/>
      <c r="B64" s="43" t="str">
        <v>From Idea to Playable</v>
      </c>
      <c r="C64" s="42" t="n">
        <f>COUNTIFS('V 1.9 TEST'!$C$2:$C$1000,B64)</f>
        <v>12</v>
      </c>
      <c r="D64" s="42" t="n">
        <f>COUNTIFS('V 1.9 TEST'!$C$2:$C$1000,B64,'V 1.9 TEST'!$A$2:$A$1000,"Pass")</f>
        <v>0</v>
      </c>
      <c r="E64" s="30"/>
      <c r="F64" s="42" t="n">
        <f>COUNTIFS('V 1.9 TEST'!$C$2:$C$1000,B64,'V 1.9 TEST'!$A$2:$A$1000,"Fail")</f>
        <v>0</v>
      </c>
      <c r="G64" s="42" t="n">
        <f>COUNTIFS('V 1.9 TEST'!$C$2:$C$1000,B64,'V 1.9 TEST'!$A$2:$A$1000,"Blocked")</f>
        <v>0</v>
      </c>
      <c r="H64" s="42" t="n">
        <f>C64-D64-COUNTIFS('V 1.9 TEST'!$C$2:$C$1000,B64,'V 1.9 TEST'!$A$2:$A$1000,"N/A")</f>
        <v>12</v>
      </c>
      <c r="I64" s="30"/>
      <c r="J64" s="30"/>
    </row>
    <row r="65" ht="25" customHeight="1">
      <c r="A65" s="30"/>
      <c r="B65" s="39" t="str">
        <v>Support Workspace</v>
      </c>
      <c r="C65" s="30" t="n">
        <f>COUNTIFS('V 1.9 TEST'!$C$2:$C$1000,B65)</f>
        <v>6</v>
      </c>
      <c r="D65" s="30" t="n">
        <f>COUNTIFS('V 1.9 TEST'!$C$2:$C$1000,B65,'V 1.9 TEST'!$A$2:$A$1000,"Pass")</f>
        <v>0</v>
      </c>
      <c r="E65" s="30"/>
      <c r="F65" s="30" t="n">
        <f>COUNTIFS('V 1.9 TEST'!$C$2:$C$1000,B65,'V 1.9 TEST'!$A$2:$A$1000,"Fail")</f>
        <v>0</v>
      </c>
      <c r="G65" s="30" t="n">
        <f>COUNTIFS('V 1.9 TEST'!$C$2:$C$1000,B65,'V 1.9 TEST'!$A$2:$A$1000,"Blocked")</f>
        <v>0</v>
      </c>
      <c r="H65" s="30" t="n">
        <f>C65-D65-COUNTIFS('V 1.9 TEST'!$C$2:$C$1000,B65,'V 1.9 TEST'!$A$2:$A$1000,"N/A")</f>
        <v>6</v>
      </c>
      <c r="I65" s="30"/>
      <c r="J65" s="30"/>
    </row>
    <row r="66" ht="25" customHeight="1">
      <c r="A66" s="30"/>
      <c r="B66" s="43" t="str">
        <v>Newsletter &amp; Consent</v>
      </c>
      <c r="C66" s="42" t="n">
        <f>COUNTIFS('V 1.9 TEST'!$C$2:$C$1000,B66)</f>
        <v>5</v>
      </c>
      <c r="D66" s="42" t="n">
        <f>COUNTIFS('V 1.9 TEST'!$C$2:$C$1000,B66,'V 1.9 TEST'!$A$2:$A$1000,"Pass")</f>
        <v>0</v>
      </c>
      <c r="E66" s="30"/>
      <c r="F66" s="42" t="n">
        <f>COUNTIFS('V 1.9 TEST'!$C$2:$C$1000,B66,'V 1.9 TEST'!$A$2:$A$1000,"Fail")</f>
        <v>0</v>
      </c>
      <c r="G66" s="42" t="n">
        <f>COUNTIFS('V 1.9 TEST'!$C$2:$C$1000,B66,'V 1.9 TEST'!$A$2:$A$1000,"Blocked")</f>
        <v>0</v>
      </c>
      <c r="H66" s="42" t="n">
        <f>C66-D66-COUNTIFS('V 1.9 TEST'!$C$2:$C$1000,B66,'V 1.9 TEST'!$A$2:$A$1000,"N/A")</f>
        <v>5</v>
      </c>
      <c r="I66" s="30"/>
      <c r="J66" s="30"/>
    </row>
    <row r="67" ht="25" customHeight="1">
      <c r="A67" s="30"/>
      <c r="B67" s="39" t="str">
        <v>Events, Community &amp; Impact</v>
      </c>
      <c r="C67" s="30" t="n">
        <f>COUNTIFS('V 1.9 TEST'!$C$2:$C$1000,B67)</f>
        <v>5</v>
      </c>
      <c r="D67" s="30" t="n">
        <f>COUNTIFS('V 1.9 TEST'!$C$2:$C$1000,B67,'V 1.9 TEST'!$A$2:$A$1000,"Pass")</f>
        <v>0</v>
      </c>
      <c r="E67" s="30"/>
      <c r="F67" s="30" t="n">
        <f>COUNTIFS('V 1.9 TEST'!$C$2:$C$1000,B67,'V 1.9 TEST'!$A$2:$A$1000,"Fail")</f>
        <v>0</v>
      </c>
      <c r="G67" s="30" t="n">
        <f>COUNTIFS('V 1.9 TEST'!$C$2:$C$1000,B67,'V 1.9 TEST'!$A$2:$A$1000,"Blocked")</f>
        <v>0</v>
      </c>
      <c r="H67" s="30" t="n">
        <f>C67-D67-COUNTIFS('V 1.9 TEST'!$C$2:$C$1000,B67,'V 1.9 TEST'!$A$2:$A$1000,"N/A")</f>
        <v>5</v>
      </c>
      <c r="I67" s="30"/>
      <c r="J67" s="30"/>
    </row>
    <row r="68" ht="35" customHeight="1">
      <c r="A68" s="30"/>
      <c r="B68" s="43" t="str">
        <v>Development Journey &amp; Skill Evidence</v>
      </c>
      <c r="C68" s="42" t="n">
        <f>COUNTIFS('V 1.9 TEST'!$C$2:$C$1000,B68)</f>
        <v>7</v>
      </c>
      <c r="D68" s="42" t="n">
        <f>COUNTIFS('V 1.9 TEST'!$C$2:$C$1000,B68,'V 1.9 TEST'!$A$2:$A$1000,"Pass")</f>
        <v>0</v>
      </c>
      <c r="E68" s="30"/>
      <c r="F68" s="42" t="n">
        <f>COUNTIFS('V 1.9 TEST'!$C$2:$C$1000,B68,'V 1.9 TEST'!$A$2:$A$1000,"Fail")</f>
        <v>0</v>
      </c>
      <c r="G68" s="42" t="n">
        <f>COUNTIFS('V 1.9 TEST'!$C$2:$C$1000,B68,'V 1.9 TEST'!$A$2:$A$1000,"Blocked")</f>
        <v>0</v>
      </c>
      <c r="H68" s="42" t="n">
        <f>C68-D68-COUNTIFS('V 1.9 TEST'!$C$2:$C$1000,B68,'V 1.9 TEST'!$A$2:$A$1000,"N/A")</f>
        <v>7</v>
      </c>
      <c r="I68" s="30"/>
      <c r="J68" s="30"/>
    </row>
    <row r="69" ht="25" customHeight="1">
      <c r="A69" s="30"/>
      <c r="B69" s="39" t="str">
        <v>Game Jams</v>
      </c>
      <c r="C69" s="30" t="n">
        <f>COUNTIFS('V 1.9 TEST'!$C$2:$C$1000,B69)</f>
        <v>3</v>
      </c>
      <c r="D69" s="30" t="n">
        <f>COUNTIFS('V 1.9 TEST'!$C$2:$C$1000,B69,'V 1.9 TEST'!$A$2:$A$1000,"Pass")</f>
        <v>0</v>
      </c>
      <c r="E69" s="30"/>
      <c r="F69" s="30" t="n">
        <f>COUNTIFS('V 1.9 TEST'!$C$2:$C$1000,B69,'V 1.9 TEST'!$A$2:$A$1000,"Fail")</f>
        <v>0</v>
      </c>
      <c r="G69" s="30" t="n">
        <f>COUNTIFS('V 1.9 TEST'!$C$2:$C$1000,B69,'V 1.9 TEST'!$A$2:$A$1000,"Blocked")</f>
        <v>0</v>
      </c>
      <c r="H69" s="30" t="n">
        <f>C69-D69-COUNTIFS('V 1.9 TEST'!$C$2:$C$1000,B69,'V 1.9 TEST'!$A$2:$A$1000,"N/A")</f>
        <v>3</v>
      </c>
      <c r="I69" s="30"/>
      <c r="J69" s="30"/>
    </row>
    <row r="70" ht="25" customHeight="1">
      <c r="A70" s="30"/>
      <c r="B70" s="43" t="str">
        <v>Baseline &amp; Recovery</v>
      </c>
      <c r="C70" s="42" t="n">
        <f>COUNTIFS('V 1.9 TEST'!$C$2:$C$1000,B70)</f>
        <v>5</v>
      </c>
      <c r="D70" s="42" t="n">
        <f>COUNTIFS('V 1.9 TEST'!$C$2:$C$1000,B70,'V 1.9 TEST'!$A$2:$A$1000,"Pass")</f>
        <v>0</v>
      </c>
      <c r="E70" s="30"/>
      <c r="F70" s="42" t="n">
        <f>COUNTIFS('V 1.9 TEST'!$C$2:$C$1000,B70,'V 1.9 TEST'!$A$2:$A$1000,"Fail")</f>
        <v>0</v>
      </c>
      <c r="G70" s="42" t="n">
        <f>COUNTIFS('V 1.9 TEST'!$C$2:$C$1000,B70,'V 1.9 TEST'!$A$2:$A$1000,"Blocked")</f>
        <v>0</v>
      </c>
      <c r="H70" s="42" t="n">
        <f>C70-D70-COUNTIFS('V 1.9 TEST'!$C$2:$C$1000,B70,'V 1.9 TEST'!$A$2:$A$1000,"N/A")</f>
        <v>5</v>
      </c>
      <c r="I70" s="30"/>
      <c r="J70" s="30"/>
    </row>
    <row r="71">
      <c r="A71" s="30"/>
      <c r="B71" s="30"/>
      <c r="C71" s="30"/>
      <c r="D71" s="30"/>
      <c r="E71" s="30"/>
      <c r="F71" s="30"/>
      <c r="G71" s="30"/>
      <c r="H71" s="30"/>
      <c r="I71" s="30"/>
      <c r="J71" s="30"/>
    </row>
    <row r="72">
      <c r="A72" s="30"/>
      <c r="B72" s="30"/>
      <c r="C72" s="30"/>
      <c r="D72" s="30"/>
      <c r="E72" s="30"/>
      <c r="F72" s="30"/>
      <c r="G72" s="30"/>
      <c r="H72" s="30"/>
      <c r="I72" s="30"/>
      <c r="J72" s="30"/>
    </row>
    <row r="73" ht="24" customHeight="1">
      <c r="A73" s="30"/>
      <c r="B73" s="34" t="str">
        <v>Run conventions</v>
      </c>
      <c r="C73" s="34"/>
      <c r="D73" s="34"/>
      <c r="E73" s="34"/>
      <c r="F73" s="34"/>
      <c r="G73" s="34"/>
      <c r="H73" s="34"/>
      <c r="I73" s="30"/>
      <c r="J73" s="30"/>
    </row>
    <row r="74" ht="38" customHeight="1">
      <c r="A74" s="30"/>
      <c r="B74" s="30" t="str">
        <v>Statuses</v>
      </c>
      <c r="C74" s="39" t="str">
        <v>Not Run: untouched. Pass: observed expected result. Fail: observed defect. Blocked: prerequisite unavailable. Retest: fix awaits verification. N/A: deliberately outside this run; explain why in Notes.</v>
      </c>
      <c r="D74" s="39"/>
      <c r="E74" s="39"/>
      <c r="F74" s="39"/>
      <c r="G74" s="39"/>
      <c r="H74" s="39"/>
      <c r="I74" s="30"/>
      <c r="J74" s="30"/>
    </row>
    <row r="75" ht="38" customHeight="1">
      <c r="A75" s="30"/>
      <c r="B75" s="30" t="str">
        <v>Priorities</v>
      </c>
      <c r="C75" s="39" t="str">
        <v>P0: critical flow, privacy, entitlement or data integrity. P1: normal functional behavior. P2: lower-impact presentation or refinement. These priorities order this test run.</v>
      </c>
      <c r="D75" s="39"/>
      <c r="E75" s="39"/>
      <c r="F75" s="39"/>
      <c r="G75" s="39"/>
      <c r="H75" s="39"/>
      <c r="I75" s="30"/>
      <c r="J75" s="30"/>
    </row>
    <row r="76" ht="38" customHeight="1">
      <c r="A76" s="30"/>
      <c r="B76" s="30" t="str">
        <v>Scope</v>
      </c>
      <c r="C76" s="39" t="str">
        <v>Record actual flags below. Enabled but unusable because data, credentials or an index is missing = Blocked. Intentionally disabled/out-of-scope = N/A with a reason. Exercise disabled-state checks as well.</v>
      </c>
      <c r="D76" s="39"/>
      <c r="E76" s="39"/>
      <c r="F76" s="39"/>
      <c r="G76" s="39"/>
      <c r="H76" s="39"/>
      <c r="I76" s="30"/>
      <c r="J76" s="30"/>
    </row>
    <row r="77" ht="38" customHeight="1">
      <c r="A77" s="30"/>
      <c r="B77" s="30" t="str">
        <v>Coverage calculation</v>
      </c>
      <c r="C77" s="39" t="str">
        <v>Execution coverage = (Pass + Fail) / (all cases minus N/A). Retest and Blocked are unresolved. Pass rate = Pass / (Pass + Fail). Visual cases are excluded from functional completion only.</v>
      </c>
      <c r="D77" s="39"/>
      <c r="E77" s="39"/>
      <c r="F77" s="39"/>
      <c r="G77" s="39"/>
      <c r="H77" s="39"/>
      <c r="I77" s="30"/>
      <c r="J77" s="30"/>
    </row>
    <row r="78" ht="38" customHeight="1">
      <c r="A78" s="30"/>
      <c r="B78" s="30" t="str">
        <v>Browser coverage</v>
      </c>
      <c r="C78" s="39" t="str">
        <v>Run smoke on current Chromium desktop and a real mobile browser. Repeat primary forms/navigation in Firefox or Safari/Edge. Record actual versions and viewport. Use 390×844, 768×1024 and 1440×900 as layout checkpoints.</v>
      </c>
      <c r="D78" s="39"/>
      <c r="E78" s="39"/>
      <c r="F78" s="39"/>
      <c r="G78" s="39"/>
      <c r="H78" s="39"/>
      <c r="I78" s="30"/>
      <c r="J78" s="30"/>
    </row>
    <row r="79" ht="38" customHeight="1">
      <c r="A79" s="30"/>
      <c r="B79" s="30" t="str">
        <v>Account fixtures</v>
      </c>
      <c r="C79" s="39" t="str">
        <v>Use Accounts for existing identities. Add controlled Mentor verified/unverified, second matching member, expired member, invited learner and instructor as needed. Prepare states; do not grant rights to real users for testing.</v>
      </c>
      <c r="D79" s="39"/>
      <c r="E79" s="39"/>
      <c r="F79" s="39"/>
      <c r="G79" s="39"/>
      <c r="H79" s="39"/>
      <c r="I79" s="30"/>
      <c r="J79" s="30"/>
    </row>
    <row r="80" ht="38" customHeight="1">
      <c r="A80" s="30"/>
      <c r="B80" s="30" t="str">
        <v>Test data</v>
      </c>
      <c r="C80" s="39" t="str">
        <v>Use QA prefixes and synthetic projects, packs, cohorts, votes and addresses. Use controlled inboxes and sandbox billing. Record created IDs for cleanup. Time-bound cases need prepared records or a controlled QA clock.</v>
      </c>
      <c r="D80" s="39"/>
      <c r="E80" s="39"/>
      <c r="F80" s="39"/>
      <c r="G80" s="39"/>
      <c r="H80" s="39"/>
      <c r="I80" s="30"/>
      <c r="J80" s="30"/>
    </row>
    <row r="81" ht="38" customHeight="1">
      <c r="A81" s="30"/>
      <c r="B81" s="30" t="str">
        <v>Evidence</v>
      </c>
      <c r="C81" s="39" t="str">
        <v>For a failure record steps taken, observed versus expected result, URL/build, account persona, browser/viewport and screenshot/video or network error. Remove secrets and private customer data from evidence.</v>
      </c>
      <c r="D81" s="39"/>
      <c r="E81" s="39"/>
      <c r="F81" s="39"/>
      <c r="G81" s="39"/>
      <c r="H81" s="39"/>
      <c r="I81" s="30"/>
      <c r="J81" s="30"/>
    </row>
    <row r="82" ht="38" customHeight="1">
      <c r="A82" s="30"/>
      <c r="B82" s="30" t="str">
        <v>Before cosmetic work</v>
      </c>
      <c r="C82" s="39" t="str">
        <v>Resolve or explicitly triage critical functional/access/privacy failures. Finish the functional checks and review. Use visual evidence as a baseline for later UI, motion and cosmetic work.</v>
      </c>
      <c r="D82" s="39"/>
      <c r="E82" s="39"/>
      <c r="F82" s="39"/>
      <c r="G82" s="39"/>
      <c r="H82" s="39"/>
      <c r="I82" s="30"/>
      <c r="J82" s="30"/>
    </row>
    <row r="83" ht="38" customHeight="1">
      <c r="A83" s="30"/>
      <c r="B83" s="30" t="str">
        <v>History</v>
      </c>
      <c r="C83" s="39" t="str">
        <v>All eight original tabs are retained. This new run starts Not Run throughout. Previous Status and Previous Notes carry context only. Earlier developer claims in Known Issues are not fresh manual results.</v>
      </c>
      <c r="D83" s="39"/>
      <c r="E83" s="39"/>
      <c r="F83" s="39"/>
      <c r="G83" s="39"/>
      <c r="H83" s="39"/>
      <c r="I83" s="30"/>
      <c r="J83" s="30"/>
    </row>
    <row r="84" ht="38" customHeight="1">
      <c r="A84" s="30"/>
      <c r="B84" s="30" t="str">
        <v>Product decisions</v>
      </c>
      <c r="C84" s="39" t="str">
        <v>Known Issues #5, #15, #24, #34, #40, #44 and #46 include requests or unresolved decisions. They are not instructions to implement features. Test present behavior and log follow-ups separately.</v>
      </c>
      <c r="D84" s="39"/>
      <c r="E84" s="39"/>
      <c r="F84" s="39"/>
      <c r="G84" s="39"/>
      <c r="H84" s="39"/>
      <c r="I84" s="30"/>
      <c r="J84" s="30"/>
    </row>
    <row r="85">
      <c r="A85" s="30"/>
      <c r="B85" s="30"/>
      <c r="C85" s="30"/>
      <c r="D85" s="30"/>
      <c r="E85" s="30"/>
      <c r="F85" s="30"/>
      <c r="G85" s="30"/>
      <c r="H85" s="30"/>
      <c r="I85" s="30"/>
      <c r="J85" s="30"/>
    </row>
    <row r="86">
      <c r="A86" s="30"/>
      <c r="B86" s="30"/>
      <c r="C86" s="30"/>
      <c r="D86" s="30"/>
      <c r="E86" s="30"/>
      <c r="F86" s="30"/>
      <c r="G86" s="30"/>
      <c r="H86" s="30"/>
      <c r="I86" s="30"/>
      <c r="J86" s="30"/>
    </row>
    <row r="87" ht="24" customHeight="1">
      <c r="A87" s="30"/>
      <c r="B87" s="34" t="str">
        <v>Effective feature flags for this tested deployment</v>
      </c>
      <c r="C87" s="34"/>
      <c r="D87" s="34"/>
      <c r="E87" s="34"/>
      <c r="F87" s="34"/>
      <c r="G87" s="34"/>
      <c r="H87" s="34"/>
      <c r="I87" s="30"/>
      <c r="J87" s="30"/>
    </row>
    <row r="88" ht="32" customHeight="1">
      <c r="A88" s="30"/>
      <c r="B88" s="39" t="str">
        <v>GO_MATCHMAKING_ENABLED</v>
      </c>
      <c r="C88" s="39"/>
      <c r="D88" s="44" t="str">
        <v>Unverified</v>
      </c>
      <c r="E88" s="39"/>
      <c r="F88" s="39" t="str">
        <v>Production default on. Preview default off.</v>
      </c>
      <c r="G88" s="39"/>
      <c r="H88" s="39"/>
      <c r="I88" s="30"/>
      <c r="J88" s="30"/>
    </row>
    <row r="89" ht="32" customHeight="1">
      <c r="A89" s="30"/>
      <c r="B89" s="39" t="str">
        <v>GO_DEVELOPMENT_JOURNEY_ENABLED</v>
      </c>
      <c r="C89" s="39"/>
      <c r="D89" s="44" t="str">
        <v>Unverified</v>
      </c>
      <c r="E89" s="39"/>
      <c r="F89" s="39" t="str">
        <v>Default off. Test enabled and disabled behavior in QA.</v>
      </c>
      <c r="G89" s="39"/>
      <c r="H89" s="39"/>
      <c r="I89" s="30"/>
      <c r="J89" s="30"/>
    </row>
    <row r="90" ht="32" customHeight="1">
      <c r="A90" s="30"/>
      <c r="B90" s="39" t="str">
        <v>GO_GAME_JAMS_ENABLED</v>
      </c>
      <c r="C90" s="39"/>
      <c r="D90" s="44" t="str">
        <v>Unverified</v>
      </c>
      <c r="E90" s="39"/>
      <c r="F90" s="39" t="str">
        <v>Default off. Separate RSVP from verified attendance.</v>
      </c>
      <c r="G90" s="39"/>
      <c r="H90" s="39"/>
      <c r="I90" s="30"/>
      <c r="J90" s="30"/>
    </row>
    <row r="91" ht="32" customHeight="1">
      <c r="A91" s="30"/>
      <c r="B91" s="39" t="str">
        <v>COURSE_ENROLLMENT_ENABLED</v>
      </c>
      <c r="C91" s="39"/>
      <c r="D91" s="44" t="str">
        <v>Unverified</v>
      </c>
      <c r="E91" s="39"/>
      <c r="F91" s="39" t="str">
        <v>Default off. Enrollment requires effective enablement.</v>
      </c>
      <c r="G91" s="39"/>
      <c r="H91" s="39"/>
      <c r="I91" s="30"/>
      <c r="J91" s="30"/>
    </row>
    <row r="92" ht="32" customHeight="1">
      <c r="A92" s="30"/>
      <c r="B92" s="39" t="str">
        <v>VIDEO_BUNDLES_ENABLED</v>
      </c>
      <c r="C92" s="39"/>
      <c r="D92" s="44" t="str">
        <v>Unverified</v>
      </c>
      <c r="E92" s="39"/>
      <c r="F92" s="39" t="str">
        <v>Default off.</v>
      </c>
      <c r="G92" s="39"/>
      <c r="H92" s="39"/>
      <c r="I92" s="30"/>
      <c r="J92" s="30"/>
    </row>
    <row r="93" ht="32" customHeight="1">
      <c r="A93" s="30"/>
      <c r="B93" s="39" t="str">
        <v>USER_NOTIFICATIONS_ENABLED</v>
      </c>
      <c r="C93" s="39"/>
      <c r="D93" s="44" t="str">
        <v>Unverified</v>
      </c>
      <c r="E93" s="39"/>
      <c r="F93" s="39" t="str">
        <v>Default off.</v>
      </c>
      <c r="G93" s="39"/>
      <c r="H93" s="39"/>
      <c r="I93" s="30"/>
      <c r="J93" s="30"/>
    </row>
    <row r="94" ht="32" customHeight="1">
      <c r="A94" s="30"/>
      <c r="B94" s="39" t="str">
        <v>MENTOR_DIRECTORY_ENABLED</v>
      </c>
      <c r="C94" s="39"/>
      <c r="D94" s="44" t="str">
        <v>Unverified</v>
      </c>
      <c r="E94" s="39"/>
      <c r="F94" s="39" t="str">
        <v>Normally enabled at runtime.</v>
      </c>
      <c r="G94" s="39"/>
      <c r="H94" s="39"/>
      <c r="I94" s="30"/>
      <c r="J94" s="30"/>
    </row>
    <row r="95" ht="32" customHeight="1">
      <c r="A95" s="30"/>
      <c r="B95" s="39" t="str">
        <v>MENTOR_AVAILABILITY_ENABLED</v>
      </c>
      <c r="C95" s="39"/>
      <c r="D95" s="44" t="str">
        <v>Unverified</v>
      </c>
      <c r="E95" s="39"/>
      <c r="F95" s="39" t="str">
        <v>Normally enabled at runtime.</v>
      </c>
      <c r="G95" s="39"/>
      <c r="H95" s="39"/>
      <c r="I95" s="30"/>
      <c r="J95" s="30"/>
    </row>
    <row r="96" ht="32" customHeight="1">
      <c r="A96" s="30"/>
      <c r="B96" s="39" t="str">
        <v>MENTOR_CHECKOUT_ENABLED</v>
      </c>
      <c r="C96" s="39"/>
      <c r="D96" s="44" t="str">
        <v>Unverified</v>
      </c>
      <c r="E96" s="39"/>
      <c r="F96" s="39" t="str">
        <v>Default on. Purchase does not verify mentor.</v>
      </c>
      <c r="G96" s="39"/>
      <c r="H96" s="39"/>
      <c r="I96" s="30"/>
      <c r="J96" s="30"/>
    </row>
    <row r="97" ht="32" customHeight="1">
      <c r="A97" s="30"/>
      <c r="B97" s="39" t="str">
        <v>COMMUNITY_ASSET_SUBMISSIONS_ENABLED</v>
      </c>
      <c r="C97" s="39"/>
      <c r="D97" s="44" t="str">
        <v>Unverified</v>
      </c>
      <c r="E97" s="39"/>
      <c r="F97" s="39" t="str">
        <v>Default follows production runtime.</v>
      </c>
      <c r="G97" s="39"/>
      <c r="H97" s="39"/>
      <c r="I97" s="30"/>
      <c r="J97" s="30"/>
    </row>
    <row r="98" ht="32" customHeight="1">
      <c r="A98" s="30"/>
      <c r="B98" s="39" t="str">
        <v>MENTORSHIP_SYSTEM_ENABLED / REQUESTS</v>
      </c>
      <c r="C98" s="39"/>
      <c r="D98" s="44" t="str">
        <v>Unverified</v>
      </c>
      <c r="E98" s="39"/>
      <c r="F98" s="39" t="str">
        <v>Default on. Record overrides and application setting.</v>
      </c>
      <c r="G98" s="39"/>
      <c r="H98" s="39"/>
      <c r="I98" s="30"/>
      <c r="J98" s="30"/>
    </row>
    <row r="99" ht="32" customHeight="1">
      <c r="A99" s="30"/>
      <c r="B99" s="39" t="str">
        <v>NEWSLETTER_ENABLED</v>
      </c>
      <c r="C99" s="39"/>
      <c r="D99" s="44" t="str">
        <v>Unverified</v>
      </c>
      <c r="E99" s="39"/>
      <c r="F99" s="39" t="str">
        <v>Record actual environment setting.</v>
      </c>
      <c r="G99" s="39"/>
      <c r="H99" s="39"/>
      <c r="I99" s="30"/>
      <c r="J99" s="30"/>
    </row>
    <row r="100">
      <c r="A100" s="30"/>
      <c r="B100" s="30"/>
      <c r="C100" s="30"/>
      <c r="D100" s="30"/>
      <c r="E100" s="30"/>
      <c r="F100" s="30"/>
      <c r="G100" s="30"/>
      <c r="H100" s="30"/>
      <c r="I100" s="30"/>
      <c r="J100" s="30"/>
    </row>
    <row r="101">
      <c r="A101" s="30"/>
      <c r="B101" s="30"/>
      <c r="C101" s="30"/>
      <c r="D101" s="30"/>
      <c r="E101" s="30"/>
      <c r="F101" s="30"/>
      <c r="G101" s="30"/>
      <c r="H101" s="30"/>
      <c r="I101" s="30"/>
      <c r="J101" s="30"/>
    </row>
    <row r="102" ht="24" customHeight="1">
      <c r="A102" s="30"/>
      <c r="B102" s="34" t="str">
        <v>Coverage reference</v>
      </c>
      <c r="C102" s="34"/>
      <c r="D102" s="34"/>
      <c r="E102" s="34"/>
      <c r="F102" s="34"/>
      <c r="G102" s="34"/>
      <c r="H102" s="34"/>
      <c r="I102" s="30"/>
      <c r="J102" s="30"/>
    </row>
    <row r="103" ht="40" customHeight="1">
      <c r="A103" s="30"/>
      <c r="B103" s="39" t="str">
        <v>Baseline</v>
      </c>
      <c r="C103" s="39" t="str">
        <v>Website Test Suite (2).xlsx. V 1.8 TEST contains 528 cases. Prior test rounds and Known Issues are retained in their original tabs.</v>
      </c>
      <c r="D103" s="39"/>
      <c r="E103" s="39"/>
      <c r="F103" s="39"/>
      <c r="G103" s="39"/>
      <c r="H103" s="39"/>
      <c r="I103" s="30"/>
      <c r="J103" s="30"/>
    </row>
    <row r="104" ht="40" customHeight="1">
      <c r="A104" s="30"/>
      <c r="B104" s="39" t="str">
        <v>Reviewed code</v>
      </c>
      <c r="C104" s="39" t="str">
        <v>Repository commit 5e7a261, 27 October 2026. Local committed implementation reviewed on 28 October 2026. Actual tested deployment/build must be entered separately.</v>
      </c>
      <c r="D104" s="39"/>
      <c r="E104" s="39"/>
      <c r="F104" s="39"/>
      <c r="G104" s="39"/>
      <c r="H104" s="39"/>
      <c r="I104" s="30"/>
      <c r="J104" s="30"/>
    </row>
    <row r="105" ht="40" customHeight="1">
      <c r="A105" s="30"/>
      <c r="B105" s="39" t="str">
        <v>Membership and projects</v>
      </c>
      <c r="C105" s="39" t="str">
        <v>src/constants/membership.js, src/lib/go-policy.js, src/lib/project-capacity.js. Free Passport. Community/Mentor one unreleased own-game slot. Business agreed capacity. Mentor interview is separate from purchase.</v>
      </c>
      <c r="D105" s="39"/>
      <c r="E105" s="39"/>
      <c r="F105" s="39"/>
      <c r="G105" s="39"/>
      <c r="H105" s="39"/>
      <c r="I105" s="30"/>
      <c r="J105" s="30"/>
    </row>
    <row r="106" ht="40" customHeight="1">
      <c r="A106" s="30"/>
      <c r="B106" s="39" t="str">
        <v>Feature availability</v>
      </c>
      <c r="C106" s="39" t="str">
        <v>src/lib/product-config.js, commit a8580c9. Team matchmaking defaults on for production, off for previews. Journey/jams and several product features are gated. Effective deployment overrides are not verified.</v>
      </c>
      <c r="D106" s="39"/>
      <c r="E106" s="39"/>
      <c r="F106" s="39"/>
      <c r="G106" s="39"/>
      <c r="H106" s="39"/>
      <c r="I106" s="30"/>
      <c r="J106" s="30"/>
    </row>
    <row r="107" ht="40" customHeight="1">
      <c r="A107" s="30"/>
      <c r="B107" s="39" t="str">
        <v>Learning</v>
      </c>
      <c r="C107" s="39" t="str">
        <v>docs/STARTER_PATHWAY_RELEASE.md, docs/IDEA_TO_PLAYABLE_RELEASE.md. Current course placement, private evidence, XP, cohorts, physical-seat policy, human assessment and recording access.</v>
      </c>
      <c r="D107" s="39"/>
      <c r="E107" s="39"/>
      <c r="F107" s="39"/>
      <c r="G107" s="39"/>
      <c r="H107" s="39"/>
      <c r="I107" s="30"/>
      <c r="J107" s="30"/>
    </row>
    <row r="108" ht="40" customHeight="1">
      <c r="A108" s="30"/>
      <c r="B108" s="39" t="str">
        <v>Community</v>
      </c>
      <c r="C108" s="39" t="str">
        <v>docs/MONDAY_BUILDS_AND_PASSPORT_STAMPS.md, src/lib/go-journey-service.js. Weekly voting, official awards, explicit matching opt-in and privacy.</v>
      </c>
      <c r="D108" s="39"/>
      <c r="E108" s="39"/>
      <c r="F108" s="39"/>
      <c r="G108" s="39"/>
      <c r="H108" s="39"/>
      <c r="I108" s="30"/>
      <c r="J108" s="30"/>
    </row>
    <row r="109" ht="40" customHeight="1">
      <c r="A109" s="30"/>
      <c r="B109" s="39" t="str">
        <v>Merch</v>
      </c>
      <c r="C109" s="39" t="str">
        <v>src/lib/merch-core.js, src/lib/merch-server.js, docs/RELEASE-HANDOFF-2026-10-23.md. Reservations, independent duo selection, confirmation, retry, fulfillment and retention. The later flag code overrides older handoff defaults.</v>
      </c>
      <c r="D109" s="39"/>
      <c r="E109" s="39"/>
      <c r="F109" s="39"/>
      <c r="G109" s="39"/>
      <c r="H109" s="39"/>
      <c r="I109" s="30"/>
      <c r="J109" s="30"/>
    </row>
    <row r="110" ht="40" customHeight="1">
      <c r="A110" s="30"/>
      <c r="B110" s="39" t="str">
        <v>Mentorship and support</v>
      </c>
      <c r="C110" s="39" t="str">
        <v>src/lib/mentorship.js, src/components/mentors/MentorshipRequestWorkspace.jsx, src/lib/support-tickets.js. Staff review before forwarding, agreement lifecycle, private support and role checks.</v>
      </c>
      <c r="D110" s="39"/>
      <c r="E110" s="39"/>
      <c r="F110" s="39"/>
      <c r="G110" s="39"/>
      <c r="H110" s="39"/>
      <c r="I110" s="30"/>
      <c r="J110" s="30"/>
    </row>
    <row r="111">
      <c r="A111" s="30"/>
      <c r="B111" s="30"/>
      <c r="C111" s="30"/>
      <c r="D111" s="30"/>
      <c r="E111" s="30"/>
      <c r="F111" s="30"/>
      <c r="G111" s="30"/>
      <c r="H111" s="30"/>
      <c r="I111" s="30"/>
      <c r="J111" s="30"/>
    </row>
    <row r="112">
      <c r="A112" s="30"/>
      <c r="B112" s="30"/>
      <c r="C112" s="30"/>
      <c r="D112" s="30"/>
      <c r="E112" s="30"/>
      <c r="F112" s="30"/>
      <c r="G112" s="30"/>
      <c r="H112" s="30"/>
      <c r="I112" s="30"/>
      <c r="J112" s="30"/>
    </row>
    <row r="113">
      <c r="A113" s="30"/>
      <c r="B113" s="30"/>
      <c r="C113" s="30"/>
      <c r="D113" s="30"/>
      <c r="E113" s="30"/>
      <c r="F113" s="30"/>
      <c r="G113" s="30"/>
      <c r="H113" s="30"/>
      <c r="I113" s="30"/>
      <c r="J113" s="30"/>
    </row>
  </sheetData>
  <mergeCells>
    <mergeCell ref="G19:H19"/>
    <mergeCell ref="G20:H20"/>
    <mergeCell ref="G21:H21"/>
    <mergeCell ref="G22:H22"/>
    <mergeCell ref="G23:H23"/>
    <mergeCell ref="G24:H24"/>
    <mergeCell ref="C74:H74"/>
    <mergeCell ref="C75:H75"/>
    <mergeCell ref="C76:H76"/>
    <mergeCell ref="C77:H77"/>
    <mergeCell ref="C78:H78"/>
    <mergeCell ref="C79:H79"/>
    <mergeCell ref="C80:H80"/>
    <mergeCell ref="C81:H81"/>
    <mergeCell ref="C82:H82"/>
    <mergeCell ref="C83:H83"/>
    <mergeCell ref="C84:H84"/>
    <mergeCell ref="B88:C88"/>
    <mergeCell ref="F88:H88"/>
    <mergeCell ref="B89:C89"/>
    <mergeCell ref="F89:H89"/>
    <mergeCell ref="B90:C90"/>
    <mergeCell ref="F90:H90"/>
    <mergeCell ref="B91:C91"/>
    <mergeCell ref="F91:H91"/>
    <mergeCell ref="B92:C92"/>
    <mergeCell ref="F92:H92"/>
    <mergeCell ref="B93:C93"/>
    <mergeCell ref="F93:H93"/>
    <mergeCell ref="B94:C94"/>
    <mergeCell ref="F94:H94"/>
    <mergeCell ref="B95:C95"/>
    <mergeCell ref="F95:H95"/>
    <mergeCell ref="B96:C96"/>
    <mergeCell ref="F96:H96"/>
    <mergeCell ref="B97:C97"/>
    <mergeCell ref="F97:H97"/>
    <mergeCell ref="B98:C98"/>
    <mergeCell ref="F98:H98"/>
    <mergeCell ref="B99:C99"/>
    <mergeCell ref="F99:H99"/>
    <mergeCell ref="C103:H103"/>
    <mergeCell ref="C104:H104"/>
    <mergeCell ref="C105:H105"/>
    <mergeCell ref="C106:H106"/>
    <mergeCell ref="C107:H107"/>
    <mergeCell ref="C108:H108"/>
    <mergeCell ref="C109:H109"/>
    <mergeCell ref="C110:H110"/>
  </mergeCells>
  <conditionalFormatting sqref="C7:C12">
    <cfRule type="cellIs" dxfId="12" priority="1" operator="greaterThan">
      <formula>0</formula>
    </cfRule>
  </conditionalFormatting>
  <conditionalFormatting sqref="C8:C10">
    <cfRule type="cellIs" dxfId="13" priority="2" operator="greaterThan">
      <formula>0</formula>
    </cfRule>
  </conditionalFormatting>
  <dataValidations count="14">
    <dataValidation type="list" sqref="G6">
      <formula1>"To complete,Local QA,Preview / Staging,Production read-only"</formula1>
    </dataValidation>
    <dataValidation type="list" sqref="G14">
      <formula1>"Not reviewed,Approved,Hold"</formula1>
    </dataValidation>
    <dataValidation type="list" sqref="D88">
      <formula1>"Unverified,On,Off,Mixed"</formula1>
    </dataValidation>
    <dataValidation type="list" sqref="D89">
      <formula1>"Unverified,On,Off,Mixed"</formula1>
    </dataValidation>
    <dataValidation type="list" sqref="D90">
      <formula1>"Unverified,On,Off,Mixed"</formula1>
    </dataValidation>
    <dataValidation type="list" sqref="D91">
      <formula1>"Unverified,On,Off,Mixed"</formula1>
    </dataValidation>
    <dataValidation type="list" sqref="D92">
      <formula1>"Unverified,On,Off,Mixed"</formula1>
    </dataValidation>
    <dataValidation type="list" sqref="D93">
      <formula1>"Unverified,On,Off,Mixed"</formula1>
    </dataValidation>
    <dataValidation type="list" sqref="D94">
      <formula1>"Unverified,On,Off,Mixed"</formula1>
    </dataValidation>
    <dataValidation type="list" sqref="D95">
      <formula1>"Unverified,On,Off,Mixed"</formula1>
    </dataValidation>
    <dataValidation type="list" sqref="D96">
      <formula1>"Unverified,On,Off,Mixed"</formula1>
    </dataValidation>
    <dataValidation type="list" sqref="D97">
      <formula1>"Unverified,On,Off,Mixed"</formula1>
    </dataValidation>
    <dataValidation type="list" sqref="D98">
      <formula1>"Unverified,On,Off,Mixed"</formula1>
    </dataValidation>
    <dataValidation type="list" sqref="D99">
      <formula1>"Unverified,On,Off,Mixed"</formula1>
    </dataValidation>
  </dataValidations>
  <pageMargins left="0.7" right="0.7" top="0.75" bottom="0.75" header="0.3" footer="0.3"/>
</worksheet>
</file>

<file path=xl/qa19/worksheets/sheet2.xml><?xml version="1.0" encoding="utf-8"?>
<worksheet xmlns="http://schemas.openxmlformats.org/spreadsheetml/2006/main" xmlns:r="http://schemas.openxmlformats.org/officeDocument/2006/relationships">
  <sheetPr>
    <tabColor rgb="FF2247B8"/>
  </sheetPr>
  <sheetViews>
    <sheetView showGridLines="0" workbookViewId="0">
      <pane xSplit="2" ySplit="1" topLeftCell="C2" activePane="bottomRight" state="frozen"/>
    </sheetView>
  </sheetViews>
  <sheetFormatPr defaultRowHeight="15"/>
  <cols>
    <col min="1" max="1" width="14" hidden="0" customWidth="1"/>
    <col min="2" max="2" width="17" hidden="0" customWidth="1"/>
    <col min="3" max="3" width="28" hidden="0" customWidth="1"/>
    <col min="4" max="4" width="62" hidden="0" customWidth="1"/>
    <col min="5" max="5" width="62" hidden="0" customWidth="1"/>
    <col min="6" max="6" width="36" hidden="0" customWidth="1"/>
    <col min="7" max="7" width="10" hidden="0" customWidth="1"/>
    <col min="8" max="8" width="28" hidden="0" customWidth="1"/>
    <col min="9" max="9" width="56" hidden="0" customWidth="1"/>
    <col min="10" max="10" width="15" hidden="0" customWidth="1"/>
    <col min="11" max="11" width="48" hidden="0" customWidth="1"/>
    <col min="12" max="12" width="42" hidden="0" customWidth="1"/>
    <col min="13" max="13" width="34" hidden="0" customWidth="1"/>
    <col min="14" max="14" width="15" hidden="0" customWidth="1"/>
    <col min="15" max="15" width="22" hidden="0" customWidth="1"/>
    <col min="16" max="16" width="25" hidden="0" customWidth="1"/>
    <col min="17" max="17" width="34" hidden="0" customWidth="1"/>
    <col min="18" max="18" width="43" hidden="0" customWidth="1"/>
    <col min="19" max="19" width="17" hidden="0" customWidth="1"/>
    <col min="20" max="20" width="55" hidden="0" customWidth="1"/>
    <col min="21" max="21" width="14" hidden="0" customWidth="1"/>
  </cols>
  <sheetData>
    <row r="1" ht="31" customHeight="1">
      <c r="A1" s="23" t="str">
        <v>Status</v>
      </c>
      <c r="B1" s="23" t="str">
        <v>Test ID</v>
      </c>
      <c r="C1" s="23" t="str">
        <v>Suite</v>
      </c>
      <c r="D1" s="23" t="str">
        <v>Steps</v>
      </c>
      <c r="E1" s="23" t="str">
        <v>Expected Result</v>
      </c>
      <c r="F1" s="23" t="str">
        <v>Feature</v>
      </c>
      <c r="G1" s="23" t="str">
        <v>Priority</v>
      </c>
      <c r="H1" s="23" t="str">
        <v>Persona</v>
      </c>
      <c r="I1" s="23" t="str">
        <v>Preconditions</v>
      </c>
      <c r="J1" s="23" t="str">
        <v>Run Set</v>
      </c>
      <c r="K1" s="23" t="str">
        <v>Actual Result</v>
      </c>
      <c r="L1" s="23" t="str">
        <v>Notes</v>
      </c>
      <c r="M1" s="23" t="str">
        <v>Evidence Link</v>
      </c>
      <c r="N1" s="23" t="str">
        <v>Run Date</v>
      </c>
      <c r="O1" s="23" t="str">
        <v>Tester</v>
      </c>
      <c r="P1" s="23" t="str">
        <v>Browser / Viewport</v>
      </c>
      <c r="Q1" s="23" t="str">
        <v>Issue Link</v>
      </c>
      <c r="R1" s="23" t="str">
        <v>Scope / Feature Flag</v>
      </c>
      <c r="S1" s="23" t="str">
        <v>Previous Status</v>
      </c>
      <c r="T1" s="23" t="str">
        <v>Previous Notes / Source</v>
      </c>
      <c r="U1" s="23" t="str">
        <v>Change</v>
      </c>
    </row>
    <row r="2" ht="60" customHeight="1">
      <c r="A2" s="25" t="str">
        <v>Not Run</v>
      </c>
      <c r="B2" s="19" t="str">
        <v>GO-MAN-001</v>
      </c>
      <c r="C2" s="19" t="str">
        <v>Public Website</v>
      </c>
      <c r="D2" s="19" t="str">
        <v>Open the home page; wait for the page to fully load; check above-the-fold content; scroll to bottom</v>
      </c>
      <c r="E2" s="19" t="str">
        <v>Home page loads without console-visible broken UI; main brand/content is clear; no missing critical images; footer is reachable</v>
      </c>
      <c r="F2" s="19" t="str">
        <v>Home page load</v>
      </c>
      <c r="G2" s="19" t="str">
        <v>P0</v>
      </c>
      <c r="H2" s="19" t="str">
        <v>Visitor</v>
      </c>
      <c r="I2" s="19" t="str">
        <v>Production or local site is running</v>
      </c>
      <c r="J2" s="19" t="str">
        <v>Smoke</v>
      </c>
      <c r="K2" s="26"/>
      <c r="L2" s="26"/>
      <c r="M2" s="26"/>
      <c r="N2" s="29"/>
      <c r="O2" s="26"/>
      <c r="P2" s="26"/>
      <c r="Q2" s="26"/>
      <c r="R2" s="19" t="str">
        <v>Core</v>
      </c>
      <c r="S2" s="27" t="str">
        <v>Not Run</v>
      </c>
      <c r="T2" s="27" t="str">
        <v>V 1.7 TEST: Functionally clean, however there are multiple improvements to be made on the Landing Page
Bugs will be reported</v>
      </c>
      <c r="U2" s="27" t="str">
        <v>Retained</v>
      </c>
    </row>
    <row r="3" ht="60" customHeight="1">
      <c r="A3" s="25" t="str">
        <v>Not Run</v>
      </c>
      <c r="B3" s="24" t="str">
        <v>GO-MAN-002</v>
      </c>
      <c r="C3" s="24" t="str">
        <v>Public Website</v>
      </c>
      <c r="D3" s="24" t="str">
        <v>Open home page; click each main nav item; use browser back; repeat for logo/home link</v>
      </c>
      <c r="E3" s="24" t="str">
        <v>Every nav item routes to the expected page; no 404; active page content matches navigation label</v>
      </c>
      <c r="F3" s="24" t="str">
        <v>Desktop navigation</v>
      </c>
      <c r="G3" s="24" t="str">
        <v>P0</v>
      </c>
      <c r="H3" s="24" t="str">
        <v>Visitor</v>
      </c>
      <c r="I3" s="24" t="str">
        <v>Site is running on desktop viewport</v>
      </c>
      <c r="J3" s="24" t="str">
        <v>Smoke</v>
      </c>
      <c r="K3" s="26"/>
      <c r="L3" s="26"/>
      <c r="M3" s="26"/>
      <c r="N3" s="29"/>
      <c r="O3" s="26"/>
      <c r="P3" s="26"/>
      <c r="Q3" s="26"/>
      <c r="R3" s="24" t="str">
        <v>Core</v>
      </c>
      <c r="S3" s="28" t="str">
        <v>Not Run</v>
      </c>
      <c r="T3" s="28"/>
      <c r="U3" s="28" t="str">
        <v>Retained</v>
      </c>
    </row>
    <row r="4" ht="60" customHeight="1">
      <c r="A4" s="25" t="str">
        <v>Not Run</v>
      </c>
      <c r="B4" s="19" t="str">
        <v>GO-MAN-003</v>
      </c>
      <c r="C4" s="19" t="str">
        <v>Public Website</v>
      </c>
      <c r="D4" s="19" t="str">
        <v>Resize to mobile or use phone; open mobile menu; tap every nav item; close and reopen menu</v>
      </c>
      <c r="E4" s="19" t="str">
        <v>Mobile menu is usable; links work; menu does not overlap content; menu can be dismissed</v>
      </c>
      <c r="F4" s="19" t="str">
        <v>Mobile navigation</v>
      </c>
      <c r="G4" s="19" t="str">
        <v>P0</v>
      </c>
      <c r="H4" s="19" t="str">
        <v>Visitor</v>
      </c>
      <c r="I4" s="19" t="str">
        <v>Site is running on mobile viewport</v>
      </c>
      <c r="J4" s="19" t="str">
        <v>Smoke</v>
      </c>
      <c r="K4" s="26"/>
      <c r="L4" s="26"/>
      <c r="M4" s="26"/>
      <c r="N4" s="29"/>
      <c r="O4" s="26"/>
      <c r="P4" s="26"/>
      <c r="Q4" s="26"/>
      <c r="R4" s="19" t="str">
        <v>Core</v>
      </c>
      <c r="S4" s="27" t="str">
        <v>Not Run</v>
      </c>
      <c r="T4" s="27"/>
      <c r="U4" s="27" t="str">
        <v>Retained</v>
      </c>
    </row>
    <row r="5" ht="60" customHeight="1">
      <c r="A5" s="25" t="str">
        <v>Not Run</v>
      </c>
      <c r="B5" s="24" t="str">
        <v>GO-MAN-004</v>
      </c>
      <c r="C5" s="24" t="str">
        <v>Public Website</v>
      </c>
      <c r="D5" s="24" t="str">
        <v>Open home page; click primary CTA; return; click secondary CTAs; check destination pages</v>
      </c>
      <c r="E5" s="24" t="str">
        <v>CTAs route to intended signup/pricing/contact/project pages; labels match destination intent</v>
      </c>
      <c r="F5" s="24" t="str">
        <v>Landing CTAs</v>
      </c>
      <c r="G5" s="24" t="str">
        <v>P0</v>
      </c>
      <c r="H5" s="24" t="str">
        <v>Visitor</v>
      </c>
      <c r="I5" s="24" t="str">
        <v>Site is running</v>
      </c>
      <c r="J5" s="24" t="str">
        <v>Regression</v>
      </c>
      <c r="K5" s="26"/>
      <c r="L5" s="26"/>
      <c r="M5" s="26"/>
      <c r="N5" s="29"/>
      <c r="O5" s="26"/>
      <c r="P5" s="26"/>
      <c r="Q5" s="26"/>
      <c r="R5" s="24" t="str">
        <v>Core</v>
      </c>
      <c r="S5" s="28" t="str">
        <v>Not Run</v>
      </c>
      <c r="T5" s="28"/>
      <c r="U5" s="28" t="str">
        <v>Retained</v>
      </c>
    </row>
    <row r="6" ht="60" customHeight="1">
      <c r="A6" s="25" t="str">
        <v>Not Run</v>
      </c>
      <c r="B6" s="19" t="str">
        <v>GO-MAN-005</v>
      </c>
      <c r="C6" s="19" t="str">
        <v>Public Website</v>
      </c>
      <c r="D6" s="19" t="str">
        <v>Check home/pricing/projects/about/FAQ pages at 390px 768px and desktop widths</v>
      </c>
      <c r="E6" s="19" t="str">
        <v>No horizontal scrolling; text does not overlap; buttons fit; sections remain readable</v>
      </c>
      <c r="F6" s="19" t="str">
        <v>Responsive layout</v>
      </c>
      <c r="G6" s="19" t="str">
        <v>P1</v>
      </c>
      <c r="H6" s="19" t="str">
        <v>Visitor</v>
      </c>
      <c r="I6" s="19" t="str">
        <v>Use desktop tablet and mobile widths</v>
      </c>
      <c r="J6" s="19" t="str">
        <v>Regression</v>
      </c>
      <c r="K6" s="26"/>
      <c r="L6" s="26"/>
      <c r="M6" s="26"/>
      <c r="N6" s="29"/>
      <c r="O6" s="26"/>
      <c r="P6" s="26"/>
      <c r="Q6" s="26"/>
      <c r="R6" s="19" t="str">
        <v>Core</v>
      </c>
      <c r="S6" s="27" t="str">
        <v>Not Run</v>
      </c>
      <c r="T6" s="27"/>
      <c r="U6" s="27" t="str">
        <v>Retained</v>
      </c>
    </row>
    <row r="7" ht="60" customHeight="1">
      <c r="A7" s="25" t="str">
        <v>Not Run</v>
      </c>
      <c r="B7" s="24" t="str">
        <v>GO-MAN-006</v>
      </c>
      <c r="C7" s="24" t="str">
        <v>Public Website</v>
      </c>
      <c r="D7" s="24" t="str">
        <v>Open key public pages; look for broken images/icons; refresh once</v>
      </c>
      <c r="E7" s="24" t="str">
        <v>Images/icons render correctly; no obvious layout jumps due to missing assets</v>
      </c>
      <c r="F7" s="24" t="str">
        <v>Image and asset loading</v>
      </c>
      <c r="G7" s="24" t="str">
        <v>P1</v>
      </c>
      <c r="H7" s="24" t="str">
        <v>Visitor</v>
      </c>
      <c r="I7" s="24" t="str">
        <v>Site is running</v>
      </c>
      <c r="J7" s="24" t="str">
        <v>Regression</v>
      </c>
      <c r="K7" s="26"/>
      <c r="L7" s="26"/>
      <c r="M7" s="26"/>
      <c r="N7" s="29"/>
      <c r="O7" s="26"/>
      <c r="P7" s="26"/>
      <c r="Q7" s="26"/>
      <c r="R7" s="24" t="str">
        <v>Core</v>
      </c>
      <c r="S7" s="28" t="str">
        <v>Not Run</v>
      </c>
      <c r="T7" s="28"/>
      <c r="U7" s="28" t="str">
        <v>Retained</v>
      </c>
    </row>
    <row r="8" ht="64" customHeight="1">
      <c r="A8" s="25" t="str">
        <v>Not Run</v>
      </c>
      <c r="B8" s="19" t="str">
        <v>GO-MAN-007</v>
      </c>
      <c r="C8" s="19" t="str">
        <v>Public Website</v>
      </c>
      <c r="D8" s="19" t="str">
        <v>Open FAQ; expand/collapse each FAQ item; check links if present</v>
      </c>
      <c r="E8" s="19" t="str">
        <v>FAQ controls work; content is readable; links open expected destinations</v>
      </c>
      <c r="F8" s="19" t="str">
        <v>FAQ page</v>
      </c>
      <c r="G8" s="19" t="str">
        <v>P1</v>
      </c>
      <c r="H8" s="19" t="str">
        <v>Visitor</v>
      </c>
      <c r="I8" s="19" t="str">
        <v>FAQ page exists</v>
      </c>
      <c r="J8" s="19" t="str">
        <v>Regression</v>
      </c>
      <c r="K8" s="26"/>
      <c r="L8" s="26"/>
      <c r="M8" s="26"/>
      <c r="N8" s="29"/>
      <c r="O8" s="26"/>
      <c r="P8" s="26"/>
      <c r="Q8" s="26"/>
      <c r="R8" s="19" t="str">
        <v>Core</v>
      </c>
      <c r="S8" s="27" t="str">
        <v>Retest</v>
      </c>
      <c r="T8" s="27" t="str">
        <v>V 1.7 TEST: Functionality is there but test is failed but the information is innacurate, we need to update the FAQ to reflect the real business proposition we are offering</v>
      </c>
      <c r="U8" s="27" t="str">
        <v>Retained</v>
      </c>
    </row>
    <row r="9" ht="64" customHeight="1">
      <c r="A9" s="25" t="str">
        <v>Not Run</v>
      </c>
      <c r="B9" s="24" t="str">
        <v>GO-MAN-008</v>
      </c>
      <c r="C9" s="24" t="str">
        <v>Public Website</v>
      </c>
      <c r="D9" s="24" t="str">
        <v>Open About; scan page content; test visible links/buttons</v>
      </c>
      <c r="E9" s="24" t="str">
        <v>About content is readable and current; links/buttons work; no typo-heavy or placeholder content</v>
      </c>
      <c r="F9" s="24" t="str">
        <v>About page</v>
      </c>
      <c r="G9" s="24" t="str">
        <v>P1</v>
      </c>
      <c r="H9" s="24" t="str">
        <v>Visitor</v>
      </c>
      <c r="I9" s="24" t="str">
        <v>About page exists</v>
      </c>
      <c r="J9" s="24" t="str">
        <v>Regression</v>
      </c>
      <c r="K9" s="26"/>
      <c r="L9" s="26"/>
      <c r="M9" s="26"/>
      <c r="N9" s="29"/>
      <c r="O9" s="26"/>
      <c r="P9" s="26"/>
      <c r="Q9" s="26"/>
      <c r="R9" s="24" t="str">
        <v>Core</v>
      </c>
      <c r="S9" s="28" t="str">
        <v>Retest</v>
      </c>
      <c r="T9" s="28" t="str">
        <v>V 1.7 TEST: Functionality is there but test is failed but the information is innacurate, we need to update the ABOIT US to reflect the real business proposition we are offering</v>
      </c>
      <c r="U9" s="28" t="str">
        <v>Retained</v>
      </c>
    </row>
    <row r="10" ht="60" customHeight="1">
      <c r="A10" s="25" t="str">
        <v>Not Run</v>
      </c>
      <c r="B10" s="19" t="str">
        <v>GO-MAN-009</v>
      </c>
      <c r="C10" s="19" t="str">
        <v>Public Website</v>
      </c>
      <c r="D10" s="19" t="str">
        <v>Open pricing page; inspect all tiers and intervals; toggle monthly/annual if available</v>
      </c>
      <c r="E10" s="19" t="str">
        <v>Pricing is understandable; member vs company benefits are clear; checkout buttons are visible</v>
      </c>
      <c r="F10" s="19" t="str">
        <v>Pricing page</v>
      </c>
      <c r="G10" s="19" t="str">
        <v>P0</v>
      </c>
      <c r="H10" s="19" t="str">
        <v>Visitor</v>
      </c>
      <c r="I10" s="19" t="str">
        <v>Polar products configured</v>
      </c>
      <c r="J10" s="19" t="str">
        <v>Smoke</v>
      </c>
      <c r="K10" s="26"/>
      <c r="L10" s="26"/>
      <c r="M10" s="26"/>
      <c r="N10" s="29"/>
      <c r="O10" s="26"/>
      <c r="P10" s="26"/>
      <c r="Q10" s="26"/>
      <c r="R10" s="19" t="str">
        <v>Core</v>
      </c>
      <c r="S10" s="27" t="str">
        <v>Not Run</v>
      </c>
      <c r="T10" s="27" t="str">
        <v>V 1.7 TEST: We offer a community newsletter but we don't have one. See what we need in order to have one.</v>
      </c>
      <c r="U10" s="27" t="str">
        <v>Retained</v>
      </c>
    </row>
    <row r="11" ht="60" customHeight="1">
      <c r="A11" s="25" t="str">
        <v>Not Run</v>
      </c>
      <c r="B11" s="24" t="str">
        <v>GO-MAN-010</v>
      </c>
      <c r="C11" s="24" t="str">
        <v>Public Website</v>
      </c>
      <c r="D11" s="24" t="str">
        <v>Open a nonsense URL such as /this-page-does-not-exist</v>
      </c>
      <c r="E11" s="24" t="str">
        <v>User sees a graceful not-found or redirect experience; no raw error stack</v>
      </c>
      <c r="F11" s="24" t="str">
        <v>404/not-found experience</v>
      </c>
      <c r="G11" s="24" t="str">
        <v>P2</v>
      </c>
      <c r="H11" s="24" t="str">
        <v>Visitor</v>
      </c>
      <c r="I11" s="24" t="str">
        <v>Site is running</v>
      </c>
      <c r="J11" s="24" t="str">
        <v>Regression</v>
      </c>
      <c r="K11" s="26"/>
      <c r="L11" s="26"/>
      <c r="M11" s="26"/>
      <c r="N11" s="29"/>
      <c r="O11" s="26"/>
      <c r="P11" s="26"/>
      <c r="Q11" s="26"/>
      <c r="R11" s="24" t="str">
        <v>Core</v>
      </c>
      <c r="S11" s="28" t="str">
        <v>Not Run</v>
      </c>
      <c r="T11" s="28"/>
      <c r="U11" s="28" t="str">
        <v>Retained</v>
      </c>
    </row>
    <row r="12" ht="60" customHeight="1">
      <c r="A12" s="25" t="str">
        <v>Not Run</v>
      </c>
      <c r="B12" s="19" t="str">
        <v>GO-MAN-011</v>
      </c>
      <c r="C12" s="19" t="str">
        <v>Auth</v>
      </c>
      <c r="D12" s="19" t="str">
        <v>Open signup; create account; complete required fields; submit</v>
      </c>
      <c r="E12" s="19" t="str">
        <v>Account is created; user lands on expected next page; no duplicate or confusing messages</v>
      </c>
      <c r="F12" s="19" t="str">
        <v>Signup flow</v>
      </c>
      <c r="G12" s="19" t="str">
        <v>P0</v>
      </c>
      <c r="H12" s="19" t="str">
        <v>Visitor</v>
      </c>
      <c r="I12" s="19" t="str">
        <v>Test email available</v>
      </c>
      <c r="J12" s="19" t="str">
        <v>Smoke</v>
      </c>
      <c r="K12" s="26"/>
      <c r="L12" s="26"/>
      <c r="M12" s="26"/>
      <c r="N12" s="29"/>
      <c r="O12" s="26"/>
      <c r="P12" s="26"/>
      <c r="Q12" s="26"/>
      <c r="R12" s="19" t="str">
        <v>Core</v>
      </c>
      <c r="S12" s="27" t="str">
        <v>Not Run</v>
      </c>
      <c r="T12" s="27"/>
      <c r="U12" s="27" t="str">
        <v>Retained</v>
      </c>
    </row>
    <row r="13" ht="60" customHeight="1">
      <c r="A13" s="25" t="str">
        <v>Not Run</v>
      </c>
      <c r="B13" s="24" t="str">
        <v>GO-MAN-012</v>
      </c>
      <c r="C13" s="24" t="str">
        <v>Auth</v>
      </c>
      <c r="D13" s="24" t="str">
        <v>Open login; enter valid credentials; submit</v>
      </c>
      <c r="E13" s="24" t="str">
        <v>User logs in; protected nav/profile state appears; no unexpected redirect loop</v>
      </c>
      <c r="F13" s="24" t="str">
        <v>Login flow</v>
      </c>
      <c r="G13" s="24" t="str">
        <v>P0</v>
      </c>
      <c r="H13" s="24" t="str">
        <v>Free User</v>
      </c>
      <c r="I13" s="24" t="str">
        <v>Existing account available</v>
      </c>
      <c r="J13" s="24" t="str">
        <v>Smoke</v>
      </c>
      <c r="K13" s="26"/>
      <c r="L13" s="26"/>
      <c r="M13" s="26"/>
      <c r="N13" s="29"/>
      <c r="O13" s="26"/>
      <c r="P13" s="26"/>
      <c r="Q13" s="26"/>
      <c r="R13" s="24" t="str">
        <v>Core</v>
      </c>
      <c r="S13" s="28" t="str">
        <v>Not Run</v>
      </c>
      <c r="T13" s="28"/>
      <c r="U13" s="28" t="str">
        <v>Retained</v>
      </c>
    </row>
    <row r="14" ht="60" customHeight="1">
      <c r="A14" s="25" t="str">
        <v>Not Run</v>
      </c>
      <c r="B14" s="19" t="str">
        <v>GO-MAN-013</v>
      </c>
      <c r="C14" s="19" t="str">
        <v>Auth</v>
      </c>
      <c r="D14" s="19" t="str">
        <v>Enter invalid credentials; submit</v>
      </c>
      <c r="E14" s="19" t="str">
        <v>Clear error appears; password is not exposed; form remains usable</v>
      </c>
      <c r="F14" s="19" t="str">
        <v>Invalid login</v>
      </c>
      <c r="G14" s="19" t="str">
        <v>P1</v>
      </c>
      <c r="H14" s="19" t="str">
        <v>Visitor</v>
      </c>
      <c r="I14" s="19" t="str">
        <v>Login page available</v>
      </c>
      <c r="J14" s="19" t="str">
        <v>Regression</v>
      </c>
      <c r="K14" s="26"/>
      <c r="L14" s="26"/>
      <c r="M14" s="26"/>
      <c r="N14" s="29"/>
      <c r="O14" s="26"/>
      <c r="P14" s="26"/>
      <c r="Q14" s="26"/>
      <c r="R14" s="19" t="str">
        <v>Core</v>
      </c>
      <c r="S14" s="27" t="str">
        <v>Not Run</v>
      </c>
      <c r="T14" s="27"/>
      <c r="U14" s="27" t="str">
        <v>Retained</v>
      </c>
    </row>
    <row r="15" ht="60" customHeight="1">
      <c r="A15" s="25" t="str">
        <v>Not Run</v>
      </c>
      <c r="B15" s="24" t="str">
        <v>GO-MAN-014</v>
      </c>
      <c r="C15" s="24" t="str">
        <v>Auth</v>
      </c>
      <c r="D15" s="24" t="str">
        <v>Use profile/menu logout action; confirm logged-out state</v>
      </c>
      <c r="E15" s="24" t="str">
        <v>Session ends; protected links redirect or hide; public pages still work</v>
      </c>
      <c r="F15" s="24" t="str">
        <v>Logout flow</v>
      </c>
      <c r="G15" s="24" t="str">
        <v>P0</v>
      </c>
      <c r="H15" s="24" t="str">
        <v>Logged-in User</v>
      </c>
      <c r="I15" s="24" t="str">
        <v>User is logged in</v>
      </c>
      <c r="J15" s="24" t="str">
        <v>Smoke</v>
      </c>
      <c r="K15" s="26"/>
      <c r="L15" s="26"/>
      <c r="M15" s="26"/>
      <c r="N15" s="29"/>
      <c r="O15" s="26"/>
      <c r="P15" s="26"/>
      <c r="Q15" s="26"/>
      <c r="R15" s="24" t="str">
        <v>Core</v>
      </c>
      <c r="S15" s="28" t="str">
        <v>Not Run</v>
      </c>
      <c r="T15" s="28"/>
      <c r="U15" s="28" t="str">
        <v>Retained</v>
      </c>
    </row>
    <row r="16" ht="60" customHeight="1">
      <c r="A16" s="25" t="str">
        <v>Not Run</v>
      </c>
      <c r="B16" s="19" t="str">
        <v>GO-MAN-015</v>
      </c>
      <c r="C16" s="19" t="str">
        <v>Auth</v>
      </c>
      <c r="D16" s="19" t="str">
        <v>Open reset password; enter test account email; submit</v>
      </c>
      <c r="E16" s="19" t="str">
        <v>User receives success state; reset email is sent if email service is configured</v>
      </c>
      <c r="F16" s="19" t="str">
        <v>Password reset</v>
      </c>
      <c r="G16" s="19" t="str">
        <v>P1</v>
      </c>
      <c r="H16" s="19" t="str">
        <v>Visitor</v>
      </c>
      <c r="I16" s="19" t="str">
        <v>Reset password page and email service configured</v>
      </c>
      <c r="J16" s="19" t="str">
        <v>Regression</v>
      </c>
      <c r="K16" s="26"/>
      <c r="L16" s="26"/>
      <c r="M16" s="26"/>
      <c r="N16" s="29"/>
      <c r="O16" s="26"/>
      <c r="P16" s="26"/>
      <c r="Q16" s="26"/>
      <c r="R16" s="19" t="str">
        <v>Core</v>
      </c>
      <c r="S16" s="27" t="str">
        <v>Retest</v>
      </c>
      <c r="T16" s="27" t="str">
        <v>V 1.7 TEST: Reset password throrws error Failed to send reset email. Please try again </v>
      </c>
      <c r="U16" s="27" t="str">
        <v>Retained</v>
      </c>
    </row>
    <row r="17" ht="60" customHeight="1">
      <c r="A17" s="25" t="str">
        <v>Not Run</v>
      </c>
      <c r="B17" s="24" t="str">
        <v>GO-MAN-016</v>
      </c>
      <c r="C17" s="24" t="str">
        <v>Auth</v>
      </c>
      <c r="D17" s="24" t="str">
        <v>Open /dashboard /billing /admin /project/create directly</v>
      </c>
      <c r="E17" s="24" t="str">
        <v>Logged-out visitor is redirected or shown auth-required state; no protected data is visible</v>
      </c>
      <c r="F17" s="24" t="str">
        <v>Protected route redirect</v>
      </c>
      <c r="G17" s="24" t="str">
        <v>P0</v>
      </c>
      <c r="H17" s="24" t="str">
        <v>Visitor</v>
      </c>
      <c r="I17" s="24" t="str">
        <v>Logged out</v>
      </c>
      <c r="J17" s="24" t="str">
        <v>Smoke</v>
      </c>
      <c r="K17" s="26"/>
      <c r="L17" s="26"/>
      <c r="M17" s="26"/>
      <c r="N17" s="29"/>
      <c r="O17" s="26"/>
      <c r="P17" s="26"/>
      <c r="Q17" s="26"/>
      <c r="R17" s="24" t="str">
        <v>Core</v>
      </c>
      <c r="S17" s="28" t="str">
        <v>Not Run</v>
      </c>
      <c r="T17" s="28"/>
      <c r="U17" s="28" t="str">
        <v>Retained</v>
      </c>
    </row>
    <row r="18" ht="60" customHeight="1">
      <c r="A18" s="25" t="str">
        <v>Not Run</v>
      </c>
      <c r="B18" s="19" t="str">
        <v>GO-MAN-017</v>
      </c>
      <c r="C18" s="19" t="str">
        <v>Auth</v>
      </c>
      <c r="D18" s="19" t="str">
        <v>Refresh current page; close and reopen browser tab; revisit site</v>
      </c>
      <c r="E18" s="19" t="str">
        <v>Session remains valid if expected; user identity and nav state are stable</v>
      </c>
      <c r="F18" s="19" t="str">
        <v>Session persistence</v>
      </c>
      <c r="G18" s="19" t="str">
        <v>P1</v>
      </c>
      <c r="H18" s="19" t="str">
        <v>Logged-in User</v>
      </c>
      <c r="I18" s="19" t="str">
        <v>User is logged in</v>
      </c>
      <c r="J18" s="19" t="str">
        <v>Regression</v>
      </c>
      <c r="K18" s="26"/>
      <c r="L18" s="26"/>
      <c r="M18" s="26"/>
      <c r="N18" s="29"/>
      <c r="O18" s="26"/>
      <c r="P18" s="26"/>
      <c r="Q18" s="26"/>
      <c r="R18" s="19" t="str">
        <v>Core</v>
      </c>
      <c r="S18" s="27" t="str">
        <v>Not Run</v>
      </c>
      <c r="T18" s="27"/>
      <c r="U18" s="27" t="str">
        <v>Retained</v>
      </c>
    </row>
    <row r="19" ht="60" customHeight="1">
      <c r="A19" s="25" t="str">
        <v>Not Run</v>
      </c>
      <c r="B19" s="24" t="str">
        <v>GO-MAN-018</v>
      </c>
      <c r="C19" s="24" t="str">
        <v>Onboarding</v>
      </c>
      <c r="D19" s="24" t="str">
        <v>Open onboarding page; begin onboarding flow</v>
      </c>
      <c r="E19" s="24" t="str">
        <v>Onboarding starts cleanly; first step is clear; progress is visible if expected</v>
      </c>
      <c r="F19" s="24" t="str">
        <v>Start onboarding</v>
      </c>
      <c r="G19" s="24" t="str">
        <v>P0</v>
      </c>
      <c r="H19" s="24" t="str">
        <v>Logged-in User</v>
      </c>
      <c r="I19" s="24" t="str">
        <v>Logged in as member</v>
      </c>
      <c r="J19" s="24" t="str">
        <v>Regression</v>
      </c>
      <c r="K19" s="26"/>
      <c r="L19" s="26"/>
      <c r="M19" s="26"/>
      <c r="N19" s="29"/>
      <c r="O19" s="26"/>
      <c r="P19" s="26"/>
      <c r="Q19" s="26"/>
      <c r="R19" s="24" t="str">
        <v>Core</v>
      </c>
      <c r="S19" s="28" t="str">
        <v>Not Run</v>
      </c>
      <c r="T19" s="28"/>
      <c r="U19" s="28" t="str">
        <v>Retained</v>
      </c>
    </row>
    <row r="20" ht="60" customHeight="1">
      <c r="A20" s="25" t="str">
        <v>Not Run</v>
      </c>
      <c r="B20" s="19" t="str">
        <v>GO-MAN-019</v>
      </c>
      <c r="C20" s="19" t="str">
        <v>Onboarding</v>
      </c>
      <c r="D20" s="19" t="str">
        <v>Complete every required onboarding step with valid values; submit final step</v>
      </c>
      <c r="E20" s="19" t="str">
        <v>Profile is saved; completion state appears; user can proceed to CV generation</v>
      </c>
      <c r="F20" s="19" t="str">
        <v>Complete required fields</v>
      </c>
      <c r="G20" s="19" t="str">
        <v>P0</v>
      </c>
      <c r="H20" s="19" t="str">
        <v>Logged-in User</v>
      </c>
      <c r="I20" s="19" t="str">
        <v>Onboarding available</v>
      </c>
      <c r="J20" s="19" t="str">
        <v>Smoke</v>
      </c>
      <c r="K20" s="26"/>
      <c r="L20" s="26"/>
      <c r="M20" s="26"/>
      <c r="N20" s="29"/>
      <c r="O20" s="26"/>
      <c r="P20" s="26"/>
      <c r="Q20" s="26"/>
      <c r="R20" s="19" t="str">
        <v>Core</v>
      </c>
      <c r="S20" s="27" t="str">
        <v>Not Run</v>
      </c>
      <c r="T20" s="27"/>
      <c r="U20" s="27" t="str">
        <v>Retained</v>
      </c>
    </row>
    <row r="21" ht="60" customHeight="1">
      <c r="A21" s="25" t="str">
        <v>Not Run</v>
      </c>
      <c r="B21" s="24" t="str">
        <v>GO-MAN-020</v>
      </c>
      <c r="C21" s="24" t="str">
        <v>Onboarding</v>
      </c>
      <c r="D21" s="24" t="str">
        <v>Leave required fields empty; enter invalid URLs; exceed long text limits; submit</v>
      </c>
      <c r="E21" s="24" t="str">
        <v>Helpful validation errors appear; entered valid data is preserved; user can correct and continue</v>
      </c>
      <c r="F21" s="24" t="str">
        <v>Validation errors</v>
      </c>
      <c r="G21" s="24" t="str">
        <v>P1</v>
      </c>
      <c r="H21" s="24" t="str">
        <v>Logged-in User</v>
      </c>
      <c r="I21" s="24" t="str">
        <v>Onboarding available</v>
      </c>
      <c r="J21" s="24" t="str">
        <v>Regression</v>
      </c>
      <c r="K21" s="26"/>
      <c r="L21" s="26"/>
      <c r="M21" s="26"/>
      <c r="N21" s="29"/>
      <c r="O21" s="26"/>
      <c r="P21" s="26"/>
      <c r="Q21" s="26"/>
      <c r="R21" s="24" t="str">
        <v>Core</v>
      </c>
      <c r="S21" s="28" t="str">
        <v>Not Run</v>
      </c>
      <c r="T21" s="28"/>
      <c r="U21" s="28" t="str">
        <v>Retained</v>
      </c>
    </row>
    <row r="22" ht="60" customHeight="1">
      <c r="A22" s="25" t="str">
        <v>Not Run</v>
      </c>
      <c r="B22" s="19" t="str">
        <v>GO-MAN-021</v>
      </c>
      <c r="C22" s="19" t="str">
        <v>Onboarding</v>
      </c>
      <c r="D22" s="19" t="str">
        <v>Move forward several steps; go back; edit previous values; move forward again</v>
      </c>
      <c r="E22" s="19" t="str">
        <v>Previously entered values persist; progress remains correct; no data loss</v>
      </c>
      <c r="F22" s="19" t="str">
        <v>Back/forward navigation</v>
      </c>
      <c r="G22" s="19" t="str">
        <v>P1</v>
      </c>
      <c r="H22" s="19" t="str">
        <v>Logged-in User</v>
      </c>
      <c r="I22" s="19" t="str">
        <v>Onboarding in progress</v>
      </c>
      <c r="J22" s="19" t="str">
        <v>Regression</v>
      </c>
      <c r="K22" s="26"/>
      <c r="L22" s="26"/>
      <c r="M22" s="26"/>
      <c r="N22" s="29"/>
      <c r="O22" s="26"/>
      <c r="P22" s="26"/>
      <c r="Q22" s="26"/>
      <c r="R22" s="19" t="str">
        <v>Core</v>
      </c>
      <c r="S22" s="27" t="str">
        <v>Not Run</v>
      </c>
      <c r="T22" s="27"/>
      <c r="U22" s="27" t="str">
        <v>Retained</v>
      </c>
    </row>
    <row r="23" ht="60" customHeight="1">
      <c r="A23" s="25" t="str">
        <v>Not Run</v>
      </c>
      <c r="B23" s="24" t="str">
        <v>GO-MAN-022</v>
      </c>
      <c r="C23" s="24" t="str">
        <v>Onboarding</v>
      </c>
      <c r="D23" s="24" t="str">
        <v>Complete onboarding on mobile viewport</v>
      </c>
      <c r="E23" s="24" t="str">
        <v>Controls are tappable; inputs fit screen; progress and buttons remain visible</v>
      </c>
      <c r="F23" s="24" t="str">
        <v>Mobile onboarding</v>
      </c>
      <c r="G23" s="24" t="str">
        <v>P1</v>
      </c>
      <c r="H23" s="24" t="str">
        <v>Logged-in User</v>
      </c>
      <c r="I23" s="24" t="str">
        <v>Mobile viewport</v>
      </c>
      <c r="J23" s="24" t="str">
        <v>Regression</v>
      </c>
      <c r="K23" s="26"/>
      <c r="L23" s="26"/>
      <c r="M23" s="26"/>
      <c r="N23" s="29"/>
      <c r="O23" s="26"/>
      <c r="P23" s="26"/>
      <c r="Q23" s="26"/>
      <c r="R23" s="24" t="str">
        <v>Core</v>
      </c>
      <c r="S23" s="28" t="str">
        <v>Not Run</v>
      </c>
      <c r="T23" s="28"/>
      <c r="U23" s="28" t="str">
        <v>Retained</v>
      </c>
    </row>
    <row r="24" ht="60" customHeight="1">
      <c r="A24" s="25" t="str">
        <v>Not Run</v>
      </c>
      <c r="B24" s="19" t="str">
        <v>GO-MAN-023</v>
      </c>
      <c r="C24" s="19" t="str">
        <v>Profile</v>
      </c>
      <c r="D24" s="19" t="str">
        <v>Open profile page; inspect displayed fields</v>
      </c>
      <c r="E24" s="19" t="str">
        <v>Profile displays current user data; no private admin-only fields are shown</v>
      </c>
      <c r="F24" s="19" t="str">
        <v>View own profile</v>
      </c>
      <c r="G24" s="19" t="str">
        <v>P0</v>
      </c>
      <c r="H24" s="19" t="str">
        <v>Logged-in User</v>
      </c>
      <c r="I24" s="19" t="str">
        <v>Profile data exists</v>
      </c>
      <c r="J24" s="19" t="str">
        <v>Regression</v>
      </c>
      <c r="K24" s="26"/>
      <c r="L24" s="26"/>
      <c r="M24" s="26"/>
      <c r="N24" s="29"/>
      <c r="O24" s="26"/>
      <c r="P24" s="26"/>
      <c r="Q24" s="26"/>
      <c r="R24" s="19" t="str">
        <v>Core</v>
      </c>
      <c r="S24" s="27" t="str">
        <v>Not Run</v>
      </c>
      <c r="T24" s="27"/>
      <c r="U24" s="27" t="str">
        <v>Retained</v>
      </c>
    </row>
    <row r="25" ht="60" customHeight="1">
      <c r="A25" s="25" t="str">
        <v>Not Run</v>
      </c>
      <c r="B25" s="24" t="str">
        <v>GO-MAN-024</v>
      </c>
      <c r="C25" s="24" t="str">
        <v>Profile</v>
      </c>
      <c r="D25" s="24" t="str">
        <v>Edit display name role tools portfolio links and visibility settings; save</v>
      </c>
      <c r="E25" s="24" t="str">
        <v>Changes save successfully and persist after refresh</v>
      </c>
      <c r="F25" s="24" t="str">
        <v>Edit profile</v>
      </c>
      <c r="G25" s="24" t="str">
        <v>P0</v>
      </c>
      <c r="H25" s="24" t="str">
        <v>Logged-in User</v>
      </c>
      <c r="I25" s="24" t="str">
        <v>Profile page available</v>
      </c>
      <c r="J25" s="24" t="str">
        <v>Smoke</v>
      </c>
      <c r="K25" s="26"/>
      <c r="L25" s="26"/>
      <c r="M25" s="26"/>
      <c r="N25" s="29"/>
      <c r="O25" s="26"/>
      <c r="P25" s="26"/>
      <c r="Q25" s="26"/>
      <c r="R25" s="24" t="str">
        <v>Core</v>
      </c>
      <c r="S25" s="28" t="str">
        <v>Not Run</v>
      </c>
      <c r="T25" s="28"/>
      <c r="U25" s="28" t="str">
        <v>Retained</v>
      </c>
    </row>
    <row r="26" ht="60" customHeight="1">
      <c r="A26" s="25" t="str">
        <v>Not Run</v>
      </c>
      <c r="B26" s="19" t="str">
        <v>GO-MAN-025</v>
      </c>
      <c r="C26" s="19" t="str">
        <v>Profile</v>
      </c>
      <c r="D26" s="19" t="str">
        <v>Enter social/portfolio URL without http/https; save</v>
      </c>
      <c r="E26" s="19" t="str">
        <v>Validation error appears; invalid URL is not silently accepted</v>
      </c>
      <c r="F26" s="19" t="str">
        <v>Profile invalid social URL</v>
      </c>
      <c r="G26" s="19" t="str">
        <v>P1</v>
      </c>
      <c r="H26" s="19" t="str">
        <v>Logged-in User</v>
      </c>
      <c r="I26" s="19" t="str">
        <v>Profile editor available</v>
      </c>
      <c r="J26" s="19" t="str">
        <v>Regression</v>
      </c>
      <c r="K26" s="26"/>
      <c r="L26" s="26"/>
      <c r="M26" s="26"/>
      <c r="N26" s="29"/>
      <c r="O26" s="26"/>
      <c r="P26" s="26"/>
      <c r="Q26" s="26"/>
      <c r="R26" s="19" t="str">
        <v>Core</v>
      </c>
      <c r="S26" s="27" t="str">
        <v>Not Run</v>
      </c>
      <c r="T26" s="27"/>
      <c r="U26" s="27" t="str">
        <v>Retained</v>
      </c>
    </row>
    <row r="27" ht="60" customHeight="1">
      <c r="A27" s="25" t="str">
        <v>Not Run</v>
      </c>
      <c r="B27" s="24" t="str">
        <v>GO-MAN-026</v>
      </c>
      <c r="C27" s="24" t="str">
        <v>Profile</v>
      </c>
      <c r="D27" s="24" t="str">
        <v>Toggle public/private or visibility settings; save; view from another account if possible</v>
      </c>
      <c r="E27" s="24" t="str">
        <v>Visibility settings persist and affect what other users can see</v>
      </c>
      <c r="F27" s="24" t="str">
        <v>Privacy settings</v>
      </c>
      <c r="G27" s="24" t="str">
        <v>P1</v>
      </c>
      <c r="H27" s="24" t="str">
        <v>Logged-in User</v>
      </c>
      <c r="I27" s="24" t="str">
        <v>Profile editor available</v>
      </c>
      <c r="J27" s="24" t="str">
        <v>Regression</v>
      </c>
      <c r="K27" s="26"/>
      <c r="L27" s="26"/>
      <c r="M27" s="26"/>
      <c r="N27" s="29"/>
      <c r="O27" s="26"/>
      <c r="P27" s="26"/>
      <c r="Q27" s="26"/>
      <c r="R27" s="24" t="str">
        <v>Core</v>
      </c>
      <c r="S27" s="28" t="str">
        <v>Not Run</v>
      </c>
      <c r="T27" s="28"/>
      <c r="U27" s="28" t="str">
        <v>Retained</v>
      </c>
    </row>
    <row r="28" ht="60" customHeight="1">
      <c r="A28" s="25" t="str">
        <v>Not Run</v>
      </c>
      <c r="B28" s="19" t="str">
        <v>GO-MAN-027</v>
      </c>
      <c r="C28" s="19" t="str">
        <v>CV</v>
      </c>
      <c r="D28" s="19" t="str">
        <v>Open CV page; click generate; wait for result</v>
      </c>
      <c r="E28" s="19" t="str">
        <v>CV is generated from profile data; title summary sections appear; no invented facts are obvious</v>
      </c>
      <c r="F28" s="19" t="str">
        <v>Generate CV</v>
      </c>
      <c r="G28" s="19" t="str">
        <v>P0</v>
      </c>
      <c r="H28" s="19" t="str">
        <v>Logged-in User</v>
      </c>
      <c r="I28" s="19" t="str">
        <v>Onboarding profile completed</v>
      </c>
      <c r="J28" s="19" t="str">
        <v>Smoke</v>
      </c>
      <c r="K28" s="26"/>
      <c r="L28" s="26"/>
      <c r="M28" s="26"/>
      <c r="N28" s="29"/>
      <c r="O28" s="26"/>
      <c r="P28" s="26"/>
      <c r="Q28" s="26"/>
      <c r="R28" s="19" t="str">
        <v>Core</v>
      </c>
      <c r="S28" s="27" t="str">
        <v>Not Run</v>
      </c>
      <c r="T28" s="27"/>
      <c r="U28" s="27" t="str">
        <v>Retained</v>
      </c>
    </row>
    <row r="29" ht="64" customHeight="1">
      <c r="A29" s="25" t="str">
        <v>Not Run</v>
      </c>
      <c r="B29" s="24" t="str">
        <v>GO-MAN-028</v>
      </c>
      <c r="C29" s="24" t="str">
        <v>CV</v>
      </c>
      <c r="D29" s="24" t="str">
        <v>Generate a Passport from a completed onboarding profile without any AI service configured. Refresh it.</v>
      </c>
      <c r="E29" s="24" t="str">
        <v>Generation succeeds using stored profile facts. No AI key or AI consent is required.</v>
      </c>
      <c r="F29" s="24" t="str">
        <v>Passport generation without AI</v>
      </c>
      <c r="G29" s="24" t="str">
        <v>P1</v>
      </c>
      <c r="H29" s="24" t="str">
        <v>Logged-in User</v>
      </c>
      <c r="I29" s="24" t="str">
        <v>AI key disabled or unavailable in test env</v>
      </c>
      <c r="J29" s="24" t="str">
        <v>Regression</v>
      </c>
      <c r="K29" s="26"/>
      <c r="L29" s="26"/>
      <c r="M29" s="26"/>
      <c r="N29" s="29"/>
      <c r="O29" s="26"/>
      <c r="P29" s="26"/>
      <c r="Q29" s="26"/>
      <c r="R29" s="24" t="str">
        <v>Core</v>
      </c>
      <c r="S29" s="28" t="str">
        <v>Retest</v>
      </c>
      <c r="T29" s="28" t="str">
        <v>V 1.7 TEST: We will not be using AI for creation and updates of CV at the moment maybe in the future, all mentions for AI being used or consent formes need to be removed.</v>
      </c>
      <c r="U29" s="28" t="str">
        <v>Updated</v>
      </c>
    </row>
    <row r="30" ht="60" customHeight="1">
      <c r="A30" s="25" t="str">
        <v>Not Run</v>
      </c>
      <c r="B30" s="19" t="str">
        <v>GO-MAN-029</v>
      </c>
      <c r="C30" s="19" t="str">
        <v>CV</v>
      </c>
      <c r="D30" s="19" t="str">
        <v>Edit CV title summary and at least one section; save</v>
      </c>
      <c r="E30" s="19" t="str">
        <v>Edits persist after refresh; formatting remains readable</v>
      </c>
      <c r="F30" s="19" t="str">
        <v>Edit CV</v>
      </c>
      <c r="G30" s="19" t="str">
        <v>P0</v>
      </c>
      <c r="H30" s="19" t="str">
        <v>Logged-in User</v>
      </c>
      <c r="I30" s="19" t="str">
        <v>CV exists</v>
      </c>
      <c r="J30" s="19" t="str">
        <v>Regression</v>
      </c>
      <c r="K30" s="26"/>
      <c r="L30" s="26"/>
      <c r="M30" s="26"/>
      <c r="N30" s="29"/>
      <c r="O30" s="26"/>
      <c r="P30" s="26"/>
      <c r="Q30" s="26"/>
      <c r="R30" s="19" t="str">
        <v>Core</v>
      </c>
      <c r="S30" s="27" t="str">
        <v>Not Run</v>
      </c>
      <c r="T30" s="27"/>
      <c r="U30" s="27" t="str">
        <v>Retained</v>
      </c>
    </row>
    <row r="31" ht="60" customHeight="1">
      <c r="A31" s="25" t="str">
        <v>Not Run</v>
      </c>
      <c r="B31" s="24" t="str">
        <v>GO-MAN-030</v>
      </c>
      <c r="C31" s="24" t="str">
        <v>CV</v>
      </c>
      <c r="D31" s="24" t="str">
        <v>Click publish/approve; confirm if prompted</v>
      </c>
      <c r="E31" s="24" t="str">
        <v>CV status becomes active/published; user receives clear success state</v>
      </c>
      <c r="F31" s="24" t="str">
        <v>Publish CV</v>
      </c>
      <c r="G31" s="24" t="str">
        <v>P0</v>
      </c>
      <c r="H31" s="24" t="str">
        <v>Logged-in User</v>
      </c>
      <c r="I31" s="24" t="str">
        <v>Draft CV exists</v>
      </c>
      <c r="J31" s="24" t="str">
        <v>Smoke</v>
      </c>
      <c r="K31" s="26"/>
      <c r="L31" s="26"/>
      <c r="M31" s="26"/>
      <c r="N31" s="29"/>
      <c r="O31" s="26"/>
      <c r="P31" s="26"/>
      <c r="Q31" s="26"/>
      <c r="R31" s="24" t="str">
        <v>Core</v>
      </c>
      <c r="S31" s="28" t="str">
        <v>Not Run</v>
      </c>
      <c r="T31" s="28"/>
      <c r="U31" s="28" t="str">
        <v>Retained</v>
      </c>
    </row>
    <row r="32" ht="60" customHeight="1">
      <c r="A32" s="25" t="str">
        <v>Not Run</v>
      </c>
      <c r="B32" s="19" t="str">
        <v>GO-MAN-031</v>
      </c>
      <c r="C32" s="19" t="str">
        <v>CV</v>
      </c>
      <c r="D32" s="19" t="str">
        <v>Change CV visibility settings; view user/project application context from another account</v>
      </c>
      <c r="E32" s="19" t="str">
        <v>CV is visible only where expected based on settings</v>
      </c>
      <c r="F32" s="19" t="str">
        <v>CV visibility</v>
      </c>
      <c r="G32" s="19" t="str">
        <v>P1</v>
      </c>
      <c r="H32" s="19" t="str">
        <v>Logged-in User</v>
      </c>
      <c r="I32" s="19" t="str">
        <v>CV exists and second account available</v>
      </c>
      <c r="J32" s="19" t="str">
        <v>Regression</v>
      </c>
      <c r="K32" s="26"/>
      <c r="L32" s="26"/>
      <c r="M32" s="26"/>
      <c r="N32" s="29"/>
      <c r="O32" s="26"/>
      <c r="P32" s="26"/>
      <c r="Q32" s="26"/>
      <c r="R32" s="19" t="str">
        <v>Core</v>
      </c>
      <c r="S32" s="27" t="str">
        <v>Not Run</v>
      </c>
      <c r="T32" s="27"/>
      <c r="U32" s="27" t="str">
        <v>Retained</v>
      </c>
    </row>
    <row r="33" ht="60" customHeight="1">
      <c r="A33" s="25" t="str">
        <v>Not Run</v>
      </c>
      <c r="B33" s="24" t="str">
        <v>GO-MAN-032</v>
      </c>
      <c r="C33" s="24" t="str">
        <v>CV</v>
      </c>
      <c r="D33" s="24" t="str">
        <v>Open CV page; edit and publish on mobile</v>
      </c>
      <c r="E33" s="24" t="str">
        <v>CV editor and publish controls are usable; no clipped text/buttons</v>
      </c>
      <c r="F33" s="24" t="str">
        <v>CV mobile usability</v>
      </c>
      <c r="G33" s="24" t="str">
        <v>P1</v>
      </c>
      <c r="H33" s="24" t="str">
        <v>Logged-in User</v>
      </c>
      <c r="I33" s="24" t="str">
        <v>Mobile viewport</v>
      </c>
      <c r="J33" s="24" t="str">
        <v>Regression</v>
      </c>
      <c r="K33" s="26"/>
      <c r="L33" s="26"/>
      <c r="M33" s="26"/>
      <c r="N33" s="29"/>
      <c r="O33" s="26"/>
      <c r="P33" s="26"/>
      <c r="Q33" s="26"/>
      <c r="R33" s="24" t="str">
        <v>Core</v>
      </c>
      <c r="S33" s="28" t="str">
        <v>Not Run</v>
      </c>
      <c r="T33" s="28"/>
      <c r="U33" s="28" t="str">
        <v>Retained</v>
      </c>
    </row>
    <row r="34" ht="60" customHeight="1">
      <c r="A34" s="25" t="str">
        <v>Not Run</v>
      </c>
      <c r="B34" s="19" t="str">
        <v>GO-MAN-033</v>
      </c>
      <c r="C34" s="19" t="str">
        <v>Projects</v>
      </c>
      <c r="D34" s="19" t="str">
        <v>Open /projects while logged out; inspect visible projects</v>
      </c>
      <c r="E34" s="19" t="str">
        <v>Visitor sees only public discoverable projects; no private/draft/pending projects appear</v>
      </c>
      <c r="F34" s="19" t="str">
        <v>Project listing visitor</v>
      </c>
      <c r="G34" s="19" t="str">
        <v>P0</v>
      </c>
      <c r="H34" s="19" t="str">
        <v>Visitor</v>
      </c>
      <c r="I34" s="19" t="str">
        <v>Projects exist with different statuses/visibility</v>
      </c>
      <c r="J34" s="19" t="str">
        <v>Smoke</v>
      </c>
      <c r="K34" s="26"/>
      <c r="L34" s="26"/>
      <c r="M34" s="26"/>
      <c r="N34" s="29"/>
      <c r="O34" s="26"/>
      <c r="P34" s="26"/>
      <c r="Q34" s="26"/>
      <c r="R34" s="19" t="str">
        <v>Core</v>
      </c>
      <c r="S34" s="27" t="str">
        <v>Not Run</v>
      </c>
      <c r="T34" s="27"/>
      <c r="U34" s="27" t="str">
        <v>Retained</v>
      </c>
    </row>
    <row r="35" ht="60" customHeight="1">
      <c r="A35" s="25" t="str">
        <v>Not Run</v>
      </c>
      <c r="B35" s="24" t="str">
        <v>GO-MAN-034</v>
      </c>
      <c r="C35" s="24" t="str">
        <v>Projects</v>
      </c>
      <c r="D35" s="24" t="str">
        <v>Open a public project detail page</v>
      </c>
      <c r="E35" s="24" t="str">
        <v>Project detail loads; visible fields are appropriate for visitor; apply controls require login/membership</v>
      </c>
      <c r="F35" s="24" t="str">
        <v>Project detail visitor</v>
      </c>
      <c r="G35" s="24" t="str">
        <v>P0</v>
      </c>
      <c r="H35" s="24" t="str">
        <v>Visitor</v>
      </c>
      <c r="I35" s="24" t="str">
        <v>Public hiring/live/completed project exists</v>
      </c>
      <c r="J35" s="24" t="str">
        <v>Regression</v>
      </c>
      <c r="K35" s="26"/>
      <c r="L35" s="26"/>
      <c r="M35" s="26"/>
      <c r="N35" s="29"/>
      <c r="O35" s="26"/>
      <c r="P35" s="26"/>
      <c r="Q35" s="26"/>
      <c r="R35" s="24" t="str">
        <v>Core</v>
      </c>
      <c r="S35" s="28" t="str">
        <v>Not Run</v>
      </c>
      <c r="T35" s="28"/>
      <c r="U35" s="28" t="str">
        <v>Retained</v>
      </c>
    </row>
    <row r="36" ht="60" customHeight="1">
      <c r="A36" s="25" t="str">
        <v>Not Run</v>
      </c>
      <c r="B36" s="19" t="str">
        <v>GO-MAN-035</v>
      </c>
      <c r="C36" s="19" t="str">
        <v>Projects</v>
      </c>
      <c r="D36" s="19" t="str">
        <v>Open private project URL as visitor/unrelated account</v>
      </c>
      <c r="E36" s="19" t="str">
        <v>Access is denied or redirected; private details are not visible</v>
      </c>
      <c r="F36" s="19" t="str">
        <v>Private project access</v>
      </c>
      <c r="G36" s="19" t="str">
        <v>P0</v>
      </c>
      <c r="H36" s="19" t="str">
        <v>Visitor or unrelated user</v>
      </c>
      <c r="I36" s="19" t="str">
        <v>Private project exists</v>
      </c>
      <c r="J36" s="19" t="str">
        <v>Smoke</v>
      </c>
      <c r="K36" s="26"/>
      <c r="L36" s="26"/>
      <c r="M36" s="26"/>
      <c r="N36" s="29"/>
      <c r="O36" s="26"/>
      <c r="P36" s="26"/>
      <c r="Q36" s="26"/>
      <c r="R36" s="19" t="str">
        <v>Core</v>
      </c>
      <c r="S36" s="27" t="str">
        <v>Not Run</v>
      </c>
      <c r="T36" s="27"/>
      <c r="U36" s="27" t="str">
        <v>Retained</v>
      </c>
    </row>
    <row r="37" ht="60" customHeight="1">
      <c r="A37" s="25" t="str">
        <v>Not Run</v>
      </c>
      <c r="B37" s="24" t="str">
        <v>GO-MAN-036</v>
      </c>
      <c r="C37" s="24" t="str">
        <v>Projects</v>
      </c>
      <c r="D37" s="24" t="str">
        <v>As a free user, open /project/create and choose the creator path.</v>
      </c>
      <c r="E37" s="24" t="str">
        <v>Membership guidance appears. No project is created.</v>
      </c>
      <c r="F37" s="24" t="str">
        <v>Free user creator-project gate</v>
      </c>
      <c r="G37" s="24" t="str">
        <v>P0</v>
      </c>
      <c r="H37" s="24" t="str">
        <v>Free User</v>
      </c>
      <c r="I37" s="24" t="str">
        <v>Logged in without active company membership</v>
      </c>
      <c r="J37" s="24" t="str">
        <v>Regression</v>
      </c>
      <c r="K37" s="26"/>
      <c r="L37" s="26"/>
      <c r="M37" s="26"/>
      <c r="N37" s="29"/>
      <c r="O37" s="26"/>
      <c r="P37" s="26"/>
      <c r="Q37" s="26"/>
      <c r="R37" s="24" t="str">
        <v>Core</v>
      </c>
      <c r="S37" s="28" t="str">
        <v>Not Run</v>
      </c>
      <c r="T37" s="28"/>
      <c r="U37" s="28" t="str">
        <v>Updated</v>
      </c>
    </row>
    <row r="38" ht="60" customHeight="1">
      <c r="A38" s="25" t="str">
        <v>Not Run</v>
      </c>
      <c r="B38" s="19" t="str">
        <v>GO-MAN-037</v>
      </c>
      <c r="C38" s="19" t="str">
        <v>Projects</v>
      </c>
      <c r="D38" s="19" t="str">
        <v>As an active Community member with no occupied slot, open /project/create, choose your own game, complete the wizard and submit.</v>
      </c>
      <c r="E38" s="19" t="str">
        <v>One draft creator project is saved. The member is not forced to buy Business for this path.</v>
      </c>
      <c r="F38" s="19" t="str">
        <v>Community creator-project allowance</v>
      </c>
      <c r="G38" s="19" t="str">
        <v>P0</v>
      </c>
      <c r="H38" s="19" t="str">
        <v>Active Community member</v>
      </c>
      <c r="I38" s="19" t="str">
        <v>Use prepared QA records and separate accounts. Record the actual URL and build on Run Overview. No unreleased project in the capacity ledger.</v>
      </c>
      <c r="J38" s="19" t="str">
        <v>Smoke</v>
      </c>
      <c r="K38" s="26"/>
      <c r="L38" s="26"/>
      <c r="M38" s="26"/>
      <c r="N38" s="29"/>
      <c r="O38" s="26"/>
      <c r="P38" s="26"/>
      <c r="Q38" s="26"/>
      <c r="R38" s="19" t="str">
        <v>Core</v>
      </c>
      <c r="S38" s="27" t="str">
        <v>Not Run</v>
      </c>
      <c r="T38" s="27"/>
      <c r="U38" s="27" t="str">
        <v>Updated</v>
      </c>
    </row>
    <row r="39" ht="155" customHeight="1">
      <c r="A39" s="25" t="str">
        <v>Not Run</v>
      </c>
      <c r="B39" s="24" t="str">
        <v>GO-MAN-038</v>
      </c>
      <c r="C39" s="24" t="str">
        <v>Projects</v>
      </c>
      <c r="D39" s="24" t="str">
        <v>As Business with agreed unused capacity, create a project and select a new source project. Refresh the creator workspace.</v>
      </c>
      <c r="E39" s="24" t="str">
        <v>One draft and one linked source record exist. Owner and team references are correct.</v>
      </c>
      <c r="F39" s="24" t="str">
        <v>Business creates project with new source</v>
      </c>
      <c r="G39" s="24" t="str">
        <v>P0</v>
      </c>
      <c r="H39" s="24" t="str">
        <v>Company Subscriber</v>
      </c>
      <c r="I39" s="24" t="str">
        <v>Use prepared QA records and separate accounts. Record the actual URL and build on Run Overview. Business account has a positive agreed project limit.</v>
      </c>
      <c r="J39" s="24" t="str">
        <v>Smoke</v>
      </c>
      <c r="K39" s="26"/>
      <c r="L39" s="26"/>
      <c r="M39" s="26"/>
      <c r="N39" s="29"/>
      <c r="O39" s="26"/>
      <c r="P39" s="26"/>
      <c r="Q39" s="26"/>
      <c r="R39" s="24" t="str">
        <v>Core</v>
      </c>
      <c r="S39" s="28" t="str">
        <v>Retest</v>
      </c>
      <c r="T39" s="28" t="str">
        <v>V 1.7 TEST: I should not be able to select source projects from other projects that I am not the owner of or I haven't created as a company subscriber. I also as a company subscriber should be able to see the projects I have created as drafts under my projects and allow me to edit them even though they are only in draft and not approved by the admin. I also managed to create duplicates projects somehow, the project i created is called TEST 5 maybe you can use some info in the way it was created to help you or I will try to catch .har file.</v>
      </c>
      <c r="U39" s="28" t="str">
        <v>Updated</v>
      </c>
    </row>
    <row r="40" ht="64" customHeight="1">
      <c r="A40" s="25" t="str">
        <v>Not Run</v>
      </c>
      <c r="B40" s="19" t="str">
        <v>GO-MAN-039</v>
      </c>
      <c r="C40" s="19" t="str">
        <v>Projects</v>
      </c>
      <c r="D40" s="19" t="str">
        <v>As Business with an owned source and spare capacity, create a second project linked to that source.</v>
      </c>
      <c r="E40" s="19" t="str">
        <v>The saved project links to the chosen source. Another creator’s source cannot be selected.</v>
      </c>
      <c r="F40" s="19" t="str">
        <v>Business creates project with owned source</v>
      </c>
      <c r="G40" s="19" t="str">
        <v>P1</v>
      </c>
      <c r="H40" s="19" t="str">
        <v>Company Subscriber</v>
      </c>
      <c r="I40" s="19" t="str">
        <v>Use prepared QA records and separate accounts. Record the actual URL and build on Run Overview. Business account has unused agreed capacity and an owned source.</v>
      </c>
      <c r="J40" s="19" t="str">
        <v>Regression</v>
      </c>
      <c r="K40" s="26"/>
      <c r="L40" s="26"/>
      <c r="M40" s="26"/>
      <c r="N40" s="29"/>
      <c r="O40" s="26"/>
      <c r="P40" s="26"/>
      <c r="Q40" s="26"/>
      <c r="R40" s="19" t="str">
        <v>Core</v>
      </c>
      <c r="S40" s="27" t="str">
        <v>Not Run</v>
      </c>
      <c r="T40" s="27"/>
      <c r="U40" s="27" t="str">
        <v>Updated</v>
      </c>
    </row>
    <row r="41" ht="60" customHeight="1">
      <c r="A41" s="25" t="str">
        <v>Not Run</v>
      </c>
      <c r="B41" s="24" t="str">
        <v>GO-MAN-040</v>
      </c>
      <c r="C41" s="24" t="str">
        <v>Projects</v>
      </c>
      <c r="D41" s="24" t="str">
        <v>Submit empty form; enter invalid budget duration role visibility/type values</v>
      </c>
      <c r="E41" s="24" t="str">
        <v>Clear field errors appear; invalid project is not created</v>
      </c>
      <c r="F41" s="24" t="str">
        <v>Project form validation</v>
      </c>
      <c r="G41" s="24" t="str">
        <v>P0</v>
      </c>
      <c r="H41" s="24" t="str">
        <v>Company Subscriber</v>
      </c>
      <c r="I41" s="24" t="str">
        <v>Project create form available</v>
      </c>
      <c r="J41" s="24" t="str">
        <v>Regression</v>
      </c>
      <c r="K41" s="26"/>
      <c r="L41" s="26"/>
      <c r="M41" s="26"/>
      <c r="N41" s="29"/>
      <c r="O41" s="26"/>
      <c r="P41" s="26"/>
      <c r="Q41" s="26"/>
      <c r="R41" s="24" t="str">
        <v>Core</v>
      </c>
      <c r="S41" s="28" t="str">
        <v>Not Run</v>
      </c>
      <c r="T41" s="28"/>
      <c r="U41" s="28" t="str">
        <v>Retained</v>
      </c>
    </row>
    <row r="42" ht="60" customHeight="1">
      <c r="A42" s="25" t="str">
        <v>Not Run</v>
      </c>
      <c r="B42" s="19" t="str">
        <v>GO-MAN-041</v>
      </c>
      <c r="C42" s="19" t="str">
        <v>Projects</v>
      </c>
      <c r="D42" s="19" t="str">
        <v>Open project edit page; change title description budget duration roles; save</v>
      </c>
      <c r="E42" s="19" t="str">
        <v>Changes save and persist; owner remains authorized</v>
      </c>
      <c r="F42" s="19" t="str">
        <v>Owner edit draft</v>
      </c>
      <c r="G42" s="19" t="str">
        <v>P0</v>
      </c>
      <c r="H42" s="19" t="str">
        <v>Project Owner</v>
      </c>
      <c r="I42" s="19" t="str">
        <v>Draft project exists</v>
      </c>
      <c r="J42" s="19" t="str">
        <v>Smoke</v>
      </c>
      <c r="K42" s="26"/>
      <c r="L42" s="26"/>
      <c r="M42" s="26"/>
      <c r="N42" s="29"/>
      <c r="O42" s="26"/>
      <c r="P42" s="26"/>
      <c r="Q42" s="26"/>
      <c r="R42" s="19" t="str">
        <v>Core</v>
      </c>
      <c r="S42" s="27" t="str">
        <v>Not Run</v>
      </c>
      <c r="T42" s="27"/>
      <c r="U42" s="27" t="str">
        <v>Retained</v>
      </c>
    </row>
    <row r="43" ht="77" customHeight="1">
      <c r="A43" s="25" t="str">
        <v>Not Run</v>
      </c>
      <c r="B43" s="24" t="str">
        <v>GO-MAN-042</v>
      </c>
      <c r="C43" s="24" t="str">
        <v>Projects</v>
      </c>
      <c r="D43" s="24" t="str">
        <v>Attempt to change status to hiring/live/completed/rejected as non-admin owner</v>
      </c>
      <c r="E43" s="24" t="str">
        <v>Owner is blocked from admin-only status transitions</v>
      </c>
      <c r="F43" s="24" t="str">
        <v>Owner status restriction</v>
      </c>
      <c r="G43" s="24" t="str">
        <v>P0</v>
      </c>
      <c r="H43" s="24" t="str">
        <v>Project Owner</v>
      </c>
      <c r="I43" s="24" t="str">
        <v>Draft project exists</v>
      </c>
      <c r="J43" s="24" t="str">
        <v>Regression</v>
      </c>
      <c r="K43" s="26"/>
      <c r="L43" s="26"/>
      <c r="M43" s="26"/>
      <c r="N43" s="29"/>
      <c r="O43" s="26"/>
      <c r="P43" s="26"/>
      <c r="Q43" s="26"/>
      <c r="R43" s="24" t="str">
        <v>Core</v>
      </c>
      <c r="S43" s="28" t="str">
        <v>Retest</v>
      </c>
      <c r="T43" s="28" t="str">
        <v>V 1.7 TEST: Users can update their project status. This must be stopped because it creates issues with admin, creator users can only observe the current status of their project and you can suggest to contact support if they want an update on their project.</v>
      </c>
      <c r="U43" s="28" t="str">
        <v>Retained</v>
      </c>
    </row>
    <row r="44" ht="60" customHeight="1">
      <c r="A44" s="25" t="str">
        <v>Not Run</v>
      </c>
      <c r="B44" s="19" t="str">
        <v>GO-MAN-043</v>
      </c>
      <c r="C44" s="19" t="str">
        <v>Projects</v>
      </c>
      <c r="D44" s="19" t="str">
        <v>Open admin/project edit; set status to hiring; save</v>
      </c>
      <c r="E44" s="19" t="str">
        <v>Project becomes public/discoverable according to visibility and status</v>
      </c>
      <c r="F44" s="19" t="str">
        <v>Admin publish project</v>
      </c>
      <c r="G44" s="19" t="str">
        <v>P0</v>
      </c>
      <c r="H44" s="19" t="str">
        <v>Platform Admin</v>
      </c>
      <c r="I44" s="19" t="str">
        <v>Draft/pending project exists</v>
      </c>
      <c r="J44" s="19" t="str">
        <v>Smoke</v>
      </c>
      <c r="K44" s="26"/>
      <c r="L44" s="26"/>
      <c r="M44" s="26"/>
      <c r="N44" s="29"/>
      <c r="O44" s="26"/>
      <c r="P44" s="26"/>
      <c r="Q44" s="26"/>
      <c r="R44" s="19" t="str">
        <v>Core</v>
      </c>
      <c r="S44" s="27" t="str">
        <v>Not Run</v>
      </c>
      <c r="T44" s="27"/>
      <c r="U44" s="27" t="str">
        <v>Retained</v>
      </c>
    </row>
    <row r="45" ht="60" customHeight="1">
      <c r="A45" s="25" t="str">
        <v>Not Run</v>
      </c>
      <c r="B45" s="24" t="str">
        <v>GO-MAN-044</v>
      </c>
      <c r="C45" s="24" t="str">
        <v>Projects</v>
      </c>
      <c r="D45" s="24" t="str">
        <v>Set project status to rejected; save; check discovery</v>
      </c>
      <c r="E45" s="24" t="str">
        <v>Rejected project is hidden from public discovery; owner/admin can still inspect as intended</v>
      </c>
      <c r="F45" s="24" t="str">
        <v>Admin reject project</v>
      </c>
      <c r="G45" s="24" t="str">
        <v>P1</v>
      </c>
      <c r="H45" s="24" t="str">
        <v>Platform Admin</v>
      </c>
      <c r="I45" s="24" t="str">
        <v>Project exists</v>
      </c>
      <c r="J45" s="24" t="str">
        <v>Regression</v>
      </c>
      <c r="K45" s="26"/>
      <c r="L45" s="26"/>
      <c r="M45" s="26"/>
      <c r="N45" s="29"/>
      <c r="O45" s="26"/>
      <c r="P45" s="26"/>
      <c r="Q45" s="26"/>
      <c r="R45" s="24" t="str">
        <v>Core</v>
      </c>
      <c r="S45" s="28" t="str">
        <v>Retest</v>
      </c>
      <c r="T45" s="28" t="str">
        <v>V 1.7 TEST: Owner cannot inspect it and it doesn't show in /myprojets it only can be seen in admin and can be updated to a different status.</v>
      </c>
      <c r="U45" s="28" t="str">
        <v>Retained</v>
      </c>
    </row>
    <row r="46" ht="60" customHeight="1">
      <c r="A46" s="25" t="str">
        <v>Not Run</v>
      </c>
      <c r="B46" s="19" t="str">
        <v>GO-MAN-045</v>
      </c>
      <c r="C46" s="19" t="str">
        <v>Projects</v>
      </c>
      <c r="D46" s="19" t="str">
        <v>Archive project; refresh projects list; open direct URL as owner and unrelated user</v>
      </c>
      <c r="E46" s="19" t="str">
        <v>Archived project disappears from discovery; owner/admin can access; unrelated user cannot</v>
      </c>
      <c r="F46" s="19" t="str">
        <v>Archive project</v>
      </c>
      <c r="G46" s="19" t="str">
        <v>P1</v>
      </c>
      <c r="H46" s="19" t="str">
        <v>Project Owner or Admin</v>
      </c>
      <c r="I46" s="19" t="str">
        <v>Project exists</v>
      </c>
      <c r="J46" s="19" t="str">
        <v>Regression</v>
      </c>
      <c r="K46" s="26"/>
      <c r="L46" s="26"/>
      <c r="M46" s="26"/>
      <c r="N46" s="29"/>
      <c r="O46" s="26"/>
      <c r="P46" s="26"/>
      <c r="Q46" s="26"/>
      <c r="R46" s="19" t="str">
        <v>Core</v>
      </c>
      <c r="S46" s="27" t="str">
        <v>Not Run</v>
      </c>
      <c r="T46" s="27"/>
      <c r="U46" s="27" t="str">
        <v>Retained</v>
      </c>
    </row>
    <row r="47" ht="60" customHeight="1">
      <c r="A47" s="25" t="str">
        <v>Not Run</v>
      </c>
      <c r="B47" s="24" t="str">
        <v>GO-MAN-046</v>
      </c>
      <c r="C47" s="24" t="str">
        <v>Projects</v>
      </c>
      <c r="D47" s="24" t="str">
        <v>Restore/unarchive project if UI supports it; refresh list</v>
      </c>
      <c r="E47" s="24" t="str">
        <v>Project visibility returns according to status/visibility rules</v>
      </c>
      <c r="F47" s="24" t="str">
        <v>Restore project</v>
      </c>
      <c r="G47" s="24" t="str">
        <v>P1</v>
      </c>
      <c r="H47" s="24" t="str">
        <v>Project Owner or Admin</v>
      </c>
      <c r="I47" s="24" t="str">
        <v>Archived project exists</v>
      </c>
      <c r="J47" s="24" t="str">
        <v>Regression</v>
      </c>
      <c r="K47" s="26"/>
      <c r="L47" s="26"/>
      <c r="M47" s="26"/>
      <c r="N47" s="29"/>
      <c r="O47" s="26"/>
      <c r="P47" s="26"/>
      <c r="Q47" s="26"/>
      <c r="R47" s="24" t="str">
        <v>Core</v>
      </c>
      <c r="S47" s="28" t="str">
        <v>Not Run</v>
      </c>
      <c r="T47" s="28"/>
      <c r="U47" s="28" t="str">
        <v>Retained</v>
      </c>
    </row>
    <row r="48" ht="60" customHeight="1">
      <c r="A48" s="25" t="str">
        <v>Not Run</v>
      </c>
      <c r="B48" s="19" t="str">
        <v>GO-MAN-047</v>
      </c>
      <c r="C48" s="19" t="str">
        <v>Projects</v>
      </c>
      <c r="D48" s="19" t="str">
        <v>Delete project; confirm; check project list and direct URL</v>
      </c>
      <c r="E48" s="19" t="str">
        <v>Project is removed; direct URL no longer loads; related applications are removed or inaccessible</v>
      </c>
      <c r="F48" s="19" t="str">
        <v>Delete own project</v>
      </c>
      <c r="G48" s="19" t="str">
        <v>P0</v>
      </c>
      <c r="H48" s="19" t="str">
        <v>Project Owner</v>
      </c>
      <c r="I48" s="19" t="str">
        <v>Owner project exists</v>
      </c>
      <c r="J48" s="19" t="str">
        <v>Smoke</v>
      </c>
      <c r="K48" s="26"/>
      <c r="L48" s="26"/>
      <c r="M48" s="26"/>
      <c r="N48" s="29"/>
      <c r="O48" s="26"/>
      <c r="P48" s="26"/>
      <c r="Q48" s="26"/>
      <c r="R48" s="19" t="str">
        <v>Core</v>
      </c>
      <c r="S48" s="27" t="str">
        <v>Not Run</v>
      </c>
      <c r="T48" s="27"/>
      <c r="U48" s="27" t="str">
        <v>Retained</v>
      </c>
    </row>
    <row r="49" ht="60" customHeight="1">
      <c r="A49" s="25" t="str">
        <v>Not Run</v>
      </c>
      <c r="B49" s="24" t="str">
        <v>GO-MAN-048</v>
      </c>
      <c r="C49" s="24" t="str">
        <v>Projects</v>
      </c>
      <c r="D49" s="24" t="str">
        <v>Delete another user's project as admin; confirm</v>
      </c>
      <c r="E49" s="24" t="str">
        <v>Admin can delete; project disappears; owner no longer sees it</v>
      </c>
      <c r="F49" s="24" t="str">
        <v>Admin delete any project</v>
      </c>
      <c r="G49" s="24" t="str">
        <v>P0</v>
      </c>
      <c r="H49" s="24" t="str">
        <v>Platform Admin</v>
      </c>
      <c r="I49" s="24" t="str">
        <v>Project owned by another user exists</v>
      </c>
      <c r="J49" s="24" t="str">
        <v>Regression</v>
      </c>
      <c r="K49" s="26"/>
      <c r="L49" s="26"/>
      <c r="M49" s="26"/>
      <c r="N49" s="29"/>
      <c r="O49" s="26"/>
      <c r="P49" s="26"/>
      <c r="Q49" s="26"/>
      <c r="R49" s="24" t="str">
        <v>Core</v>
      </c>
      <c r="S49" s="28" t="str">
        <v>Retest</v>
      </c>
      <c r="T49" s="28" t="str">
        <v>V 1.7 TEST: The admin user cannot delete a project, only archive it</v>
      </c>
      <c r="U49" s="28" t="str">
        <v>Retained</v>
      </c>
    </row>
    <row r="50" ht="60" customHeight="1">
      <c r="A50" s="25" t="str">
        <v>Not Run</v>
      </c>
      <c r="B50" s="19" t="str">
        <v>GO-MAN-049</v>
      </c>
      <c r="C50" s="19" t="str">
        <v>Projects</v>
      </c>
      <c r="D50" s="19" t="str">
        <v>Attempt delete/edit project via UI/direct URL</v>
      </c>
      <c r="E50" s="19" t="str">
        <v>Access is denied; no project data changes</v>
      </c>
      <c r="F50" s="19" t="str">
        <v>Non-owner delete block</v>
      </c>
      <c r="G50" s="19" t="str">
        <v>P0</v>
      </c>
      <c r="H50" s="19" t="str">
        <v>Unrelated User</v>
      </c>
      <c r="I50" s="19" t="str">
        <v>Project owned by another user exists</v>
      </c>
      <c r="J50" s="19" t="str">
        <v>Regression</v>
      </c>
      <c r="K50" s="26"/>
      <c r="L50" s="26"/>
      <c r="M50" s="26"/>
      <c r="N50" s="29"/>
      <c r="O50" s="26"/>
      <c r="P50" s="26"/>
      <c r="Q50" s="26"/>
      <c r="R50" s="19" t="str">
        <v>Core</v>
      </c>
      <c r="S50" s="27" t="str">
        <v>Not Run</v>
      </c>
      <c r="T50" s="27"/>
      <c r="U50" s="27" t="str">
        <v>Retained</v>
      </c>
    </row>
    <row r="51" ht="60" customHeight="1">
      <c r="A51" s="25" t="str">
        <v>Not Run</v>
      </c>
      <c r="B51" s="24" t="str">
        <v>GO-MAN-050</v>
      </c>
      <c r="C51" s="24" t="str">
        <v>Applications</v>
      </c>
      <c r="D51" s="24" t="str">
        <v>Open hiring project; click apply; attempt application</v>
      </c>
      <c r="E51" s="24" t="str">
        <v>Free user is blocked with clear membership requirement</v>
      </c>
      <c r="F51" s="24" t="str">
        <v>Apply requires membership</v>
      </c>
      <c r="G51" s="24" t="str">
        <v>P0</v>
      </c>
      <c r="H51" s="24" t="str">
        <v>Free User</v>
      </c>
      <c r="I51" s="24" t="str">
        <v>Public hiring project exists</v>
      </c>
      <c r="J51" s="24" t="str">
        <v>Smoke</v>
      </c>
      <c r="K51" s="26"/>
      <c r="L51" s="26"/>
      <c r="M51" s="26"/>
      <c r="N51" s="29"/>
      <c r="O51" s="26"/>
      <c r="P51" s="26"/>
      <c r="Q51" s="26"/>
      <c r="R51" s="24" t="str">
        <v>Core</v>
      </c>
      <c r="S51" s="28" t="str">
        <v>Not Run</v>
      </c>
      <c r="T51" s="28"/>
      <c r="U51" s="28" t="str">
        <v>Retained</v>
      </c>
    </row>
    <row r="52" ht="60" customHeight="1">
      <c r="A52" s="25" t="str">
        <v>Not Run</v>
      </c>
      <c r="B52" s="19" t="str">
        <v>GO-MAN-051</v>
      </c>
      <c r="C52" s="19" t="str">
        <v>Applications</v>
      </c>
      <c r="D52" s="19" t="str">
        <v>Open project; apply with role motivation availability</v>
      </c>
      <c r="E52" s="19" t="str">
        <v>Application is created as pending; user sees success; project owner can see it</v>
      </c>
      <c r="F52" s="19" t="str">
        <v>Member apply to hiring project</v>
      </c>
      <c r="G52" s="19" t="str">
        <v>P0</v>
      </c>
      <c r="H52" s="19" t="str">
        <v>Member Subscriber</v>
      </c>
      <c r="I52" s="19" t="str">
        <v>Public hiring project exists and active CV exists</v>
      </c>
      <c r="J52" s="19" t="str">
        <v>Smoke</v>
      </c>
      <c r="K52" s="26"/>
      <c r="L52" s="26"/>
      <c r="M52" s="26"/>
      <c r="N52" s="29"/>
      <c r="O52" s="26"/>
      <c r="P52" s="26"/>
      <c r="Q52" s="26"/>
      <c r="R52" s="19" t="str">
        <v>Core</v>
      </c>
      <c r="S52" s="27" t="str">
        <v>Not Run</v>
      </c>
      <c r="T52" s="27"/>
      <c r="U52" s="27" t="str">
        <v>Retained</v>
      </c>
    </row>
    <row r="53" ht="90" customHeight="1">
      <c r="A53" s="25" t="str">
        <v>Not Run</v>
      </c>
      <c r="B53" s="24" t="str">
        <v>GO-MAN-052</v>
      </c>
      <c r="C53" s="24" t="str">
        <v>Applications</v>
      </c>
      <c r="D53" s="24" t="str">
        <v>Apply to project; edit CV afterwards; inspect application as project owner/admin</v>
      </c>
      <c r="E53" s="24" t="str">
        <v>Application retains original CV snapshot; later CV edits do not alter historical application</v>
      </c>
      <c r="F53" s="24" t="str">
        <v>CV snapshot on apply</v>
      </c>
      <c r="G53" s="24" t="str">
        <v>P0</v>
      </c>
      <c r="H53" s="24" t="str">
        <v>Member Subscriber</v>
      </c>
      <c r="I53" s="24" t="str">
        <v>CV exists and project accepts applications</v>
      </c>
      <c r="J53" s="24" t="str">
        <v>Smoke</v>
      </c>
      <c r="K53" s="26"/>
      <c r="L53" s="26"/>
      <c r="M53" s="26"/>
      <c r="N53" s="29"/>
      <c r="O53" s="26"/>
      <c r="P53" s="26"/>
      <c r="Q53" s="26"/>
      <c r="R53" s="24" t="str">
        <v>Core</v>
      </c>
      <c r="S53" s="28" t="str">
        <v>Retest</v>
      </c>
      <c r="T53" s="28" t="str">
        <v>V 1.7 TEST: I want the creator to be able to see the moment the user applied and the current user profile as well two different links, the functionality is good as it is, but I also want creators to be able to observe public profiles with their latests updates</v>
      </c>
      <c r="U53" s="28" t="str">
        <v>Retained</v>
      </c>
    </row>
    <row r="54" ht="60" customHeight="1">
      <c r="A54" s="25" t="str">
        <v>Not Run</v>
      </c>
      <c r="B54" s="19" t="str">
        <v>GO-MAN-053</v>
      </c>
      <c r="C54" s="19" t="str">
        <v>Applications</v>
      </c>
      <c r="D54" s="19" t="str">
        <v>Attempt to apply again to same project</v>
      </c>
      <c r="E54" s="19" t="str">
        <v>Duplicate application is blocked with clear message</v>
      </c>
      <c r="F54" s="19" t="str">
        <v>Duplicate apply blocked</v>
      </c>
      <c r="G54" s="19" t="str">
        <v>P0</v>
      </c>
      <c r="H54" s="19" t="str">
        <v>Member Subscriber</v>
      </c>
      <c r="I54" s="19" t="str">
        <v>User already has pending/approved application</v>
      </c>
      <c r="J54" s="19" t="str">
        <v>Regression</v>
      </c>
      <c r="K54" s="26"/>
      <c r="L54" s="26"/>
      <c r="M54" s="26"/>
      <c r="N54" s="29"/>
      <c r="O54" s="26"/>
      <c r="P54" s="26"/>
      <c r="Q54" s="26"/>
      <c r="R54" s="19" t="str">
        <v>Core</v>
      </c>
      <c r="S54" s="27" t="str">
        <v>Not Run</v>
      </c>
      <c r="T54" s="27"/>
      <c r="U54" s="27" t="str">
        <v>Retained</v>
      </c>
    </row>
    <row r="55" ht="60" customHeight="1">
      <c r="A55" s="25" t="str">
        <v>Not Run</v>
      </c>
      <c r="B55" s="24" t="str">
        <v>GO-MAN-054</v>
      </c>
      <c r="C55" s="24" t="str">
        <v>Applications</v>
      </c>
      <c r="D55" s="24" t="str">
        <v>Open own/team project; attempt to apply</v>
      </c>
      <c r="E55" s="24" t="str">
        <v>Application is blocked because user is already a project member</v>
      </c>
      <c r="F55" s="24" t="str">
        <v>Project member cannot apply</v>
      </c>
      <c r="G55" s="24" t="str">
        <v>P1</v>
      </c>
      <c r="H55" s="24" t="str">
        <v>Project Team Member</v>
      </c>
      <c r="I55" s="24" t="str">
        <v>User is already owner/admin/team member of project</v>
      </c>
      <c r="J55" s="24" t="str">
        <v>Regression</v>
      </c>
      <c r="K55" s="26"/>
      <c r="L55" s="26"/>
      <c r="M55" s="26"/>
      <c r="N55" s="29"/>
      <c r="O55" s="26"/>
      <c r="P55" s="26"/>
      <c r="Q55" s="26"/>
      <c r="R55" s="24" t="str">
        <v>Core</v>
      </c>
      <c r="S55" s="28" t="str">
        <v>Not Run</v>
      </c>
      <c r="T55" s="28"/>
      <c r="U55" s="28" t="str">
        <v>Retained</v>
      </c>
    </row>
    <row r="56" ht="60" customHeight="1">
      <c r="A56" s="25" t="str">
        <v>Not Run</v>
      </c>
      <c r="B56" s="19" t="str">
        <v>GO-MAN-055</v>
      </c>
      <c r="C56" s="19" t="str">
        <v>Applications</v>
      </c>
      <c r="D56" s="19" t="str">
        <v>Attempt application to project that is not hiring</v>
      </c>
      <c r="E56" s="19" t="str">
        <v>Application is blocked; user sees not accepting applications message</v>
      </c>
      <c r="F56" s="19" t="str">
        <v>Apply to non-hiring project blocked</v>
      </c>
      <c r="G56" s="19" t="str">
        <v>P0</v>
      </c>
      <c r="H56" s="19" t="str">
        <v>Member Subscriber</v>
      </c>
      <c r="I56" s="19" t="str">
        <v>Project with completed/live/draft status exists</v>
      </c>
      <c r="J56" s="19" t="str">
        <v>Regression</v>
      </c>
      <c r="K56" s="26"/>
      <c r="L56" s="26"/>
      <c r="M56" s="26"/>
      <c r="N56" s="29"/>
      <c r="O56" s="26"/>
      <c r="P56" s="26"/>
      <c r="Q56" s="26"/>
      <c r="R56" s="19" t="str">
        <v>Core</v>
      </c>
      <c r="S56" s="27" t="str">
        <v>Not Run</v>
      </c>
      <c r="T56" s="27"/>
      <c r="U56" s="27" t="str">
        <v>Retained</v>
      </c>
    </row>
    <row r="57" ht="60" customHeight="1">
      <c r="A57" s="25" t="str">
        <v>Not Run</v>
      </c>
      <c r="B57" s="24" t="str">
        <v>GO-MAN-056</v>
      </c>
      <c r="C57" s="24" t="str">
        <v>Applications</v>
      </c>
      <c r="D57" s="24" t="str">
        <v>Open project applications/admin area</v>
      </c>
      <c r="E57" s="24" t="str">
        <v>Owner sees applications for their project; applicant data and CV snapshot display correctly</v>
      </c>
      <c r="F57" s="24" t="str">
        <v>Owner views applications</v>
      </c>
      <c r="G57" s="24" t="str">
        <v>P0</v>
      </c>
      <c r="H57" s="24" t="str">
        <v>Project Owner</v>
      </c>
      <c r="I57" s="24" t="str">
        <v>Project has applications</v>
      </c>
      <c r="J57" s="24" t="str">
        <v>Smoke</v>
      </c>
      <c r="K57" s="26"/>
      <c r="L57" s="26"/>
      <c r="M57" s="26"/>
      <c r="N57" s="29"/>
      <c r="O57" s="26"/>
      <c r="P57" s="26"/>
      <c r="Q57" s="26"/>
      <c r="R57" s="24" t="str">
        <v>Core</v>
      </c>
      <c r="S57" s="28" t="str">
        <v>Not Run</v>
      </c>
      <c r="T57" s="28"/>
      <c r="U57" s="28" t="str">
        <v>Retained</v>
      </c>
    </row>
    <row r="58" ht="60" customHeight="1">
      <c r="A58" s="25" t="str">
        <v>Not Run</v>
      </c>
      <c r="B58" s="19" t="str">
        <v>GO-MAN-057</v>
      </c>
      <c r="C58" s="19" t="str">
        <v>Applications</v>
      </c>
      <c r="D58" s="19" t="str">
        <v>Attempt to open project applications endpoint/page for another owner's project</v>
      </c>
      <c r="E58" s="19" t="str">
        <v>Access is denied; application data is not visible</v>
      </c>
      <c r="F58" s="19" t="str">
        <v>Unrelated user cannot view applications</v>
      </c>
      <c r="G58" s="19" t="str">
        <v>P0</v>
      </c>
      <c r="H58" s="19" t="str">
        <v>Unrelated User</v>
      </c>
      <c r="I58" s="19" t="str">
        <v>Project has applications</v>
      </c>
      <c r="J58" s="19" t="str">
        <v>Regression</v>
      </c>
      <c r="K58" s="26"/>
      <c r="L58" s="26"/>
      <c r="M58" s="26"/>
      <c r="N58" s="29"/>
      <c r="O58" s="26"/>
      <c r="P58" s="26"/>
      <c r="Q58" s="26"/>
      <c r="R58" s="19" t="str">
        <v>Core</v>
      </c>
      <c r="S58" s="27" t="str">
        <v>Not Run</v>
      </c>
      <c r="T58" s="27"/>
      <c r="U58" s="27" t="str">
        <v>Retained</v>
      </c>
    </row>
    <row r="59" ht="60" customHeight="1">
      <c r="A59" s="25" t="str">
        <v>Not Run</v>
      </c>
      <c r="B59" s="24" t="str">
        <v>GO-MAN-058</v>
      </c>
      <c r="C59" s="24" t="str">
        <v>Applications</v>
      </c>
      <c r="D59" s="24" t="str">
        <v>Approve applicant</v>
      </c>
      <c r="E59" s="24" t="str">
        <v>Application status becomes approved; applicant is added to team members; applicant sees team/project membership</v>
      </c>
      <c r="F59" s="24" t="str">
        <v>Approve application</v>
      </c>
      <c r="G59" s="24" t="str">
        <v>P0</v>
      </c>
      <c r="H59" s="24" t="str">
        <v>Project Owner</v>
      </c>
      <c r="I59" s="24" t="str">
        <v>Pending application exists</v>
      </c>
      <c r="J59" s="24" t="str">
        <v>Smoke</v>
      </c>
      <c r="K59" s="26"/>
      <c r="L59" s="26"/>
      <c r="M59" s="26"/>
      <c r="N59" s="29"/>
      <c r="O59" s="26"/>
      <c r="P59" s="26"/>
      <c r="Q59" s="26"/>
      <c r="R59" s="24" t="str">
        <v>Core</v>
      </c>
      <c r="S59" s="28" t="str">
        <v>Not Run</v>
      </c>
      <c r="T59" s="28"/>
      <c r="U59" s="28" t="str">
        <v>Retained</v>
      </c>
    </row>
    <row r="60" ht="60" customHeight="1">
      <c r="A60" s="25" t="str">
        <v>Not Run</v>
      </c>
      <c r="B60" s="19" t="str">
        <v>GO-MAN-059</v>
      </c>
      <c r="C60" s="19" t="str">
        <v>Applications</v>
      </c>
      <c r="D60" s="19" t="str">
        <v>Reject applicant</v>
      </c>
      <c r="E60" s="19" t="str">
        <v>Application status becomes rejected; applicant is not added to project team</v>
      </c>
      <c r="F60" s="19" t="str">
        <v>Reject application</v>
      </c>
      <c r="G60" s="19" t="str">
        <v>P1</v>
      </c>
      <c r="H60" s="19" t="str">
        <v>Project Owner</v>
      </c>
      <c r="I60" s="19" t="str">
        <v>Pending application exists</v>
      </c>
      <c r="J60" s="19" t="str">
        <v>Regression</v>
      </c>
      <c r="K60" s="26"/>
      <c r="L60" s="26"/>
      <c r="M60" s="26"/>
      <c r="N60" s="29"/>
      <c r="O60" s="26"/>
      <c r="P60" s="26"/>
      <c r="Q60" s="26"/>
      <c r="R60" s="19" t="str">
        <v>Core</v>
      </c>
      <c r="S60" s="27" t="str">
        <v>Not Run</v>
      </c>
      <c r="T60" s="27"/>
      <c r="U60" s="27" t="str">
        <v>Retained</v>
      </c>
    </row>
    <row r="61" ht="60" customHeight="1">
      <c r="A61" s="25" t="str">
        <v>Not Run</v>
      </c>
      <c r="B61" s="24" t="str">
        <v>GO-MAN-060</v>
      </c>
      <c r="C61" s="24" t="str">
        <v>Applications</v>
      </c>
      <c r="D61" s="24" t="str">
        <v>Open own applications; cancel application</v>
      </c>
      <c r="E61" s="24" t="str">
        <v>Application status becomes cancelled; project team membership does not change</v>
      </c>
      <c r="F61" s="24" t="str">
        <v>Applicant cancels application</v>
      </c>
      <c r="G61" s="24" t="str">
        <v>P1</v>
      </c>
      <c r="H61" s="24" t="str">
        <v>Member Subscriber</v>
      </c>
      <c r="I61" s="24" t="str">
        <v>Pending own application exists</v>
      </c>
      <c r="J61" s="24" t="str">
        <v>Regression</v>
      </c>
      <c r="K61" s="26"/>
      <c r="L61" s="26"/>
      <c r="M61" s="26"/>
      <c r="N61" s="29"/>
      <c r="O61" s="26"/>
      <c r="P61" s="26"/>
      <c r="Q61" s="26"/>
      <c r="R61" s="24" t="str">
        <v>Core</v>
      </c>
      <c r="S61" s="28" t="str">
        <v>Not Run</v>
      </c>
      <c r="T61" s="28"/>
      <c r="U61" s="28" t="str">
        <v>Retained</v>
      </c>
    </row>
    <row r="62" ht="60" customHeight="1">
      <c r="A62" s="25" t="str">
        <v>Not Run</v>
      </c>
      <c r="B62" s="19" t="str">
        <v>GO-MAN-061</v>
      </c>
      <c r="C62" s="19" t="str">
        <v>Admin</v>
      </c>
      <c r="D62" s="19" t="str">
        <v>Open /admin and child admin URLs as visitor and non-admin user</v>
      </c>
      <c r="E62" s="19" t="str">
        <v>Access denied or redirected; no admin data visible</v>
      </c>
      <c r="F62" s="19" t="str">
        <v>Admin route protection</v>
      </c>
      <c r="G62" s="19" t="str">
        <v>P0</v>
      </c>
      <c r="H62" s="19" t="str">
        <v>Visitor or Non-admin</v>
      </c>
      <c r="I62" s="19" t="str">
        <v>Admin pages exist</v>
      </c>
      <c r="J62" s="19" t="str">
        <v>Smoke</v>
      </c>
      <c r="K62" s="26"/>
      <c r="L62" s="26"/>
      <c r="M62" s="26"/>
      <c r="N62" s="29"/>
      <c r="O62" s="26"/>
      <c r="P62" s="26"/>
      <c r="Q62" s="26"/>
      <c r="R62" s="19" t="str">
        <v>Core</v>
      </c>
      <c r="S62" s="27" t="str">
        <v>Not Run</v>
      </c>
      <c r="T62" s="27"/>
      <c r="U62" s="27" t="str">
        <v>Retained</v>
      </c>
    </row>
    <row r="63" ht="60" customHeight="1">
      <c r="A63" s="25" t="str">
        <v>Not Run</v>
      </c>
      <c r="B63" s="24" t="str">
        <v>GO-MAN-062</v>
      </c>
      <c r="C63" s="24" t="str">
        <v>Admin</v>
      </c>
      <c r="D63" s="24" t="str">
        <v>Open /admin/dashboard</v>
      </c>
      <c r="E63" s="24" t="str">
        <v>Dashboard loads without error; metrics/cards are visible and plausible</v>
      </c>
      <c r="F63" s="24" t="str">
        <v>Admin dashboard loads</v>
      </c>
      <c r="G63" s="24" t="str">
        <v>P0</v>
      </c>
      <c r="H63" s="24" t="str">
        <v>Platform Admin</v>
      </c>
      <c r="I63" s="24" t="str">
        <v>Admin account active</v>
      </c>
      <c r="J63" s="24" t="str">
        <v>Regression</v>
      </c>
      <c r="K63" s="26"/>
      <c r="L63" s="26"/>
      <c r="M63" s="26"/>
      <c r="N63" s="29"/>
      <c r="O63" s="26"/>
      <c r="P63" s="26"/>
      <c r="Q63" s="26"/>
      <c r="R63" s="24" t="str">
        <v>Core</v>
      </c>
      <c r="S63" s="28" t="str">
        <v>Not Run</v>
      </c>
      <c r="T63" s="28"/>
      <c r="U63" s="28" t="str">
        <v>Retained</v>
      </c>
    </row>
    <row r="64" ht="60" customHeight="1">
      <c r="A64" s="25" t="str">
        <v>Not Run</v>
      </c>
      <c r="B64" s="19" t="str">
        <v>GO-MAN-063</v>
      </c>
      <c r="C64" s="19" t="str">
        <v>Admin</v>
      </c>
      <c r="D64" s="19" t="str">
        <v>Open /admin/users; search/filter if available; inspect user details</v>
      </c>
      <c r="E64" s="19" t="str">
        <v>Users list loads; no sensitive secrets shown; admin actions are clear</v>
      </c>
      <c r="F64" s="19" t="str">
        <v>Admin users page</v>
      </c>
      <c r="G64" s="19" t="str">
        <v>P1</v>
      </c>
      <c r="H64" s="19" t="str">
        <v>Platform Admin</v>
      </c>
      <c r="I64" s="19" t="str">
        <v>Users exist</v>
      </c>
      <c r="J64" s="19" t="str">
        <v>Regression</v>
      </c>
      <c r="K64" s="26"/>
      <c r="L64" s="26"/>
      <c r="M64" s="26"/>
      <c r="N64" s="29"/>
      <c r="O64" s="26"/>
      <c r="P64" s="26"/>
      <c r="Q64" s="26"/>
      <c r="R64" s="19" t="str">
        <v>Core</v>
      </c>
      <c r="S64" s="27" t="str">
        <v>Not Run</v>
      </c>
      <c r="T64" s="27"/>
      <c r="U64" s="27" t="str">
        <v>Retained</v>
      </c>
    </row>
    <row r="65" ht="60" customHeight="1">
      <c r="A65" s="25" t="str">
        <v>Not Run</v>
      </c>
      <c r="B65" s="24" t="str">
        <v>GO-MAN-064</v>
      </c>
      <c r="C65" s="24" t="str">
        <v>Admin</v>
      </c>
      <c r="D65" s="24" t="str">
        <v>Open /admin/projects; filter statuses; open project actions</v>
      </c>
      <c r="E65" s="24" t="str">
        <v>Admin sees projects across owners; actions match permissions</v>
      </c>
      <c r="F65" s="24" t="str">
        <v>Admin projects page</v>
      </c>
      <c r="G65" s="24" t="str">
        <v>P0</v>
      </c>
      <c r="H65" s="24" t="str">
        <v>Platform Admin</v>
      </c>
      <c r="I65" s="24" t="str">
        <v>Projects exist</v>
      </c>
      <c r="J65" s="24" t="str">
        <v>Regression</v>
      </c>
      <c r="K65" s="26"/>
      <c r="L65" s="26"/>
      <c r="M65" s="26"/>
      <c r="N65" s="29"/>
      <c r="O65" s="26"/>
      <c r="P65" s="26"/>
      <c r="Q65" s="26"/>
      <c r="R65" s="24" t="str">
        <v>Core</v>
      </c>
      <c r="S65" s="28" t="str">
        <v>Not Run</v>
      </c>
      <c r="T65" s="28"/>
      <c r="U65" s="28" t="str">
        <v>Retained</v>
      </c>
    </row>
    <row r="66" ht="60" customHeight="1">
      <c r="A66" s="25" t="str">
        <v>Not Run</v>
      </c>
      <c r="B66" s="19" t="str">
        <v>GO-MAN-065</v>
      </c>
      <c r="C66" s="19" t="str">
        <v>Admin</v>
      </c>
      <c r="D66" s="19" t="str">
        <v>Open /admin/subscriptions</v>
      </c>
      <c r="E66" s="19" t="str">
        <v>Orders/events/subscription statuses display correctly; no raw broken timestamps</v>
      </c>
      <c r="F66" s="19" t="str">
        <v>Admin subscriptions page</v>
      </c>
      <c r="G66" s="19" t="str">
        <v>P0</v>
      </c>
      <c r="H66" s="19" t="str">
        <v>Platform Admin</v>
      </c>
      <c r="I66" s="19" t="str">
        <v>Polar sandbox data exists</v>
      </c>
      <c r="J66" s="19" t="str">
        <v>Regression</v>
      </c>
      <c r="K66" s="26"/>
      <c r="L66" s="26"/>
      <c r="M66" s="26"/>
      <c r="N66" s="29"/>
      <c r="O66" s="26"/>
      <c r="P66" s="26"/>
      <c r="Q66" s="26"/>
      <c r="R66" s="19" t="str">
        <v>Core</v>
      </c>
      <c r="S66" s="27" t="str">
        <v>Not Run</v>
      </c>
      <c r="T66" s="27"/>
      <c r="U66" s="27" t="str">
        <v>Retained</v>
      </c>
    </row>
    <row r="67" ht="60" customHeight="1">
      <c r="A67" s="25" t="str">
        <v>Not Run</v>
      </c>
      <c r="B67" s="24" t="str">
        <v>GO-MAN-066</v>
      </c>
      <c r="C67" s="24" t="str">
        <v>Admin</v>
      </c>
      <c r="D67" s="24" t="str">
        <v>On the production-like QA build, open /make-admin and the legacy bootstrap endpoint as a normal user.</v>
      </c>
      <c r="E67" s="24" t="str">
        <v>The routes are absent or denied. No account receives admin rights.</v>
      </c>
      <c r="F67" s="24" t="str">
        <v>Admin bootstrap unavailable</v>
      </c>
      <c r="G67" s="24" t="str">
        <v>P0</v>
      </c>
      <c r="H67" s="24" t="str">
        <v>Free user</v>
      </c>
      <c r="I67" s="24" t="str">
        <v>Use prepared QA records and separate accounts. Record the actual URL and build on Run Overview.</v>
      </c>
      <c r="J67" s="24" t="str">
        <v>Regression</v>
      </c>
      <c r="K67" s="26"/>
      <c r="L67" s="26"/>
      <c r="M67" s="26"/>
      <c r="N67" s="29"/>
      <c r="O67" s="26"/>
      <c r="P67" s="26"/>
      <c r="Q67" s="26"/>
      <c r="R67" s="24" t="str">
        <v>Core</v>
      </c>
      <c r="S67" s="28" t="str">
        <v>N/A</v>
      </c>
      <c r="T67" s="28"/>
      <c r="U67" s="28" t="str">
        <v>Updated</v>
      </c>
    </row>
    <row r="68" ht="60" customHeight="1">
      <c r="A68" s="25" t="str">
        <v>Not Run</v>
      </c>
      <c r="B68" s="19" t="str">
        <v>GO-MAN-067</v>
      </c>
      <c r="C68" s="19" t="str">
        <v>Billing</v>
      </c>
      <c r="D68" s="19" t="str">
        <v>Open /membership. Inspect Community, Mentor and Business at monthly and annual intervals. Open each configured sandbox checkout.</v>
      </c>
      <c r="E68" s="19" t="str">
        <v>Each checkout matches its displayed plan and interval. Mentor purchase clearly requires a separate interview and verification.</v>
      </c>
      <c r="F68" s="19" t="str">
        <v>Three paid plans and billing intervals</v>
      </c>
      <c r="G68" s="19" t="str">
        <v>P0</v>
      </c>
      <c r="H68" s="19" t="str">
        <v>Visitor or Logged-in User</v>
      </c>
      <c r="I68" s="19" t="str">
        <v>Four Polar product IDs configured Use controlled QA accounts and Polar sandbox only.</v>
      </c>
      <c r="J68" s="19" t="str">
        <v>Regression</v>
      </c>
      <c r="K68" s="26"/>
      <c r="L68" s="26"/>
      <c r="M68" s="26"/>
      <c r="N68" s="29"/>
      <c r="O68" s="26"/>
      <c r="P68" s="26"/>
      <c r="Q68" s="26"/>
      <c r="R68" s="19" t="str">
        <v>Sandbox billing</v>
      </c>
      <c r="S68" s="27" t="str">
        <v>Not Run</v>
      </c>
      <c r="T68" s="27"/>
      <c r="U68" s="27" t="str">
        <v>Updated</v>
      </c>
    </row>
    <row r="69" ht="60" customHeight="1">
      <c r="A69" s="25" t="str">
        <v>Not Run</v>
      </c>
      <c r="B69" s="24" t="str">
        <v>GO-MAN-068</v>
      </c>
      <c r="C69" s="24" t="str">
        <v>Billing</v>
      </c>
      <c r="D69" s="24" t="str">
        <v>Click Member monthly subscribe; inspect Polar checkout page</v>
      </c>
      <c r="E69" s="24" t="str">
        <v>Checkout opens sandbox product; product name price currency and recurrence are correct</v>
      </c>
      <c r="F69" s="24" t="str">
        <v>Member monthly checkout</v>
      </c>
      <c r="G69" s="24" t="str">
        <v>P0</v>
      </c>
      <c r="H69" s="24" t="str">
        <v>Logged-in User</v>
      </c>
      <c r="I69" s="24" t="str">
        <v>Polar sandbox configured Use controlled QA accounts and Polar sandbox only.</v>
      </c>
      <c r="J69" s="24" t="str">
        <v>Smoke</v>
      </c>
      <c r="K69" s="26"/>
      <c r="L69" s="26"/>
      <c r="M69" s="26"/>
      <c r="N69" s="29"/>
      <c r="O69" s="26"/>
      <c r="P69" s="26"/>
      <c r="Q69" s="26"/>
      <c r="R69" s="24" t="str">
        <v>Sandbox billing</v>
      </c>
      <c r="S69" s="28" t="str">
        <v>Not Run</v>
      </c>
      <c r="T69" s="28"/>
      <c r="U69" s="28" t="str">
        <v>Retained</v>
      </c>
    </row>
    <row r="70" ht="60" customHeight="1">
      <c r="A70" s="25" t="str">
        <v>Not Run</v>
      </c>
      <c r="B70" s="19" t="str">
        <v>GO-MAN-069</v>
      </c>
      <c r="C70" s="19" t="str">
        <v>Billing</v>
      </c>
      <c r="D70" s="19" t="str">
        <v>Click Member annual subscribe; inspect Polar checkout page</v>
      </c>
      <c r="E70" s="19" t="str">
        <v>Checkout opens annual member product; yearly recurrence wording is clear</v>
      </c>
      <c r="F70" s="19" t="str">
        <v>Member annual checkout</v>
      </c>
      <c r="G70" s="19" t="str">
        <v>P0</v>
      </c>
      <c r="H70" s="19" t="str">
        <v>Logged-in User</v>
      </c>
      <c r="I70" s="19" t="str">
        <v>Polar sandbox configured Use controlled QA accounts and Polar sandbox only.</v>
      </c>
      <c r="J70" s="19" t="str">
        <v>Regression</v>
      </c>
      <c r="K70" s="26"/>
      <c r="L70" s="26"/>
      <c r="M70" s="26"/>
      <c r="N70" s="29"/>
      <c r="O70" s="26"/>
      <c r="P70" s="26"/>
      <c r="Q70" s="26"/>
      <c r="R70" s="19" t="str">
        <v>Sandbox billing</v>
      </c>
      <c r="S70" s="27" t="str">
        <v>Not Run</v>
      </c>
      <c r="T70" s="27"/>
      <c r="U70" s="27" t="str">
        <v>Retained</v>
      </c>
    </row>
    <row r="71" ht="60" customHeight="1">
      <c r="A71" s="25" t="str">
        <v>Not Run</v>
      </c>
      <c r="B71" s="24" t="str">
        <v>GO-MAN-070</v>
      </c>
      <c r="C71" s="24" t="str">
        <v>Billing</v>
      </c>
      <c r="D71" s="24" t="str">
        <v>Click Company monthly subscribe; inspect Polar checkout page</v>
      </c>
      <c r="E71" s="24" t="str">
        <v>Checkout opens company monthly product; benefits/tier are correct</v>
      </c>
      <c r="F71" s="24" t="str">
        <v>Company monthly checkout</v>
      </c>
      <c r="G71" s="24" t="str">
        <v>P0</v>
      </c>
      <c r="H71" s="24" t="str">
        <v>Logged-in User</v>
      </c>
      <c r="I71" s="24" t="str">
        <v>Polar sandbox configured Use controlled QA accounts and Polar sandbox only.</v>
      </c>
      <c r="J71" s="24" t="str">
        <v>Regression</v>
      </c>
      <c r="K71" s="26"/>
      <c r="L71" s="26"/>
      <c r="M71" s="26"/>
      <c r="N71" s="29"/>
      <c r="O71" s="26"/>
      <c r="P71" s="26"/>
      <c r="Q71" s="26"/>
      <c r="R71" s="24" t="str">
        <v>Sandbox billing</v>
      </c>
      <c r="S71" s="28" t="str">
        <v>Not Run</v>
      </c>
      <c r="T71" s="28"/>
      <c r="U71" s="28" t="str">
        <v>Retained</v>
      </c>
    </row>
    <row r="72" ht="60" customHeight="1">
      <c r="A72" s="25" t="str">
        <v>Not Run</v>
      </c>
      <c r="B72" s="19" t="str">
        <v>GO-MAN-071</v>
      </c>
      <c r="C72" s="19" t="str">
        <v>Billing</v>
      </c>
      <c r="D72" s="19" t="str">
        <v>Click Company annual subscribe; inspect Polar checkout page</v>
      </c>
      <c r="E72" s="19" t="str">
        <v>Checkout opens company annual product; yearly recurrence wording is clear</v>
      </c>
      <c r="F72" s="19" t="str">
        <v>Company annual checkout</v>
      </c>
      <c r="G72" s="19" t="str">
        <v>P0</v>
      </c>
      <c r="H72" s="19" t="str">
        <v>Logged-in User</v>
      </c>
      <c r="I72" s="19" t="str">
        <v>Polar sandbox configured Use controlled QA accounts and Polar sandbox only.</v>
      </c>
      <c r="J72" s="19" t="str">
        <v>Regression</v>
      </c>
      <c r="K72" s="26"/>
      <c r="L72" s="26"/>
      <c r="M72" s="26"/>
      <c r="N72" s="29"/>
      <c r="O72" s="26"/>
      <c r="P72" s="26"/>
      <c r="Q72" s="26"/>
      <c r="R72" s="19" t="str">
        <v>Sandbox billing</v>
      </c>
      <c r="S72" s="27" t="str">
        <v>Not Run</v>
      </c>
      <c r="T72" s="27"/>
      <c r="U72" s="27" t="str">
        <v>Retained</v>
      </c>
    </row>
    <row r="73" ht="60" customHeight="1">
      <c r="A73" s="25" t="str">
        <v>Not Run</v>
      </c>
      <c r="B73" s="24" t="str">
        <v>GO-MAN-072</v>
      </c>
      <c r="C73" s="24" t="str">
        <v>Billing</v>
      </c>
      <c r="D73" s="24" t="str">
        <v>Inspect checkout email/customer fields</v>
      </c>
      <c r="E73" s="24" t="str">
        <v>Email is prefilled/locked where Polar supports it; user cannot buy under spoofed identity from app UI</v>
      </c>
      <c r="F73" s="24" t="str">
        <v>Checkout identity</v>
      </c>
      <c r="G73" s="24" t="str">
        <v>P0</v>
      </c>
      <c r="H73" s="24" t="str">
        <v>Logged-in User</v>
      </c>
      <c r="I73" s="24" t="str">
        <v>Polar sandbox checkout opened Use controlled QA accounts and Polar sandbox only.</v>
      </c>
      <c r="J73" s="24" t="str">
        <v>Regression</v>
      </c>
      <c r="K73" s="26"/>
      <c r="L73" s="26"/>
      <c r="M73" s="26"/>
      <c r="N73" s="29"/>
      <c r="O73" s="26"/>
      <c r="P73" s="26"/>
      <c r="Q73" s="26"/>
      <c r="R73" s="24" t="str">
        <v>Sandbox billing</v>
      </c>
      <c r="S73" s="28" t="str">
        <v>Not Run</v>
      </c>
      <c r="T73" s="28"/>
      <c r="U73" s="28" t="str">
        <v>Retained</v>
      </c>
    </row>
    <row r="74" ht="60" customHeight="1">
      <c r="A74" s="25" t="str">
        <v>Not Run</v>
      </c>
      <c r="B74" s="19" t="str">
        <v>GO-MAN-073</v>
      </c>
      <c r="C74" s="19" t="str">
        <v>Billing</v>
      </c>
      <c r="D74" s="19" t="str">
        <v>Pay using card 4242 4242 4242 4242 future expiry any CVC</v>
      </c>
      <c r="E74" s="19" t="str">
        <v>Payment succeeds; user returns to success URL; no live payment is charged</v>
      </c>
      <c r="F74" s="19" t="str">
        <v>Sandbox payment success</v>
      </c>
      <c r="G74" s="19" t="str">
        <v>P0</v>
      </c>
      <c r="H74" s="19" t="str">
        <v>Logged-in User</v>
      </c>
      <c r="I74" s="19" t="str">
        <v>Polar sandbox checkout opened Use controlled QA accounts and Polar sandbox only.</v>
      </c>
      <c r="J74" s="19" t="str">
        <v>Smoke</v>
      </c>
      <c r="K74" s="26"/>
      <c r="L74" s="26"/>
      <c r="M74" s="26"/>
      <c r="N74" s="29"/>
      <c r="O74" s="26"/>
      <c r="P74" s="26"/>
      <c r="Q74" s="26"/>
      <c r="R74" s="19" t="str">
        <v>Sandbox billing</v>
      </c>
      <c r="S74" s="27" t="str">
        <v>Not Run</v>
      </c>
      <c r="T74" s="27"/>
      <c r="U74" s="27" t="str">
        <v>Retained</v>
      </c>
    </row>
    <row r="75" ht="64" customHeight="1">
      <c r="A75" s="25" t="str">
        <v>Not Run</v>
      </c>
      <c r="B75" s="24" t="str">
        <v>GO-MAN-074</v>
      </c>
      <c r="C75" s="24" t="str">
        <v>Billing</v>
      </c>
      <c r="D75" s="24" t="str">
        <v>Wait on success page after payment; refresh if needed</v>
      </c>
      <c r="E75" s="24" t="str">
        <v>Success page reflects activated subscription after webhook; user permissions update</v>
      </c>
      <c r="F75" s="24" t="str">
        <v>Success activation polling</v>
      </c>
      <c r="G75" s="24" t="str">
        <v>P0</v>
      </c>
      <c r="H75" s="24" t="str">
        <v>Subscriber</v>
      </c>
      <c r="I75" s="24" t="str">
        <v>Payment completed and webhook configured Use controlled QA accounts and Polar sandbox only.</v>
      </c>
      <c r="J75" s="24" t="str">
        <v>Smoke</v>
      </c>
      <c r="K75" s="26"/>
      <c r="L75" s="26"/>
      <c r="M75" s="26"/>
      <c r="N75" s="29"/>
      <c r="O75" s="26"/>
      <c r="P75" s="26"/>
      <c r="Q75" s="26"/>
      <c r="R75" s="24" t="str">
        <v>Sandbox billing</v>
      </c>
      <c r="S75" s="28" t="str">
        <v>Not Run</v>
      </c>
      <c r="T75" s="28" t="str">
        <v>V 1.7 TEST: There are two You are an offical galactic omnivore member they might be a bug or a feature asking the user to do the same thing if they kill the pop-up. </v>
      </c>
      <c r="U75" s="28" t="str">
        <v>Retained</v>
      </c>
    </row>
    <row r="76" ht="60" customHeight="1">
      <c r="A76" s="25" t="str">
        <v>Not Run</v>
      </c>
      <c r="B76" s="19" t="str">
        <v>GO-MAN-075</v>
      </c>
      <c r="C76" s="19" t="str">
        <v>Billing</v>
      </c>
      <c r="D76" s="19" t="str">
        <v>After successful payment inspect users/{uid} orders subscription_events processed_webhooks</v>
      </c>
      <c r="E76" s="19" t="str">
        <v>User has activeMember membershipTier polarCustomerId subscriptionId subscriptionEndsAt; order/event/webhook docs exist</v>
      </c>
      <c r="F76" s="19" t="str">
        <v>Firestore subscription data</v>
      </c>
      <c r="G76" s="19" t="str">
        <v>P0</v>
      </c>
      <c r="H76" s="19" t="str">
        <v>Subscriber</v>
      </c>
      <c r="I76" s="19" t="str">
        <v>Firebase console access available Use controlled QA accounts and Polar sandbox only.</v>
      </c>
      <c r="J76" s="19" t="str">
        <v>Extended</v>
      </c>
      <c r="K76" s="26"/>
      <c r="L76" s="26"/>
      <c r="M76" s="26"/>
      <c r="N76" s="29"/>
      <c r="O76" s="26"/>
      <c r="P76" s="26"/>
      <c r="Q76" s="26"/>
      <c r="R76" s="19" t="str">
        <v>Sandbox billing</v>
      </c>
      <c r="S76" s="27" t="str">
        <v>Retest</v>
      </c>
      <c r="T76" s="27" t="str">
        <v>V 1.7 TEST: All are pass except for processed_webhooks, because I don't know how to test them.</v>
      </c>
      <c r="U76" s="27" t="str">
        <v>Retained</v>
      </c>
    </row>
    <row r="77" ht="60" customHeight="1">
      <c r="A77" s="25" t="str">
        <v>Not Run</v>
      </c>
      <c r="B77" s="24" t="str">
        <v>GO-MAN-076</v>
      </c>
      <c r="C77" s="24" t="str">
        <v>Billing</v>
      </c>
      <c r="D77" s="24" t="str">
        <v>Open /billing</v>
      </c>
      <c r="E77" s="24" t="str">
        <v>Billing page shows active subscription status period end and portal/cancel controls</v>
      </c>
      <c r="F77" s="24" t="str">
        <v>Billing page active subscription</v>
      </c>
      <c r="G77" s="24" t="str">
        <v>P0</v>
      </c>
      <c r="H77" s="24" t="str">
        <v>Subscriber</v>
      </c>
      <c r="I77" s="24" t="str">
        <v>Active subscription exists Use controlled QA accounts and Polar sandbox only.</v>
      </c>
      <c r="J77" s="24" t="str">
        <v>Smoke</v>
      </c>
      <c r="K77" s="26"/>
      <c r="L77" s="26"/>
      <c r="M77" s="26"/>
      <c r="N77" s="29"/>
      <c r="O77" s="26"/>
      <c r="P77" s="26"/>
      <c r="Q77" s="26"/>
      <c r="R77" s="24" t="str">
        <v>Sandbox billing</v>
      </c>
      <c r="S77" s="28" t="str">
        <v>Not Run</v>
      </c>
      <c r="T77" s="28"/>
      <c r="U77" s="28" t="str">
        <v>Retained</v>
      </c>
    </row>
    <row r="78" ht="103" customHeight="1">
      <c r="A78" s="25" t="str">
        <v>Not Run</v>
      </c>
      <c r="B78" s="19" t="str">
        <v>GO-MAN-077</v>
      </c>
      <c r="C78" s="19" t="str">
        <v>Billing</v>
      </c>
      <c r="D78" s="19" t="str">
        <v>Click manage billing/portal button</v>
      </c>
      <c r="E78" s="19" t="str">
        <v>Polar portal opens using customer session; user sees own subscription only</v>
      </c>
      <c r="F78" s="19" t="str">
        <v>Billing portal opens</v>
      </c>
      <c r="G78" s="19" t="str">
        <v>P0</v>
      </c>
      <c r="H78" s="19" t="str">
        <v>Subscriber</v>
      </c>
      <c r="I78" s="19" t="str">
        <v>polarCustomerId exists Use controlled QA accounts and Polar sandbox only.</v>
      </c>
      <c r="J78" s="19" t="str">
        <v>Smoke</v>
      </c>
      <c r="K78" s="26"/>
      <c r="L78" s="26"/>
      <c r="M78" s="26"/>
      <c r="N78" s="29"/>
      <c r="O78" s="26"/>
      <c r="P78" s="26"/>
      <c r="Q78" s="26"/>
      <c r="R78" s="19" t="str">
        <v>Sandbox billing</v>
      </c>
      <c r="S78" s="27" t="str">
        <v>Retest</v>
      </c>
      <c r="T78" s="27" t="str">
        <v>V 1.7 TEST: There is a regression, when you refresh the /billing page it redirects to sign in, but the user is already signed in, it's confusing, and takes a long time to get back to billing. And on top of that it allows me to exploit access to /subscription/success if I go back on the following URL "https://www.galacticomnivore.com/login?redirect=/billing"</v>
      </c>
      <c r="U78" s="27" t="str">
        <v>Retained</v>
      </c>
    </row>
    <row r="79" ht="60" customHeight="1">
      <c r="A79" s="25" t="str">
        <v>Not Run</v>
      </c>
      <c r="B79" s="24" t="str">
        <v>GO-MAN-078</v>
      </c>
      <c r="C79" s="24" t="str">
        <v>Billing</v>
      </c>
      <c r="D79" s="24" t="str">
        <v>Cancel via /billing or Polar portal; return to app; refresh billing</v>
      </c>
      <c r="E79" s="24" t="str">
        <v>Status becomes canceled; willRenew false; access remains until subscriptionEndsAt</v>
      </c>
      <c r="F79" s="24" t="str">
        <v>Cancel subscription</v>
      </c>
      <c r="G79" s="24" t="str">
        <v>P0</v>
      </c>
      <c r="H79" s="24" t="str">
        <v>Subscriber</v>
      </c>
      <c r="I79" s="24" t="str">
        <v>Active sandbox subscription exists Use controlled QA accounts and Polar sandbox only.</v>
      </c>
      <c r="J79" s="24" t="str">
        <v>Smoke</v>
      </c>
      <c r="K79" s="26"/>
      <c r="L79" s="26"/>
      <c r="M79" s="26"/>
      <c r="N79" s="29"/>
      <c r="O79" s="26"/>
      <c r="P79" s="26"/>
      <c r="Q79" s="26"/>
      <c r="R79" s="24" t="str">
        <v>Sandbox billing</v>
      </c>
      <c r="S79" s="28" t="str">
        <v>Not Run</v>
      </c>
      <c r="T79" s="28"/>
      <c r="U79" s="28" t="str">
        <v>Retained</v>
      </c>
    </row>
    <row r="80" ht="60" customHeight="1">
      <c r="A80" s="25" t="str">
        <v>Not Run</v>
      </c>
      <c r="B80" s="19" t="str">
        <v>GO-MAN-079</v>
      </c>
      <c r="C80" s="19" t="str">
        <v>Billing</v>
      </c>
      <c r="D80" s="19" t="str">
        <v>Redeliver same webhook event from Polar dashboard</v>
      </c>
      <c r="E80" s="19" t="str">
        <v>No duplicate order/event records are created; app state remains correct</v>
      </c>
      <c r="F80" s="19" t="str">
        <v>Webhook replay idempotency</v>
      </c>
      <c r="G80" s="19" t="str">
        <v>P0</v>
      </c>
      <c r="H80" s="19" t="str">
        <v>Admin/Developer</v>
      </c>
      <c r="I80" s="19" t="str">
        <v>Polar dashboard webhook event available Use controlled QA accounts and Polar sandbox only.</v>
      </c>
      <c r="J80" s="19" t="str">
        <v>Extended</v>
      </c>
      <c r="K80" s="26"/>
      <c r="L80" s="26"/>
      <c r="M80" s="26"/>
      <c r="N80" s="29"/>
      <c r="O80" s="26"/>
      <c r="P80" s="26"/>
      <c r="Q80" s="26"/>
      <c r="R80" s="19" t="str">
        <v>Sandbox billing</v>
      </c>
      <c r="S80" s="27" t="str">
        <v>Blocked</v>
      </c>
      <c r="T80" s="27" t="str">
        <v>V 1.7 TEST: Need more details or will test with Dejan</v>
      </c>
      <c r="U80" s="27" t="str">
        <v>Retained</v>
      </c>
    </row>
    <row r="81" ht="60" customHeight="1">
      <c r="A81" s="25" t="str">
        <v>Not Run</v>
      </c>
      <c r="B81" s="24" t="str">
        <v>GO-MAN-080</v>
      </c>
      <c r="C81" s="24" t="str">
        <v>Billing</v>
      </c>
      <c r="D81" s="24" t="str">
        <v>Cause subscription.revoked or equivalent; refresh app as subscriber</v>
      </c>
      <c r="E81" s="24" t="str">
        <v>activeMember becomes false; member-only actions are blocked</v>
      </c>
      <c r="F81" s="24" t="str">
        <v>Revoked subscription access</v>
      </c>
      <c r="G81" s="24" t="str">
        <v>P0</v>
      </c>
      <c r="H81" s="24" t="str">
        <v>Admin/Developer</v>
      </c>
      <c r="I81" s="24" t="str">
        <v>Sandbox revoked event can be triggered or simulated Use controlled QA accounts and Polar sandbox only.</v>
      </c>
      <c r="J81" s="24" t="str">
        <v>Extended</v>
      </c>
      <c r="K81" s="26"/>
      <c r="L81" s="26"/>
      <c r="M81" s="26"/>
      <c r="N81" s="29"/>
      <c r="O81" s="26"/>
      <c r="P81" s="26"/>
      <c r="Q81" s="26"/>
      <c r="R81" s="24" t="str">
        <v>Sandbox billing</v>
      </c>
      <c r="S81" s="28" t="str">
        <v>Blocked</v>
      </c>
      <c r="T81" s="28" t="str">
        <v>V 1.7 TEST: Need more details or will test with Dejan</v>
      </c>
      <c r="U81" s="28" t="str">
        <v>Retained</v>
      </c>
    </row>
    <row r="82" ht="60" customHeight="1">
      <c r="A82" s="25" t="str">
        <v>Not Run</v>
      </c>
      <c r="B82" s="19" t="str">
        <v>GO-MAN-081</v>
      </c>
      <c r="C82" s="19" t="str">
        <v>Billing</v>
      </c>
      <c r="D82" s="19" t="str">
        <v>Issue full refund in Polar sandbox; wait for webhook</v>
      </c>
      <c r="E82" s="19" t="str">
        <v>Order marked refunded; activeMember false; subscription/access state is correct</v>
      </c>
      <c r="F82" s="19" t="str">
        <v>Full refund access</v>
      </c>
      <c r="G82" s="19" t="str">
        <v>P0</v>
      </c>
      <c r="H82" s="19" t="str">
        <v>Admin/Developer</v>
      </c>
      <c r="I82" s="19" t="str">
        <v>Sandbox paid order exists Use controlled QA accounts and Polar sandbox only.</v>
      </c>
      <c r="J82" s="19" t="str">
        <v>Extended</v>
      </c>
      <c r="K82" s="26"/>
      <c r="L82" s="26"/>
      <c r="M82" s="26"/>
      <c r="N82" s="29"/>
      <c r="O82" s="26"/>
      <c r="P82" s="26"/>
      <c r="Q82" s="26"/>
      <c r="R82" s="19" t="str">
        <v>Sandbox billing</v>
      </c>
      <c r="S82" s="27" t="str">
        <v>Blocked</v>
      </c>
      <c r="T82" s="27" t="str">
        <v>V 1.7 TEST: Need more details or will test with Dejan</v>
      </c>
      <c r="U82" s="27" t="str">
        <v>Retained</v>
      </c>
    </row>
    <row r="83" ht="60" customHeight="1">
      <c r="A83" s="25" t="str">
        <v>Not Run</v>
      </c>
      <c r="B83" s="24" t="str">
        <v>GO-MAN-082</v>
      </c>
      <c r="C83" s="24" t="str">
        <v>Billing</v>
      </c>
      <c r="D83" s="24" t="str">
        <v>Issue partial refund if supported; wait for webhook</v>
      </c>
      <c r="E83" s="24" t="str">
        <v>Order marked refunded/updated as appropriate; access is not unexpectedly revoked</v>
      </c>
      <c r="F83" s="24" t="str">
        <v>Partial refund access</v>
      </c>
      <c r="G83" s="24" t="str">
        <v>P1</v>
      </c>
      <c r="H83" s="24" t="str">
        <v>Admin/Developer</v>
      </c>
      <c r="I83" s="24" t="str">
        <v>Sandbox paid order exists Use controlled QA accounts and Polar sandbox only.</v>
      </c>
      <c r="J83" s="24" t="str">
        <v>Extended</v>
      </c>
      <c r="K83" s="26"/>
      <c r="L83" s="26"/>
      <c r="M83" s="26"/>
      <c r="N83" s="29"/>
      <c r="O83" s="26"/>
      <c r="P83" s="26"/>
      <c r="Q83" s="26"/>
      <c r="R83" s="24" t="str">
        <v>Sandbox billing</v>
      </c>
      <c r="S83" s="28" t="str">
        <v>Blocked</v>
      </c>
      <c r="T83" s="28" t="str">
        <v>V 1.7 TEST: Need more details or will test with Dejan</v>
      </c>
      <c r="U83" s="28" t="str">
        <v>Retained</v>
      </c>
    </row>
    <row r="84" ht="60" customHeight="1">
      <c r="A84" s="25" t="str">
        <v>Not Run</v>
      </c>
      <c r="B84" s="19" t="str">
        <v>GO-MAN-083</v>
      </c>
      <c r="C84" s="19" t="str">
        <v>Billing</v>
      </c>
      <c r="D84" s="19" t="str">
        <v>Trigger subscription.updated with past_due behavior in staging/sandbox if possible</v>
      </c>
      <c r="E84" s="19" t="str">
        <v>User remains active during grace/retry window; lastPaymentFailed or status reflects past_due</v>
      </c>
      <c r="F84" s="19" t="str">
        <v>Past due grace</v>
      </c>
      <c r="G84" s="19" t="str">
        <v>P1</v>
      </c>
      <c r="H84" s="19" t="str">
        <v>Admin/Developer</v>
      </c>
      <c r="I84" s="19" t="str">
        <v>Sandbox can trigger past_due or event replay Use controlled QA accounts and Polar sandbox only.</v>
      </c>
      <c r="J84" s="19" t="str">
        <v>Extended</v>
      </c>
      <c r="K84" s="26"/>
      <c r="L84" s="26"/>
      <c r="M84" s="26"/>
      <c r="N84" s="29"/>
      <c r="O84" s="26"/>
      <c r="P84" s="26"/>
      <c r="Q84" s="26"/>
      <c r="R84" s="19" t="str">
        <v>Sandbox billing</v>
      </c>
      <c r="S84" s="27" t="str">
        <v>Blocked</v>
      </c>
      <c r="T84" s="27" t="str">
        <v>V 1.7 TEST: Need more details or will test with Dejan</v>
      </c>
      <c r="U84" s="27" t="str">
        <v>Retained</v>
      </c>
    </row>
    <row r="85" ht="60" customHeight="1">
      <c r="A85" s="25" t="str">
        <v>Not Run</v>
      </c>
      <c r="B85" s="24" t="str">
        <v>GO-MAN-084</v>
      </c>
      <c r="C85" s="24" t="str">
        <v>Firestore Rules</v>
      </c>
      <c r="D85" s="24" t="str">
        <v>As unauthenticated or unrelated user attempt client read of private project</v>
      </c>
      <c r="E85" s="24" t="str">
        <v>Read is denied; only server/admin or project members can access as intended</v>
      </c>
      <c r="F85" s="24" t="str">
        <v>Private projects read protection</v>
      </c>
      <c r="G85" s="24" t="str">
        <v>P0</v>
      </c>
      <c r="H85" s="24" t="str">
        <v>Developer</v>
      </c>
      <c r="I85" s="24" t="str">
        <v>Firebase Rules Playground or emulator available</v>
      </c>
      <c r="J85" s="24" t="str">
        <v>Extended</v>
      </c>
      <c r="K85" s="26"/>
      <c r="L85" s="26"/>
      <c r="M85" s="26"/>
      <c r="N85" s="29"/>
      <c r="O85" s="26"/>
      <c r="P85" s="26"/>
      <c r="Q85" s="26"/>
      <c r="R85" s="24" t="str">
        <v>Core</v>
      </c>
      <c r="S85" s="28" t="str">
        <v>Blocked</v>
      </c>
      <c r="T85" s="28"/>
      <c r="U85" s="28" t="str">
        <v>Retained</v>
      </c>
    </row>
    <row r="86" ht="60" customHeight="1">
      <c r="A86" s="25" t="str">
        <v>Not Run</v>
      </c>
      <c r="B86" s="19" t="str">
        <v>GO-MAN-085</v>
      </c>
      <c r="C86" s="19" t="str">
        <v>Firestore Rules</v>
      </c>
      <c r="D86" s="19" t="str">
        <v>Attempt client read of draft/pending public project as visitor</v>
      </c>
      <c r="E86" s="19" t="str">
        <v>Read is denied or unavailable from client discovery path</v>
      </c>
      <c r="F86" s="19" t="str">
        <v>Draft/pending project protection</v>
      </c>
      <c r="G86" s="19" t="str">
        <v>P0</v>
      </c>
      <c r="H86" s="19" t="str">
        <v>Developer</v>
      </c>
      <c r="I86" s="19" t="str">
        <v>Firebase Rules Playground or emulator available</v>
      </c>
      <c r="J86" s="19" t="str">
        <v>Extended</v>
      </c>
      <c r="K86" s="26"/>
      <c r="L86" s="26"/>
      <c r="M86" s="26"/>
      <c r="N86" s="29"/>
      <c r="O86" s="26"/>
      <c r="P86" s="26"/>
      <c r="Q86" s="26"/>
      <c r="R86" s="19" t="str">
        <v>Core</v>
      </c>
      <c r="S86" s="27" t="str">
        <v>Blocked</v>
      </c>
      <c r="T86" s="27"/>
      <c r="U86" s="27" t="str">
        <v>Retained</v>
      </c>
    </row>
    <row r="87" ht="60" customHeight="1">
      <c r="A87" s="25" t="str">
        <v>Not Run</v>
      </c>
      <c r="B87" s="24" t="str">
        <v>GO-MAN-086</v>
      </c>
      <c r="C87" s="24" t="str">
        <v>Firestore Rules</v>
      </c>
      <c r="D87" s="24" t="str">
        <v>Attempt client read of orders collection as normal user</v>
      </c>
      <c r="E87" s="24" t="str">
        <v>Orders are not broadly readable; user cannot inspect other users' billing data</v>
      </c>
      <c r="F87" s="24" t="str">
        <v>Orders read protection</v>
      </c>
      <c r="G87" s="24" t="str">
        <v>P0</v>
      </c>
      <c r="H87" s="24" t="str">
        <v>Developer</v>
      </c>
      <c r="I87" s="24" t="str">
        <v>Firebase Rules Playground or emulator available</v>
      </c>
      <c r="J87" s="24" t="str">
        <v>Extended</v>
      </c>
      <c r="K87" s="26"/>
      <c r="L87" s="26"/>
      <c r="M87" s="26"/>
      <c r="N87" s="29"/>
      <c r="O87" s="26"/>
      <c r="P87" s="26"/>
      <c r="Q87" s="26"/>
      <c r="R87" s="24" t="str">
        <v>Core</v>
      </c>
      <c r="S87" s="28" t="str">
        <v>Blocked</v>
      </c>
      <c r="T87" s="28"/>
      <c r="U87" s="28" t="str">
        <v>Retained</v>
      </c>
    </row>
    <row r="88" ht="60" customHeight="1">
      <c r="A88" s="25" t="str">
        <v>Not Run</v>
      </c>
      <c r="B88" s="19" t="str">
        <v>GO-MAN-087</v>
      </c>
      <c r="C88" s="19" t="str">
        <v>Firestore Rules</v>
      </c>
      <c r="D88" s="19" t="str">
        <v>Attempt client read of subscription_events and processed_webhooks</v>
      </c>
      <c r="E88" s="19" t="str">
        <v>Reads are denied to normal users; sensitive webhook/payment metadata protected</v>
      </c>
      <c r="F88" s="19" t="str">
        <v>Subscription events protection</v>
      </c>
      <c r="G88" s="19" t="str">
        <v>P0</v>
      </c>
      <c r="H88" s="19" t="str">
        <v>Developer</v>
      </c>
      <c r="I88" s="19" t="str">
        <v>Firebase Rules Playground or emulator available</v>
      </c>
      <c r="J88" s="19" t="str">
        <v>Extended</v>
      </c>
      <c r="K88" s="26"/>
      <c r="L88" s="26"/>
      <c r="M88" s="26"/>
      <c r="N88" s="29"/>
      <c r="O88" s="26"/>
      <c r="P88" s="26"/>
      <c r="Q88" s="26"/>
      <c r="R88" s="19" t="str">
        <v>Core</v>
      </c>
      <c r="S88" s="27" t="str">
        <v>Blocked</v>
      </c>
      <c r="T88" s="27"/>
      <c r="U88" s="27" t="str">
        <v>Retained</v>
      </c>
    </row>
    <row r="89" ht="60" customHeight="1">
      <c r="A89" s="25" t="str">
        <v>Not Run</v>
      </c>
      <c r="B89" s="24" t="str">
        <v>GO-MAN-088</v>
      </c>
      <c r="C89" s="24" t="str">
        <v>Firestore Rules</v>
      </c>
      <c r="D89" s="24" t="str">
        <v>Attempt read/write applications as applicant owner unrelated user</v>
      </c>
      <c r="E89" s="24" t="str">
        <v>Applicant can access own allowed data; owner/admin can access project applications; unrelated user denied</v>
      </c>
      <c r="F89" s="24" t="str">
        <v>Applications protection</v>
      </c>
      <c r="G89" s="24" t="str">
        <v>P0</v>
      </c>
      <c r="H89" s="24" t="str">
        <v>Developer</v>
      </c>
      <c r="I89" s="24" t="str">
        <v>Firebase Rules Playground or emulator available</v>
      </c>
      <c r="J89" s="24" t="str">
        <v>Extended</v>
      </c>
      <c r="K89" s="26"/>
      <c r="L89" s="26"/>
      <c r="M89" s="26"/>
      <c r="N89" s="29"/>
      <c r="O89" s="26"/>
      <c r="P89" s="26"/>
      <c r="Q89" s="26"/>
      <c r="R89" s="24" t="str">
        <v>Core</v>
      </c>
      <c r="S89" s="28" t="str">
        <v>Blocked</v>
      </c>
      <c r="T89" s="28"/>
      <c r="U89" s="28" t="str">
        <v>Retained</v>
      </c>
    </row>
    <row r="90" ht="60" customHeight="1">
      <c r="A90" s="25" t="str">
        <v>Not Run</v>
      </c>
      <c r="B90" s="19" t="str">
        <v>GO-MAN-089</v>
      </c>
      <c r="C90" s="19" t="str">
        <v>Firestore Rules</v>
      </c>
      <c r="D90" s="19" t="str">
        <v>Attempt client reads of user_profiles/go_cvs for public private and project-creator visibility</v>
      </c>
      <c r="E90" s="19" t="str">
        <v>Visibility rules match profile/CV settings; private data denied</v>
      </c>
      <c r="F90" s="19" t="str">
        <v>CV/profile protection</v>
      </c>
      <c r="G90" s="19" t="str">
        <v>P0</v>
      </c>
      <c r="H90" s="19" t="str">
        <v>Developer</v>
      </c>
      <c r="I90" s="19" t="str">
        <v>Firebase Rules Playground or emulator available</v>
      </c>
      <c r="J90" s="19" t="str">
        <v>Extended</v>
      </c>
      <c r="K90" s="26"/>
      <c r="L90" s="26"/>
      <c r="M90" s="26"/>
      <c r="N90" s="29"/>
      <c r="O90" s="26"/>
      <c r="P90" s="26"/>
      <c r="Q90" s="26"/>
      <c r="R90" s="19" t="str">
        <v>Core</v>
      </c>
      <c r="S90" s="27" t="str">
        <v>Blocked</v>
      </c>
      <c r="T90" s="27"/>
      <c r="U90" s="27" t="str">
        <v>Retained</v>
      </c>
    </row>
    <row r="91" ht="60" customHeight="1">
      <c r="A91" s="25" t="str">
        <v>Not Run</v>
      </c>
      <c r="B91" s="24" t="str">
        <v>GO-MAN-090</v>
      </c>
      <c r="C91" s="24" t="str">
        <v>Firestore Rules</v>
      </c>
      <c r="D91" s="24" t="str">
        <v>Attempt normal-user client access to admin analytics/users/subscriptions source data</v>
      </c>
      <c r="E91" s="24" t="str">
        <v>Admin-only data is denied to non-admin clients</v>
      </c>
      <c r="F91" s="24" t="str">
        <v>Admin-only data protection</v>
      </c>
      <c r="G91" s="24" t="str">
        <v>P0</v>
      </c>
      <c r="H91" s="24" t="str">
        <v>Developer</v>
      </c>
      <c r="I91" s="24" t="str">
        <v>Firebase Rules Playground or emulator available</v>
      </c>
      <c r="J91" s="24" t="str">
        <v>Extended</v>
      </c>
      <c r="K91" s="26"/>
      <c r="L91" s="26"/>
      <c r="M91" s="26"/>
      <c r="N91" s="29"/>
      <c r="O91" s="26"/>
      <c r="P91" s="26"/>
      <c r="Q91" s="26"/>
      <c r="R91" s="24" t="str">
        <v>Core</v>
      </c>
      <c r="S91" s="28" t="str">
        <v>Blocked</v>
      </c>
      <c r="T91" s="28"/>
      <c r="U91" s="28" t="str">
        <v>Retained</v>
      </c>
    </row>
    <row r="92" ht="60" customHeight="1">
      <c r="A92" s="25" t="str">
        <v>Not Run</v>
      </c>
      <c r="B92" s="19" t="str">
        <v>GO-MAN-091</v>
      </c>
      <c r="C92" s="19" t="str">
        <v>UX</v>
      </c>
      <c r="D92" s="19" t="str">
        <v>Enter long form data; trigger validation error; inspect form values</v>
      </c>
      <c r="E92" s="19" t="str">
        <v>Valid entered data remains; only invalid fields need correction</v>
      </c>
      <c r="F92" s="19" t="str">
        <v>Form persistence after errors</v>
      </c>
      <c r="G92" s="19" t="str">
        <v>P1</v>
      </c>
      <c r="H92" s="19" t="str">
        <v>Logged-in User</v>
      </c>
      <c r="I92" s="19" t="str">
        <v>Forms available</v>
      </c>
      <c r="J92" s="19" t="str">
        <v>Visual</v>
      </c>
      <c r="K92" s="26"/>
      <c r="L92" s="26"/>
      <c r="M92" s="26"/>
      <c r="N92" s="29"/>
      <c r="O92" s="26"/>
      <c r="P92" s="26"/>
      <c r="Q92" s="26"/>
      <c r="R92" s="19" t="str">
        <v>Core</v>
      </c>
      <c r="S92" s="27" t="str">
        <v>Not Run</v>
      </c>
      <c r="T92" s="27"/>
      <c r="U92" s="27" t="str">
        <v>Retained</v>
      </c>
    </row>
    <row r="93" ht="60" customHeight="1">
      <c r="A93" s="25" t="str">
        <v>Not Run</v>
      </c>
      <c r="B93" s="24" t="str">
        <v>GO-MAN-092</v>
      </c>
      <c r="C93" s="24" t="str">
        <v>UX</v>
      </c>
      <c r="D93" s="24" t="str">
        <v>Throttle network; open project list billing CV and admin pages</v>
      </c>
      <c r="E93" s="24" t="str">
        <v>Loading states appear; no blank confusing screen; user can recover</v>
      </c>
      <c r="F93" s="24" t="str">
        <v>Loading states</v>
      </c>
      <c r="G93" s="24" t="str">
        <v>P1</v>
      </c>
      <c r="H93" s="24" t="str">
        <v>Logged-in User</v>
      </c>
      <c r="I93" s="24" t="str">
        <v>Slow network throttling available</v>
      </c>
      <c r="J93" s="24" t="str">
        <v>Visual</v>
      </c>
      <c r="K93" s="26"/>
      <c r="L93" s="26"/>
      <c r="M93" s="26"/>
      <c r="N93" s="29"/>
      <c r="O93" s="26"/>
      <c r="P93" s="26"/>
      <c r="Q93" s="26"/>
      <c r="R93" s="24" t="str">
        <v>Core</v>
      </c>
      <c r="S93" s="28" t="str">
        <v>Not Run</v>
      </c>
      <c r="T93" s="28"/>
      <c r="U93" s="28" t="str">
        <v>Retained</v>
      </c>
    </row>
    <row r="94" ht="60" customHeight="1">
      <c r="A94" s="25" t="str">
        <v>Not Run</v>
      </c>
      <c r="B94" s="19" t="str">
        <v>GO-MAN-093</v>
      </c>
      <c r="C94" s="19" t="str">
        <v>UX</v>
      </c>
      <c r="D94" s="19" t="str">
        <v>Disconnect network during save/apply/checkout route; observe UI</v>
      </c>
      <c r="E94" s="19" t="str">
        <v>User sees actionable error; app does not crash; retry is possible</v>
      </c>
      <c r="F94" s="19" t="str">
        <v>Error states</v>
      </c>
      <c r="G94" s="19" t="str">
        <v>P1</v>
      </c>
      <c r="H94" s="19" t="str">
        <v>Logged-in User</v>
      </c>
      <c r="I94" s="19" t="str">
        <v>Can simulate failed request or disconnect network</v>
      </c>
      <c r="J94" s="19" t="str">
        <v>Visual</v>
      </c>
      <c r="K94" s="26"/>
      <c r="L94" s="26"/>
      <c r="M94" s="26"/>
      <c r="N94" s="29"/>
      <c r="O94" s="26"/>
      <c r="P94" s="26"/>
      <c r="Q94" s="26"/>
      <c r="R94" s="19" t="str">
        <v>Core</v>
      </c>
      <c r="S94" s="27" t="str">
        <v>Not Run</v>
      </c>
      <c r="T94" s="27"/>
      <c r="U94" s="27" t="str">
        <v>Retained</v>
      </c>
    </row>
    <row r="95" ht="60" customHeight="1">
      <c r="A95" s="25" t="str">
        <v>Not Run</v>
      </c>
      <c r="B95" s="24" t="str">
        <v>GO-MAN-094</v>
      </c>
      <c r="C95" s="24" t="str">
        <v>UX</v>
      </c>
      <c r="D95" s="24" t="str">
        <v>Attempt delete/archive/cancel actions</v>
      </c>
      <c r="E95" s="24" t="str">
        <v>Destructive actions have confirmation and clear consequences</v>
      </c>
      <c r="F95" s="24" t="str">
        <v>Destructive confirmations</v>
      </c>
      <c r="G95" s="24" t="str">
        <v>P0</v>
      </c>
      <c r="H95" s="24" t="str">
        <v>Project Owner/Admin</v>
      </c>
      <c r="I95" s="24" t="str">
        <v>Project exists</v>
      </c>
      <c r="J95" s="24" t="str">
        <v>Visual</v>
      </c>
      <c r="K95" s="26"/>
      <c r="L95" s="26"/>
      <c r="M95" s="26"/>
      <c r="N95" s="29"/>
      <c r="O95" s="26"/>
      <c r="P95" s="26"/>
      <c r="Q95" s="26"/>
      <c r="R95" s="24" t="str">
        <v>Core</v>
      </c>
      <c r="S95" s="28" t="str">
        <v>Not Run</v>
      </c>
      <c r="T95" s="28"/>
      <c r="U95" s="28" t="str">
        <v>Retained</v>
      </c>
    </row>
    <row r="96" ht="60" customHeight="1">
      <c r="A96" s="25" t="str">
        <v>Not Run</v>
      </c>
      <c r="B96" s="19" t="str">
        <v>GO-MAN-095</v>
      </c>
      <c r="C96" s="19" t="str">
        <v>UX</v>
      </c>
      <c r="D96" s="19" t="str">
        <v>Use Tab Shift+Tab Enter Escape through nav forms dialogs drawers</v>
      </c>
      <c r="E96" s="19" t="str">
        <v>Focus is visible; controls are reachable; dialogs can be closed with expected keys</v>
      </c>
      <c r="F96" s="19" t="str">
        <v>Keyboard navigation</v>
      </c>
      <c r="G96" s="19" t="str">
        <v>P2</v>
      </c>
      <c r="H96" s="19" t="str">
        <v>Logged-in User</v>
      </c>
      <c r="I96" s="19" t="str">
        <v>Desktop browser</v>
      </c>
      <c r="J96" s="19" t="str">
        <v>Visual</v>
      </c>
      <c r="K96" s="26"/>
      <c r="L96" s="26"/>
      <c r="M96" s="26"/>
      <c r="N96" s="29"/>
      <c r="O96" s="26"/>
      <c r="P96" s="26"/>
      <c r="Q96" s="26"/>
      <c r="R96" s="19" t="str">
        <v>Core</v>
      </c>
      <c r="S96" s="27" t="str">
        <v>Not Run</v>
      </c>
      <c r="T96" s="27"/>
      <c r="U96" s="27" t="str">
        <v>Retained</v>
      </c>
    </row>
    <row r="97" ht="60" customHeight="1">
      <c r="A97" s="25" t="str">
        <v>Not Run</v>
      </c>
      <c r="B97" s="24" t="str">
        <v>GO-MAN-096</v>
      </c>
      <c r="C97" s="24" t="str">
        <v>UX</v>
      </c>
      <c r="D97" s="24" t="str">
        <v>Read pricing membership project creation application and billing copy</v>
      </c>
      <c r="E97" s="24" t="str">
        <v>Copy clearly explains who can do what and why payment/membership is required</v>
      </c>
      <c r="F97" s="24" t="str">
        <v>Copy clarity</v>
      </c>
      <c r="G97" s="24" t="str">
        <v>P1</v>
      </c>
      <c r="H97" s="24" t="str">
        <v>Visitor/User</v>
      </c>
      <c r="I97" s="24" t="str">
        <v>Site is running</v>
      </c>
      <c r="J97" s="24" t="str">
        <v>Visual</v>
      </c>
      <c r="K97" s="26"/>
      <c r="L97" s="26"/>
      <c r="M97" s="26"/>
      <c r="N97" s="29"/>
      <c r="O97" s="26"/>
      <c r="P97" s="26"/>
      <c r="Q97" s="26"/>
      <c r="R97" s="24" t="str">
        <v>Core</v>
      </c>
      <c r="S97" s="28" t="str">
        <v>Not Run</v>
      </c>
      <c r="T97" s="28"/>
      <c r="U97" s="28" t="str">
        <v>Retained</v>
      </c>
    </row>
    <row r="98" ht="60" customHeight="1">
      <c r="A98" s="25" t="str">
        <v>Not Run</v>
      </c>
      <c r="B98" s="19" t="str">
        <v>GO-MAN-097</v>
      </c>
      <c r="C98" s="19" t="str">
        <v>UX</v>
      </c>
      <c r="D98" s="19" t="str">
        <v>Open project forms profile menus billing dialogs and confirmation dialogs</v>
      </c>
      <c r="E98" s="19" t="str">
        <v>Dialogs fit screen; buttons are reachable; background scrolling is controlled</v>
      </c>
      <c r="F98" s="19" t="str">
        <v>Mobile dialogs and drawers</v>
      </c>
      <c r="G98" s="19" t="str">
        <v>P1</v>
      </c>
      <c r="H98" s="19" t="str">
        <v>Mobile User</v>
      </c>
      <c r="I98" s="19" t="str">
        <v>Mobile viewport</v>
      </c>
      <c r="J98" s="19" t="str">
        <v>Visual</v>
      </c>
      <c r="K98" s="26"/>
      <c r="L98" s="26"/>
      <c r="M98" s="26"/>
      <c r="N98" s="29"/>
      <c r="O98" s="26"/>
      <c r="P98" s="26"/>
      <c r="Q98" s="26"/>
      <c r="R98" s="19" t="str">
        <v>Core</v>
      </c>
      <c r="S98" s="27" t="str">
        <v>Not Run</v>
      </c>
      <c r="T98" s="27"/>
      <c r="U98" s="27" t="str">
        <v>Retained</v>
      </c>
    </row>
    <row r="99" ht="60" customHeight="1">
      <c r="A99" s="25" t="str">
        <v>Not Run</v>
      </c>
      <c r="B99" s="24" t="str">
        <v>GO-MAN-098</v>
      </c>
      <c r="C99" s="24" t="str">
        <v>UX</v>
      </c>
      <c r="D99" s="24" t="str">
        <v>Scan home pricing projects profile CV admin billing pages</v>
      </c>
      <c r="E99" s="24" t="str">
        <v>No obvious broken spacing overlapping text missing contrast or placeholder content</v>
      </c>
      <c r="F99" s="24" t="str">
        <v>Visual regression quick pass</v>
      </c>
      <c r="G99" s="24" t="str">
        <v>P1</v>
      </c>
      <c r="H99" s="24" t="str">
        <v>Visitor/User</v>
      </c>
      <c r="I99" s="24" t="str">
        <v>Desktop and mobile</v>
      </c>
      <c r="J99" s="24" t="str">
        <v>Visual</v>
      </c>
      <c r="K99" s="26"/>
      <c r="L99" s="26"/>
      <c r="M99" s="26"/>
      <c r="N99" s="29"/>
      <c r="O99" s="26"/>
      <c r="P99" s="26"/>
      <c r="Q99" s="26"/>
      <c r="R99" s="24" t="str">
        <v>Core</v>
      </c>
      <c r="S99" s="28" t="str">
        <v>Not Run</v>
      </c>
      <c r="T99" s="28"/>
      <c r="U99" s="28" t="str">
        <v>Retained</v>
      </c>
    </row>
    <row r="100" ht="60" customHeight="1">
      <c r="A100" s="25" t="str">
        <v>Not Run</v>
      </c>
      <c r="B100" s="19" t="str">
        <v>GO-MAN-099</v>
      </c>
      <c r="C100" s="19" t="str">
        <v>Release</v>
      </c>
      <c r="D100" s="19" t="str">
        <v>Open /test-polar and /make-admin on production-like environment</v>
      </c>
      <c r="E100" s="19" t="str">
        <v>Dev/test pages are removed locked or protected; no public admin bootstrap path exists</v>
      </c>
      <c r="F100" s="19" t="str">
        <v>Dev-only test pages locked</v>
      </c>
      <c r="G100" s="19" t="str">
        <v>P0</v>
      </c>
      <c r="H100" s="19" t="str">
        <v>Developer</v>
      </c>
      <c r="I100" s="19" t="str">
        <v>Deployment candidate available</v>
      </c>
      <c r="J100" s="19" t="str">
        <v>Extended</v>
      </c>
      <c r="K100" s="26"/>
      <c r="L100" s="26"/>
      <c r="M100" s="26"/>
      <c r="N100" s="29"/>
      <c r="O100" s="26"/>
      <c r="P100" s="26"/>
      <c r="Q100" s="26"/>
      <c r="R100" s="19" t="str">
        <v>Core</v>
      </c>
      <c r="S100" s="27" t="str">
        <v>Blocked</v>
      </c>
      <c r="T100" s="27"/>
      <c r="U100" s="27" t="str">
        <v>Retained</v>
      </c>
    </row>
    <row r="101" ht="64" customHeight="1">
      <c r="A101" s="25" t="str">
        <v>Not Run</v>
      </c>
      <c r="B101" s="24" t="str">
        <v>GO-MAN-100</v>
      </c>
      <c r="C101" s="24" t="str">
        <v>Release</v>
      </c>
      <c r="D101" s="24" t="str">
        <v>Record the deployed commit, environment and effective feature flags. Ask the release owner to confirm database indexes, email delivery and sandbox billing configuration for this QA environment.</v>
      </c>
      <c r="E101" s="24" t="str">
        <v>The tested deployment is identified and required integrations are usable. Missing setup is recorded as Blocked, without exposing secret values.</v>
      </c>
      <c r="F101" s="24" t="str">
        <v>Release configuration review</v>
      </c>
      <c r="G101" s="24" t="str">
        <v>P0</v>
      </c>
      <c r="H101" s="24" t="str">
        <v>Release owner</v>
      </c>
      <c r="I101" s="24" t="str">
        <v>Pre-launch environment configured</v>
      </c>
      <c r="J101" s="24" t="str">
        <v>Extended</v>
      </c>
      <c r="K101" s="26"/>
      <c r="L101" s="26"/>
      <c r="M101" s="26"/>
      <c r="N101" s="29"/>
      <c r="O101" s="26"/>
      <c r="P101" s="26"/>
      <c r="Q101" s="26"/>
      <c r="R101" s="24" t="str">
        <v>QA environment setup</v>
      </c>
      <c r="S101" s="28" t="str">
        <v>Blocked</v>
      </c>
      <c r="T101" s="28"/>
      <c r="U101" s="28" t="str">
        <v>Updated</v>
      </c>
    </row>
    <row r="102" ht="60" customHeight="1">
      <c r="A102" s="25" t="str">
        <v>Not Run</v>
      </c>
      <c r="B102" s="19" t="str">
        <v>GO-MAN-101</v>
      </c>
      <c r="C102" s="19" t="str">
        <v>Product Navigation</v>
      </c>
      <c r="D102" s="19" t="str">
        <v>From /, use the desktop and mobile Projects links.</v>
      </c>
      <c r="E102" s="19" t="str">
        <v>Both links reach /projects with a usable discovery list.</v>
      </c>
      <c r="F102" s="19" t="str">
        <v>Projects navigation</v>
      </c>
      <c r="G102" s="19" t="str">
        <v>P1</v>
      </c>
      <c r="H102" s="19" t="str">
        <v>Visitor and relevant signed-in account</v>
      </c>
      <c r="I102" s="19" t="str">
        <v>Use prepared QA records and separate accounts. Record the actual URL and build on Run Overview.</v>
      </c>
      <c r="J102" s="19" t="str">
        <v>Regression</v>
      </c>
      <c r="K102" s="26"/>
      <c r="L102" s="26"/>
      <c r="M102" s="26"/>
      <c r="N102" s="29"/>
      <c r="O102" s="26"/>
      <c r="P102" s="26"/>
      <c r="Q102" s="26"/>
      <c r="R102" s="19" t="str">
        <v>Core</v>
      </c>
      <c r="S102" s="27" t="str">
        <v>Not Run</v>
      </c>
      <c r="T102" s="27"/>
      <c r="U102" s="27" t="str">
        <v>Updated</v>
      </c>
    </row>
    <row r="103" ht="60" customHeight="1">
      <c r="A103" s="25" t="str">
        <v>Not Run</v>
      </c>
      <c r="B103" s="24" t="str">
        <v>GO-MAN-102</v>
      </c>
      <c r="C103" s="24" t="str">
        <v>Product Navigation</v>
      </c>
      <c r="D103" s="24" t="str">
        <v>Follow Matchmaking and open /matchmaking directly. Repeat signed out.</v>
      </c>
      <c r="E103" s="24" t="str">
        <v>The team-collaboration page opens. Signed-out users receive a sign-in action, with a return to matchmaking.</v>
      </c>
      <c r="F103" s="24" t="str">
        <v>Team matchmaking destination</v>
      </c>
      <c r="G103" s="24" t="str">
        <v>P1</v>
      </c>
      <c r="H103" s="24" t="str">
        <v>Visitor and relevant signed-in account</v>
      </c>
      <c r="I103" s="24" t="str">
        <v>Use prepared QA records and separate accounts. Record the actual URL and build on Run Overview.</v>
      </c>
      <c r="J103" s="24" t="str">
        <v>Smoke</v>
      </c>
      <c r="K103" s="26"/>
      <c r="L103" s="26"/>
      <c r="M103" s="26"/>
      <c r="N103" s="29"/>
      <c r="O103" s="26"/>
      <c r="P103" s="26"/>
      <c r="Q103" s="26"/>
      <c r="R103" s="24" t="str">
        <v>Core</v>
      </c>
      <c r="S103" s="28" t="str">
        <v>Not Run</v>
      </c>
      <c r="T103" s="28"/>
      <c r="U103" s="28" t="str">
        <v>Updated</v>
      </c>
    </row>
    <row r="104" ht="60" customHeight="1">
      <c r="A104" s="25" t="str">
        <v>Not Run</v>
      </c>
      <c r="B104" s="19" t="str">
        <v>GO-MAN-103</v>
      </c>
      <c r="C104" s="19" t="str">
        <v>Product Navigation</v>
      </c>
      <c r="D104" s="19" t="str">
        <v>Choose the Find a Project entry and use its next action.</v>
      </c>
      <c r="E104" s="19" t="str">
        <v>It reaches project discovery and preserves relevant intent through sign-in.</v>
      </c>
      <c r="F104" s="19" t="str">
        <v>Find a Project intent</v>
      </c>
      <c r="G104" s="19" t="str">
        <v>P1</v>
      </c>
      <c r="H104" s="19" t="str">
        <v>Visitor and relevant signed-in account</v>
      </c>
      <c r="I104" s="19" t="str">
        <v>Use prepared QA records and separate accounts. Record the actual URL and build on Run Overview.</v>
      </c>
      <c r="J104" s="19" t="str">
        <v>Regression</v>
      </c>
      <c r="K104" s="26"/>
      <c r="L104" s="26"/>
      <c r="M104" s="26"/>
      <c r="N104" s="29"/>
      <c r="O104" s="26"/>
      <c r="P104" s="26"/>
      <c r="Q104" s="26"/>
      <c r="R104" s="19" t="str">
        <v>Core</v>
      </c>
      <c r="S104" s="27" t="str">
        <v>Not Run</v>
      </c>
      <c r="T104" s="27"/>
      <c r="U104" s="27" t="str">
        <v>Updated</v>
      </c>
    </row>
    <row r="105" ht="60" customHeight="1">
      <c r="A105" s="25" t="str">
        <v>Not Run</v>
      </c>
      <c r="B105" s="24" t="str">
        <v>GO-MAN-104</v>
      </c>
      <c r="C105" s="24" t="str">
        <v>Product Navigation</v>
      </c>
      <c r="D105" s="24" t="str">
        <v>Choose Create a Project as free, Community and Business users.</v>
      </c>
      <c r="E105" s="24" t="str">
        <v>Free users see membership guidance. Community gets its own-game allowance. Hiring briefs require Business capacity.</v>
      </c>
      <c r="F105" s="24" t="str">
        <v>Create a Project intent</v>
      </c>
      <c r="G105" s="24" t="str">
        <v>P1</v>
      </c>
      <c r="H105" s="24" t="str">
        <v>Visitor and relevant signed-in account</v>
      </c>
      <c r="I105" s="24" t="str">
        <v>Use prepared QA records and separate accounts. Record the actual URL and build on Run Overview.</v>
      </c>
      <c r="J105" s="24" t="str">
        <v>Regression</v>
      </c>
      <c r="K105" s="26"/>
      <c r="L105" s="26"/>
      <c r="M105" s="26"/>
      <c r="N105" s="29"/>
      <c r="O105" s="26"/>
      <c r="P105" s="26"/>
      <c r="Q105" s="26"/>
      <c r="R105" s="24" t="str">
        <v>Core</v>
      </c>
      <c r="S105" s="28" t="str">
        <v>Not Run</v>
      </c>
      <c r="T105" s="28"/>
      <c r="U105" s="28" t="str">
        <v>Updated</v>
      </c>
    </row>
    <row r="106" ht="60" customHeight="1">
      <c r="A106" s="25" t="str">
        <v>Not Run</v>
      </c>
      <c r="B106" s="19" t="str">
        <v>GO-MAN-105</v>
      </c>
      <c r="C106" s="19" t="str">
        <v>Product Navigation</v>
      </c>
      <c r="D106" s="19" t="str">
        <v>Follow the mentorship entry and choose a mentor.</v>
      </c>
      <c r="E106" s="19" t="str">
        <v>The verified mentor directory opens at /mentorship or its supported /mentors alias. This is separate from team matchmaking.</v>
      </c>
      <c r="F106" s="19" t="str">
        <v>Find a Mentor destination</v>
      </c>
      <c r="G106" s="19" t="str">
        <v>P1</v>
      </c>
      <c r="H106" s="19" t="str">
        <v>Visitor and relevant signed-in account</v>
      </c>
      <c r="I106" s="19" t="str">
        <v>Use prepared QA records and separate accounts. Record the actual URL and build on Run Overview.</v>
      </c>
      <c r="J106" s="19" t="str">
        <v>Smoke</v>
      </c>
      <c r="K106" s="26"/>
      <c r="L106" s="26"/>
      <c r="M106" s="26"/>
      <c r="N106" s="29"/>
      <c r="O106" s="26"/>
      <c r="P106" s="26"/>
      <c r="Q106" s="26"/>
      <c r="R106" s="19" t="str">
        <v>Core</v>
      </c>
      <c r="S106" s="27" t="str">
        <v>Not Run</v>
      </c>
      <c r="T106" s="27"/>
      <c r="U106" s="27" t="str">
        <v>Updated</v>
      </c>
    </row>
    <row r="107" ht="60" customHeight="1">
      <c r="A107" s="25" t="str">
        <v>Not Run</v>
      </c>
      <c r="B107" s="24" t="str">
        <v>GO-MAN-106</v>
      </c>
      <c r="C107" s="24" t="str">
        <v>Product Navigation</v>
      </c>
      <c r="D107" s="24" t="str">
        <v>Open /learn, then follow the Starter Pathway and course links.</v>
      </c>
      <c r="E107" s="24" t="str">
        <v>The Omnivore guide, /education/starter-pathway and /education course listings remain distinct and reachable.</v>
      </c>
      <c r="F107" s="24" t="str">
        <v>Learning destinations</v>
      </c>
      <c r="G107" s="24" t="str">
        <v>P1</v>
      </c>
      <c r="H107" s="24" t="str">
        <v>Visitor and relevant signed-in account</v>
      </c>
      <c r="I107" s="24" t="str">
        <v>Use prepared QA records and separate accounts. Record the actual URL and build on Run Overview.</v>
      </c>
      <c r="J107" s="24" t="str">
        <v>Regression</v>
      </c>
      <c r="K107" s="26"/>
      <c r="L107" s="26"/>
      <c r="M107" s="26"/>
      <c r="N107" s="29"/>
      <c r="O107" s="26"/>
      <c r="P107" s="26"/>
      <c r="Q107" s="26"/>
      <c r="R107" s="24" t="str">
        <v>Core</v>
      </c>
      <c r="S107" s="28" t="str">
        <v>Not Run</v>
      </c>
      <c r="T107" s="28"/>
      <c r="U107" s="28" t="str">
        <v>Updated</v>
      </c>
    </row>
    <row r="108" ht="60" customHeight="1">
      <c r="A108" s="25" t="str">
        <v>Not Run</v>
      </c>
      <c r="B108" s="19" t="str">
        <v>GO-MAN-107</v>
      </c>
      <c r="C108" s="19" t="str">
        <v>Product Navigation</v>
      </c>
      <c r="D108" s="19" t="str">
        <v>Follow the Video Bundles link with the feature on. Repeat with it off in QA.</v>
      </c>
      <c r="E108" s="19" t="str">
        <v>Enabled builds reach the catalog. Disabled builds show no working purchase or protected-content bypass.</v>
      </c>
      <c r="F108" s="19" t="str">
        <v>Video navigation gate</v>
      </c>
      <c r="G108" s="19" t="str">
        <v>P1</v>
      </c>
      <c r="H108" s="19" t="str">
        <v>Visitor and relevant signed-in account</v>
      </c>
      <c r="I108" s="19" t="str">
        <v>Use prepared QA records and separate accounts. Record the actual URL and build on Run Overview.</v>
      </c>
      <c r="J108" s="19" t="str">
        <v>Regression</v>
      </c>
      <c r="K108" s="26"/>
      <c r="L108" s="26"/>
      <c r="M108" s="26"/>
      <c r="N108" s="29"/>
      <c r="O108" s="26"/>
      <c r="P108" s="26"/>
      <c r="Q108" s="26"/>
      <c r="R108" s="19" t="str">
        <v>Core</v>
      </c>
      <c r="S108" s="27" t="str">
        <v>Not Run</v>
      </c>
      <c r="T108" s="27"/>
      <c r="U108" s="27" t="str">
        <v>Updated</v>
      </c>
    </row>
    <row r="109" ht="60" customHeight="1">
      <c r="A109" s="25" t="str">
        <v>Not Run</v>
      </c>
      <c r="B109" s="24" t="str">
        <v>GO-MAN-108</v>
      </c>
      <c r="C109" s="24" t="str">
        <v>Product Navigation</v>
      </c>
      <c r="D109" s="24" t="str">
        <v>Follow Community Resources, then open an available asset pack or resource.</v>
      </c>
      <c r="E109" s="24" t="str">
        <v>Resource catalog and details load. Access controls still apply at the download action.</v>
      </c>
      <c r="F109" s="24" t="str">
        <v>Community Resources destination</v>
      </c>
      <c r="G109" s="24" t="str">
        <v>P1</v>
      </c>
      <c r="H109" s="24" t="str">
        <v>Visitor and relevant signed-in account</v>
      </c>
      <c r="I109" s="24" t="str">
        <v>Use prepared QA records and separate accounts. Record the actual URL and build on Run Overview.</v>
      </c>
      <c r="J109" s="24" t="str">
        <v>Regression</v>
      </c>
      <c r="K109" s="26"/>
      <c r="L109" s="26"/>
      <c r="M109" s="26"/>
      <c r="N109" s="29"/>
      <c r="O109" s="26"/>
      <c r="P109" s="26"/>
      <c r="Q109" s="26"/>
      <c r="R109" s="24" t="str">
        <v>Core</v>
      </c>
      <c r="S109" s="28" t="str">
        <v>Not Run</v>
      </c>
      <c r="T109" s="28"/>
      <c r="U109" s="28" t="str">
        <v>Updated</v>
      </c>
    </row>
    <row r="110" ht="60" customHeight="1">
      <c r="A110" s="25" t="str">
        <v>Not Run</v>
      </c>
      <c r="B110" s="19" t="str">
        <v>GO-MAN-109</v>
      </c>
      <c r="C110" s="19" t="str">
        <v>Product Navigation</v>
      </c>
      <c r="D110" s="19" t="str">
        <v>Use membership links from navigation, a locked resource and an expired account.</v>
      </c>
      <c r="E110" s="19" t="str">
        <v>Links open /membership with the relevant intent. No link silently selects the cheapest plan.</v>
      </c>
      <c r="F110" s="19" t="str">
        <v>Membership destination</v>
      </c>
      <c r="G110" s="19" t="str">
        <v>P1</v>
      </c>
      <c r="H110" s="19" t="str">
        <v>Visitor and relevant signed-in account</v>
      </c>
      <c r="I110" s="19" t="str">
        <v>Use prepared QA records and separate accounts. Record the actual URL and build on Run Overview.</v>
      </c>
      <c r="J110" s="19" t="str">
        <v>Smoke</v>
      </c>
      <c r="K110" s="26"/>
      <c r="L110" s="26"/>
      <c r="M110" s="26"/>
      <c r="N110" s="29"/>
      <c r="O110" s="26"/>
      <c r="P110" s="26"/>
      <c r="Q110" s="26"/>
      <c r="R110" s="19" t="str">
        <v>Core</v>
      </c>
      <c r="S110" s="27" t="str">
        <v>Not Run</v>
      </c>
      <c r="T110" s="27"/>
      <c r="U110" s="27" t="str">
        <v>Updated</v>
      </c>
    </row>
    <row r="111" ht="60" customHeight="1">
      <c r="A111" s="25" t="str">
        <v>Not Run</v>
      </c>
      <c r="B111" s="24" t="str">
        <v>GO-MAN-110</v>
      </c>
      <c r="C111" s="24" t="str">
        <v>Product Navigation</v>
      </c>
      <c r="D111" s="24" t="str">
        <v>Visit Projects, Education, Community and Membership, then use browser Back.</v>
      </c>
      <c r="E111" s="24" t="str">
        <v>The current destination is indicated accurately without multiple contradictory active items.</v>
      </c>
      <c r="F111" s="24" t="str">
        <v>Active navigation state</v>
      </c>
      <c r="G111" s="24" t="str">
        <v>P1</v>
      </c>
      <c r="H111" s="24" t="str">
        <v>Visitor and relevant signed-in account</v>
      </c>
      <c r="I111" s="24" t="str">
        <v>Use prepared QA records and separate accounts. Record the actual URL and build on Run Overview.</v>
      </c>
      <c r="J111" s="24" t="str">
        <v>Regression</v>
      </c>
      <c r="K111" s="26"/>
      <c r="L111" s="26"/>
      <c r="M111" s="26"/>
      <c r="N111" s="29"/>
      <c r="O111" s="26"/>
      <c r="P111" s="26"/>
      <c r="Q111" s="26"/>
      <c r="R111" s="24" t="str">
        <v>Core</v>
      </c>
      <c r="S111" s="28" t="str">
        <v>Not Run</v>
      </c>
      <c r="T111" s="28"/>
      <c r="U111" s="28" t="str">
        <v>Updated</v>
      </c>
    </row>
    <row r="112" ht="60" customHeight="1">
      <c r="A112" s="25" t="str">
        <v>Not Run</v>
      </c>
      <c r="B112" s="19" t="str">
        <v>GO-MAN-111</v>
      </c>
      <c r="C112" s="19" t="str">
        <v>Product Navigation</v>
      </c>
      <c r="D112" s="19" t="str">
        <v>Paste a detail URL for a project, mentor and course into a new tab, then refresh.</v>
      </c>
      <c r="E112" s="19" t="str">
        <v>Each permitted detail loads directly. Authentication returns to the requested permitted destination.</v>
      </c>
      <c r="F112" s="19" t="str">
        <v>Direct URL and refresh</v>
      </c>
      <c r="G112" s="19" t="str">
        <v>P0</v>
      </c>
      <c r="H112" s="19" t="str">
        <v>Visitor and relevant signed-in account</v>
      </c>
      <c r="I112" s="19" t="str">
        <v>Use prepared QA records and separate accounts. Record the actual URL and build on Run Overview.</v>
      </c>
      <c r="J112" s="19" t="str">
        <v>Regression</v>
      </c>
      <c r="K112" s="26"/>
      <c r="L112" s="26"/>
      <c r="M112" s="26"/>
      <c r="N112" s="29"/>
      <c r="O112" s="26"/>
      <c r="P112" s="26"/>
      <c r="Q112" s="26"/>
      <c r="R112" s="19" t="str">
        <v>Core</v>
      </c>
      <c r="S112" s="27" t="str">
        <v>Not Run</v>
      </c>
      <c r="T112" s="27"/>
      <c r="U112" s="27" t="str">
        <v>Updated</v>
      </c>
    </row>
    <row r="113" ht="60" customHeight="1">
      <c r="A113" s="25" t="str">
        <v>Not Run</v>
      </c>
      <c r="B113" s="24" t="str">
        <v>GO-MAN-112</v>
      </c>
      <c r="C113" s="24" t="str">
        <v>Product Navigation</v>
      </c>
      <c r="D113" s="24" t="str">
        <v>Open catalogs with no published QA records.</v>
      </c>
      <c r="E113" s="24" t="str">
        <v>An honest empty state and useful next action appear. No fabricated examples look like real inventory.</v>
      </c>
      <c r="F113" s="24" t="str">
        <v>Empty product sections</v>
      </c>
      <c r="G113" s="24" t="str">
        <v>P2</v>
      </c>
      <c r="H113" s="24" t="str">
        <v>Visitor and relevant signed-in account</v>
      </c>
      <c r="I113" s="24" t="str">
        <v>Use prepared QA records and separate accounts. Record the actual URL and build on Run Overview.</v>
      </c>
      <c r="J113" s="24" t="str">
        <v>Regression</v>
      </c>
      <c r="K113" s="26"/>
      <c r="L113" s="26"/>
      <c r="M113" s="26"/>
      <c r="N113" s="29"/>
      <c r="O113" s="26"/>
      <c r="P113" s="26"/>
      <c r="Q113" s="26"/>
      <c r="R113" s="24" t="str">
        <v>Core</v>
      </c>
      <c r="S113" s="28" t="str">
        <v>Not Run</v>
      </c>
      <c r="T113" s="28"/>
      <c r="U113" s="28" t="str">
        <v>Updated</v>
      </c>
    </row>
    <row r="114" ht="60" customHeight="1">
      <c r="A114" s="25" t="str">
        <v>Not Run</v>
      </c>
      <c r="B114" s="19" t="str">
        <v>GO-MAN-113</v>
      </c>
      <c r="C114" s="19" t="str">
        <v>Product Navigation</v>
      </c>
      <c r="D114" s="19" t="str">
        <v>With a selected flag off, check navigation, direct page URL and its API.</v>
      </c>
      <c r="E114" s="19" t="str">
        <v>Unavailable actions remain unavailable through direct requests. The UI explains the state.</v>
      </c>
      <c r="F114" s="19" t="str">
        <v>Feature-disabled navigation</v>
      </c>
      <c r="G114" s="19" t="str">
        <v>P1</v>
      </c>
      <c r="H114" s="19" t="str">
        <v>Visitor and relevant signed-in account</v>
      </c>
      <c r="I114" s="19" t="str">
        <v>Use prepared QA records and separate accounts. Record the actual URL and build on Run Overview.</v>
      </c>
      <c r="J114" s="19" t="str">
        <v>Regression</v>
      </c>
      <c r="K114" s="26"/>
      <c r="L114" s="26"/>
      <c r="M114" s="26"/>
      <c r="N114" s="29"/>
      <c r="O114" s="26"/>
      <c r="P114" s="26"/>
      <c r="Q114" s="26"/>
      <c r="R114" s="19" t="str">
        <v>Core</v>
      </c>
      <c r="S114" s="27" t="str">
        <v>Not Run</v>
      </c>
      <c r="T114" s="27"/>
      <c r="U114" s="27" t="str">
        <v>Updated</v>
      </c>
    </row>
    <row r="115" ht="60" customHeight="1">
      <c r="A115" s="25" t="str">
        <v>Not Run</v>
      </c>
      <c r="B115" s="24" t="str">
        <v>GO-MAN-114</v>
      </c>
      <c r="C115" s="24" t="str">
        <v>Product Navigation</v>
      </c>
      <c r="D115" s="24" t="str">
        <v>Open / and follow the visible primary entry paths to learn, collaborate and publish.</v>
      </c>
      <c r="E115" s="24" t="str">
        <v>Labels match destinations and explain the next step. Record ordering preferences in UX Backlog.</v>
      </c>
      <c r="F115" s="24" t="str">
        <v>Home entry paths</v>
      </c>
      <c r="G115" s="24" t="str">
        <v>P1</v>
      </c>
      <c r="H115" s="24" t="str">
        <v>Visitor and relevant signed-in account</v>
      </c>
      <c r="I115" s="24" t="str">
        <v>Use prepared QA records and separate accounts. Record the actual URL and build on Run Overview.</v>
      </c>
      <c r="J115" s="24" t="str">
        <v>Regression</v>
      </c>
      <c r="K115" s="26"/>
      <c r="L115" s="26"/>
      <c r="M115" s="26"/>
      <c r="N115" s="29"/>
      <c r="O115" s="26"/>
      <c r="P115" s="26"/>
      <c r="Q115" s="26"/>
      <c r="R115" s="24" t="str">
        <v>Core</v>
      </c>
      <c r="S115" s="28" t="str">
        <v>Not Run</v>
      </c>
      <c r="T115" s="28"/>
      <c r="U115" s="28" t="str">
        <v>Updated</v>
      </c>
    </row>
    <row r="116" ht="60" customHeight="1">
      <c r="A116" s="25" t="str">
        <v>Not Run</v>
      </c>
      <c r="B116" s="19" t="str">
        <v>GO-MAN-115</v>
      </c>
      <c r="C116" s="19" t="str">
        <v>Product Navigation</v>
      </c>
      <c r="D116" s="19" t="str">
        <v>Activate card title, CTA and any linked artwork on each visible product card.</v>
      </c>
      <c r="E116" s="19" t="str">
        <v>Each link reaches the intended product. Card controls do not trigger multiple navigations.</v>
      </c>
      <c r="F116" s="19" t="str">
        <v>Product-card links</v>
      </c>
      <c r="G116" s="19" t="str">
        <v>P1</v>
      </c>
      <c r="H116" s="19" t="str">
        <v>Visitor and relevant signed-in account</v>
      </c>
      <c r="I116" s="19" t="str">
        <v>Use prepared QA records and separate accounts. Record the actual URL and build on Run Overview.</v>
      </c>
      <c r="J116" s="19" t="str">
        <v>Regression</v>
      </c>
      <c r="K116" s="26"/>
      <c r="L116" s="26"/>
      <c r="M116" s="26"/>
      <c r="N116" s="29"/>
      <c r="O116" s="26"/>
      <c r="P116" s="26"/>
      <c r="Q116" s="26"/>
      <c r="R116" s="19" t="str">
        <v>Core</v>
      </c>
      <c r="S116" s="27" t="str">
        <v>Not Run</v>
      </c>
      <c r="T116" s="27"/>
      <c r="U116" s="27" t="str">
        <v>Updated</v>
      </c>
    </row>
    <row r="117" ht="60" customHeight="1">
      <c r="A117" s="25" t="str">
        <v>Not Run</v>
      </c>
      <c r="B117" s="24" t="str">
        <v>GO-MAN-116</v>
      </c>
      <c r="C117" s="24" t="str">
        <v>Product Navigation</v>
      </c>
      <c r="D117" s="24" t="str">
        <v>At 390px and 768px widths, inspect cards with long labels and locked states.</v>
      </c>
      <c r="E117" s="24" t="str">
        <v>Text and buttons fit with no overlap or horizontal page scrolling.</v>
      </c>
      <c r="F117" s="24" t="str">
        <v>Product cards on mobile</v>
      </c>
      <c r="G117" s="24" t="str">
        <v>P2</v>
      </c>
      <c r="H117" s="24" t="str">
        <v>Visitor and relevant signed-in account</v>
      </c>
      <c r="I117" s="24" t="str">
        <v>Use prepared QA records and separate accounts. Record the actual URL and build on Run Overview.</v>
      </c>
      <c r="J117" s="24" t="str">
        <v>Regression</v>
      </c>
      <c r="K117" s="26"/>
      <c r="L117" s="26"/>
      <c r="M117" s="26"/>
      <c r="N117" s="29"/>
      <c r="O117" s="26"/>
      <c r="P117" s="26"/>
      <c r="Q117" s="26"/>
      <c r="R117" s="24" t="str">
        <v>Core</v>
      </c>
      <c r="S117" s="28" t="str">
        <v>Not Run</v>
      </c>
      <c r="T117" s="28"/>
      <c r="U117" s="28" t="str">
        <v>Updated</v>
      </c>
    </row>
    <row r="118" ht="60" customHeight="1">
      <c r="A118" s="25" t="str">
        <v>Not Run</v>
      </c>
      <c r="B118" s="19" t="str">
        <v>GO-MAN-117</v>
      </c>
      <c r="C118" s="19" t="str">
        <v>Product Navigation</v>
      </c>
      <c r="D118" s="19" t="str">
        <v>Tab through product cards, activate links with Enter, then tap them on a phone.</v>
      </c>
      <c r="E118" s="19" t="str">
        <v>Every action works without hover. Focus is visible and decorative areas do not trap input.</v>
      </c>
      <c r="F118" s="19" t="str">
        <v>Card focus and touch</v>
      </c>
      <c r="G118" s="19" t="str">
        <v>P2</v>
      </c>
      <c r="H118" s="19" t="str">
        <v>Visitor and relevant signed-in account</v>
      </c>
      <c r="I118" s="19" t="str">
        <v>Use prepared QA records and separate accounts. Record the actual URL and build on Run Overview.</v>
      </c>
      <c r="J118" s="19" t="str">
        <v>Regression</v>
      </c>
      <c r="K118" s="26"/>
      <c r="L118" s="26"/>
      <c r="M118" s="26"/>
      <c r="N118" s="29"/>
      <c r="O118" s="26"/>
      <c r="P118" s="26"/>
      <c r="Q118" s="26"/>
      <c r="R118" s="19" t="str">
        <v>Core</v>
      </c>
      <c r="S118" s="27" t="str">
        <v>Not Run</v>
      </c>
      <c r="T118" s="27"/>
      <c r="U118" s="27" t="str">
        <v>Updated</v>
      </c>
    </row>
    <row r="119" ht="60" customHeight="1">
      <c r="A119" s="25" t="str">
        <v>Not Run</v>
      </c>
      <c r="B119" s="24" t="str">
        <v>GO-MAN-118</v>
      </c>
      <c r="C119" s="24" t="str">
        <v>Product Navigation</v>
      </c>
      <c r="D119" s="24" t="str">
        <v>Inspect /, /membership, /education, /community and public profile examples.</v>
      </c>
      <c r="E119" s="24" t="str">
        <v>No raw IDs, undefined values, fake availability or unpublished fixtures are presented as real content.</v>
      </c>
      <c r="F119" s="24" t="str">
        <v>Public placeholder check</v>
      </c>
      <c r="G119" s="24" t="str">
        <v>P1</v>
      </c>
      <c r="H119" s="24" t="str">
        <v>Visitor and relevant signed-in account</v>
      </c>
      <c r="I119" s="24" t="str">
        <v>Use prepared QA records and separate accounts. Record the actual URL and build on Run Overview.</v>
      </c>
      <c r="J119" s="24" t="str">
        <v>Regression</v>
      </c>
      <c r="K119" s="26"/>
      <c r="L119" s="26"/>
      <c r="M119" s="26"/>
      <c r="N119" s="29"/>
      <c r="O119" s="26"/>
      <c r="P119" s="26"/>
      <c r="Q119" s="26"/>
      <c r="R119" s="24" t="str">
        <v>Core</v>
      </c>
      <c r="S119" s="28" t="str">
        <v>Not Run</v>
      </c>
      <c r="T119" s="28"/>
      <c r="U119" s="28" t="str">
        <v>Updated</v>
      </c>
    </row>
    <row r="120" ht="60" customHeight="1">
      <c r="A120" s="25" t="str">
        <v>Not Run</v>
      </c>
      <c r="B120" s="19" t="str">
        <v>GO-MAN-119</v>
      </c>
      <c r="C120" s="19" t="str">
        <v>Membership</v>
      </c>
      <c r="D120" s="19" t="str">
        <v>Compare free Passport access with Community, Mentor and Business on /membership.</v>
      </c>
      <c r="E120" s="19" t="str">
        <v>The free Passport and three paid plans are distinct. Mentor verification is separate from purchase.</v>
      </c>
      <c r="F120" s="19" t="str">
        <v>Free and three paid memberships</v>
      </c>
      <c r="G120" s="19" t="str">
        <v>P1</v>
      </c>
      <c r="H120" s="19" t="str">
        <v>Relevant membership persona</v>
      </c>
      <c r="I120" s="19" t="str">
        <v>Use prepared QA records and separate accounts. Record the actual URL and build on Run Overview. Use sandbox billing only.</v>
      </c>
      <c r="J120" s="19" t="str">
        <v>Smoke</v>
      </c>
      <c r="K120" s="26"/>
      <c r="L120" s="26"/>
      <c r="M120" s="26"/>
      <c r="N120" s="29"/>
      <c r="O120" s="26"/>
      <c r="P120" s="26"/>
      <c r="Q120" s="26"/>
      <c r="R120" s="19" t="str">
        <v>Core</v>
      </c>
      <c r="S120" s="27" t="str">
        <v>Not Run</v>
      </c>
      <c r="T120" s="27"/>
      <c r="U120" s="27" t="str">
        <v>Updated</v>
      </c>
    </row>
    <row r="121" ht="60" customHeight="1">
      <c r="A121" s="25" t="str">
        <v>Not Run</v>
      </c>
      <c r="B121" s="24" t="str">
        <v>GO-MAN-120</v>
      </c>
      <c r="C121" s="24" t="str">
        <v>Membership</v>
      </c>
      <c r="D121" s="24" t="str">
        <v>As a free user, complete onboarding, edit a Passport and open public content.</v>
      </c>
      <c r="E121" s="24" t="str">
        <v>Passport creation and editing work without a paid plan. Paid content and project allowances remain gated.</v>
      </c>
      <c r="F121" s="24" t="str">
        <v>Free Passport access</v>
      </c>
      <c r="G121" s="24" t="str">
        <v>P1</v>
      </c>
      <c r="H121" s="24" t="str">
        <v>Relevant membership persona</v>
      </c>
      <c r="I121" s="24" t="str">
        <v>Use prepared QA records and separate accounts. Record the actual URL and build on Run Overview. Use sandbox billing only.</v>
      </c>
      <c r="J121" s="24" t="str">
        <v>Regression</v>
      </c>
      <c r="K121" s="26"/>
      <c r="L121" s="26"/>
      <c r="M121" s="26"/>
      <c r="N121" s="29"/>
      <c r="O121" s="26"/>
      <c r="P121" s="26"/>
      <c r="Q121" s="26"/>
      <c r="R121" s="24" t="str">
        <v>Core</v>
      </c>
      <c r="S121" s="28" t="str">
        <v>Not Run</v>
      </c>
      <c r="T121" s="28"/>
      <c r="U121" s="28" t="str">
        <v>Updated</v>
      </c>
    </row>
    <row r="122" ht="60" customHeight="1">
      <c r="A122" s="25" t="str">
        <v>Not Run</v>
      </c>
      <c r="B122" s="19" t="str">
        <v>GO-MAN-121</v>
      </c>
      <c r="C122" s="19" t="str">
        <v>Membership</v>
      </c>
      <c r="D122" s="19" t="str">
        <v>As active Community, open member resources, creator workspace and a hiring project.</v>
      </c>
      <c r="E122" s="19" t="str">
        <v>Eligible resources and project applications work. One unreleased own-game slot is available. Hiring briefs require Business.</v>
      </c>
      <c r="F122" s="19" t="str">
        <v>Community benefits and limits</v>
      </c>
      <c r="G122" s="19" t="str">
        <v>P1</v>
      </c>
      <c r="H122" s="19" t="str">
        <v>Relevant membership persona</v>
      </c>
      <c r="I122" s="19" t="str">
        <v>Use prepared QA records and separate accounts. Record the actual URL and build on Run Overview. Use sandbox billing only.</v>
      </c>
      <c r="J122" s="19" t="str">
        <v>Regression</v>
      </c>
      <c r="K122" s="26"/>
      <c r="L122" s="26"/>
      <c r="M122" s="26"/>
      <c r="N122" s="29"/>
      <c r="O122" s="26"/>
      <c r="P122" s="26"/>
      <c r="Q122" s="26"/>
      <c r="R122" s="19" t="str">
        <v>Core</v>
      </c>
      <c r="S122" s="27" t="str">
        <v>Not Run</v>
      </c>
      <c r="T122" s="27"/>
      <c r="U122" s="27" t="str">
        <v>Updated</v>
      </c>
    </row>
    <row r="123" ht="60" customHeight="1">
      <c r="A123" s="25" t="str">
        <v>Not Run</v>
      </c>
      <c r="B123" s="24" t="str">
        <v>GO-MAN-122</v>
      </c>
      <c r="C123" s="24" t="str">
        <v>Membership</v>
      </c>
      <c r="D123" s="24" t="str">
        <v>As active Business, open Community resources, learning and applications.</v>
      </c>
      <c r="E123" s="24" t="str">
        <v>Community benefits remain accessible in addition to agreed Business project capacity.</v>
      </c>
      <c r="F123" s="24" t="str">
        <v>Business inherits Community access</v>
      </c>
      <c r="G123" s="24" t="str">
        <v>P1</v>
      </c>
      <c r="H123" s="24" t="str">
        <v>Relevant membership persona</v>
      </c>
      <c r="I123" s="24" t="str">
        <v>Use prepared QA records and separate accounts. Record the actual URL and build on Run Overview. Use sandbox billing only.</v>
      </c>
      <c r="J123" s="24" t="str">
        <v>Regression</v>
      </c>
      <c r="K123" s="26"/>
      <c r="L123" s="26"/>
      <c r="M123" s="26"/>
      <c r="N123" s="29"/>
      <c r="O123" s="26"/>
      <c r="P123" s="26"/>
      <c r="Q123" s="26"/>
      <c r="R123" s="24" t="str">
        <v>Core</v>
      </c>
      <c r="S123" s="28" t="str">
        <v>Not Run</v>
      </c>
      <c r="T123" s="28"/>
      <c r="U123" s="28" t="str">
        <v>Updated</v>
      </c>
    </row>
    <row r="124" ht="60" customHeight="1">
      <c r="A124" s="25" t="str">
        <v>Not Run</v>
      </c>
      <c r="B124" s="19" t="str">
        <v>GO-MAN-123</v>
      </c>
      <c r="C124" s="19" t="str">
        <v>Membership</v>
      </c>
      <c r="D124" s="19" t="str">
        <v>As Business without a project limit, attempt creation. Repeat with a positive limit and a free slot.</v>
      </c>
      <c r="E124" s="19" t="str">
        <v>Missing capacity prompts contact with GO. Agreed capacity allows creation up to its limit.</v>
      </c>
      <c r="F124" s="19" t="str">
        <v>Business requires agreed capacity</v>
      </c>
      <c r="G124" s="19" t="str">
        <v>P1</v>
      </c>
      <c r="H124" s="19" t="str">
        <v>Relevant membership persona</v>
      </c>
      <c r="I124" s="19" t="str">
        <v>Use prepared QA records and separate accounts. Record the actual URL and build on Run Overview. Use sandbox billing only.</v>
      </c>
      <c r="J124" s="19" t="str">
        <v>Regression</v>
      </c>
      <c r="K124" s="26"/>
      <c r="L124" s="26"/>
      <c r="M124" s="26"/>
      <c r="N124" s="29"/>
      <c r="O124" s="26"/>
      <c r="P124" s="26"/>
      <c r="Q124" s="26"/>
      <c r="R124" s="19" t="str">
        <v>Core</v>
      </c>
      <c r="S124" s="27" t="str">
        <v>Not Run</v>
      </c>
      <c r="T124" s="27"/>
      <c r="U124" s="27" t="str">
        <v>Updated</v>
      </c>
    </row>
    <row r="125" ht="60" customHeight="1">
      <c r="A125" s="25" t="str">
        <v>Not Run</v>
      </c>
      <c r="B125" s="24" t="str">
        <v>GO-MAN-124</v>
      </c>
      <c r="C125" s="24" t="str">
        <v>Membership</v>
      </c>
      <c r="D125" s="24" t="str">
        <v>Open the Mentor plan and toggle monthly and annual billing.</v>
      </c>
      <c r="E125" s="24" t="str">
        <v>GO Mentor is offered as a paid plan. Copy explains that purchase does not verify the mentor.</v>
      </c>
      <c r="F125" s="24" t="str">
        <v>Mentor paid plan</v>
      </c>
      <c r="G125" s="24" t="str">
        <v>P1</v>
      </c>
      <c r="H125" s="24" t="str">
        <v>Relevant membership persona</v>
      </c>
      <c r="I125" s="24" t="str">
        <v>Use prepared QA records and separate accounts. Record the actual URL and build on Run Overview. Use sandbox billing only.</v>
      </c>
      <c r="J125" s="24" t="str">
        <v>Regression</v>
      </c>
      <c r="K125" s="26"/>
      <c r="L125" s="26"/>
      <c r="M125" s="26"/>
      <c r="N125" s="29"/>
      <c r="O125" s="26"/>
      <c r="P125" s="26"/>
      <c r="Q125" s="26"/>
      <c r="R125" s="24" t="str">
        <v>Core</v>
      </c>
      <c r="S125" s="28" t="str">
        <v>Not Run</v>
      </c>
      <c r="T125" s="28"/>
      <c r="U125" s="28" t="str">
        <v>Updated</v>
      </c>
    </row>
    <row r="126" ht="60" customHeight="1">
      <c r="A126" s="25" t="str">
        <v>Not Run</v>
      </c>
      <c r="B126" s="19" t="str">
        <v>GO-MAN-125</v>
      </c>
      <c r="C126" s="19" t="str">
        <v>Membership</v>
      </c>
      <c r="D126" s="19" t="str">
        <v>Compare Mentor monthly and annual amounts with the configured sandbox product.</v>
      </c>
      <c r="E126" s="19" t="str">
        <v>Displayed amount, currency and recurrence match the product. Record environment-specific mismatches.</v>
      </c>
      <c r="F126" s="19" t="str">
        <v>Mentor published price</v>
      </c>
      <c r="G126" s="19" t="str">
        <v>P1</v>
      </c>
      <c r="H126" s="19" t="str">
        <v>Relevant membership persona</v>
      </c>
      <c r="I126" s="19" t="str">
        <v>Use prepared QA records and separate accounts. Record the actual URL and build on Run Overview. Use sandbox billing only.</v>
      </c>
      <c r="J126" s="19" t="str">
        <v>Regression</v>
      </c>
      <c r="K126" s="26"/>
      <c r="L126" s="26"/>
      <c r="M126" s="26"/>
      <c r="N126" s="29"/>
      <c r="O126" s="26"/>
      <c r="P126" s="26"/>
      <c r="Q126" s="26"/>
      <c r="R126" s="19" t="str">
        <v>Core</v>
      </c>
      <c r="S126" s="27" t="str">
        <v>Not Run</v>
      </c>
      <c r="T126" s="27"/>
      <c r="U126" s="27" t="str">
        <v>Updated</v>
      </c>
    </row>
    <row r="127" ht="60" customHeight="1">
      <c r="A127" s="25" t="str">
        <v>Not Run</v>
      </c>
      <c r="B127" s="24" t="str">
        <v>GO-MAN-126</v>
      </c>
      <c r="C127" s="24" t="str">
        <v>Membership</v>
      </c>
      <c r="D127" s="24" t="str">
        <v>With Mentor checkout enabled, sign in and open its sandbox checkout.</v>
      </c>
      <c r="E127" s="24" t="str">
        <v>The configured Mentor product opens with the selected interval and correct account identity.</v>
      </c>
      <c r="F127" s="24" t="str">
        <v>Mentor enabled checkout</v>
      </c>
      <c r="G127" s="24" t="str">
        <v>P1</v>
      </c>
      <c r="H127" s="24" t="str">
        <v>Relevant membership persona</v>
      </c>
      <c r="I127" s="24" t="str">
        <v>Use prepared QA records and separate accounts. Record the actual URL and build on Run Overview. Use sandbox billing only.</v>
      </c>
      <c r="J127" s="24" t="str">
        <v>Regression</v>
      </c>
      <c r="K127" s="26"/>
      <c r="L127" s="26"/>
      <c r="M127" s="26"/>
      <c r="N127" s="29"/>
      <c r="O127" s="26"/>
      <c r="P127" s="26"/>
      <c r="Q127" s="26"/>
      <c r="R127" s="24" t="str">
        <v>Core</v>
      </c>
      <c r="S127" s="28" t="str">
        <v>Not Run</v>
      </c>
      <c r="T127" s="28"/>
      <c r="U127" s="28" t="str">
        <v>Updated</v>
      </c>
    </row>
    <row r="128" ht="60" customHeight="1">
      <c r="A128" s="25" t="str">
        <v>Not Run</v>
      </c>
      <c r="B128" s="19" t="str">
        <v>GO-MAN-127</v>
      </c>
      <c r="C128" s="19" t="str">
        <v>Membership</v>
      </c>
      <c r="D128" s="19" t="str">
        <v>On QA with Mentor checkout off, attempt its CTA and a direct checkout request.</v>
      </c>
      <c r="E128" s="19" t="str">
        <v>Checkout is unavailable and no payment session is created.</v>
      </c>
      <c r="F128" s="19" t="str">
        <v>Mentor checkout disabled override</v>
      </c>
      <c r="G128" s="19" t="str">
        <v>P1</v>
      </c>
      <c r="H128" s="19" t="str">
        <v>Relevant membership persona</v>
      </c>
      <c r="I128" s="19" t="str">
        <v>Use prepared QA records and separate accounts. Record the actual URL and build on Run Overview. Use sandbox billing only.</v>
      </c>
      <c r="J128" s="19" t="str">
        <v>Regression</v>
      </c>
      <c r="K128" s="26"/>
      <c r="L128" s="26"/>
      <c r="M128" s="26"/>
      <c r="N128" s="29"/>
      <c r="O128" s="26"/>
      <c r="P128" s="26"/>
      <c r="Q128" s="26"/>
      <c r="R128" s="19" t="str">
        <v>Core</v>
      </c>
      <c r="S128" s="27" t="str">
        <v>Not Run</v>
      </c>
      <c r="T128" s="27"/>
      <c r="U128" s="27" t="str">
        <v>Updated</v>
      </c>
    </row>
    <row r="129" ht="60" customHeight="1">
      <c r="A129" s="25" t="str">
        <v>Not Run</v>
      </c>
      <c r="B129" s="24" t="str">
        <v>GO-MAN-128</v>
      </c>
      <c r="C129" s="24" t="str">
        <v>Membership</v>
      </c>
      <c r="D129" s="24" t="str">
        <v>After Mentor purchase, open the mentor application workspace.</v>
      </c>
      <c r="E129" s="24" t="str">
        <v>Application and interview requirements remain. Buying membership never grants approved status.</v>
      </c>
      <c r="F129" s="24" t="str">
        <v>Mentor application separate from payment</v>
      </c>
      <c r="G129" s="24" t="str">
        <v>P1</v>
      </c>
      <c r="H129" s="24" t="str">
        <v>Relevant membership persona</v>
      </c>
      <c r="I129" s="24" t="str">
        <v>Use prepared QA records and separate accounts. Record the actual URL and build on Run Overview. Use sandbox billing only.</v>
      </c>
      <c r="J129" s="24" t="str">
        <v>Regression</v>
      </c>
      <c r="K129" s="26"/>
      <c r="L129" s="26"/>
      <c r="M129" s="26"/>
      <c r="N129" s="29"/>
      <c r="O129" s="26"/>
      <c r="P129" s="26"/>
      <c r="Q129" s="26"/>
      <c r="R129" s="24" t="str">
        <v>Core</v>
      </c>
      <c r="S129" s="28" t="str">
        <v>Not Run</v>
      </c>
      <c r="T129" s="28"/>
      <c r="U129" s="28" t="str">
        <v>Updated</v>
      </c>
    </row>
    <row r="130" ht="60" customHeight="1">
      <c r="A130" s="25" t="str">
        <v>Not Run</v>
      </c>
      <c r="B130" s="19" t="str">
        <v>GO-MAN-129</v>
      </c>
      <c r="C130" s="19" t="str">
        <v>Membership</v>
      </c>
      <c r="D130" s="19" t="str">
        <v>Open the mentor application from membership and profile. Save a draft.</v>
      </c>
      <c r="E130" s="19" t="str">
        <v>The internal application workspace loads and saves privately. No external application URL is required.</v>
      </c>
      <c r="F130" s="19" t="str">
        <v>Internal mentor application</v>
      </c>
      <c r="G130" s="19" t="str">
        <v>P1</v>
      </c>
      <c r="H130" s="19" t="str">
        <v>Relevant membership persona</v>
      </c>
      <c r="I130" s="19" t="str">
        <v>Use prepared QA records and separate accounts. Record the actual URL and build on Run Overview. Use sandbox billing only.</v>
      </c>
      <c r="J130" s="19" t="str">
        <v>Regression</v>
      </c>
      <c r="K130" s="26"/>
      <c r="L130" s="26"/>
      <c r="M130" s="26"/>
      <c r="N130" s="29"/>
      <c r="O130" s="26"/>
      <c r="P130" s="26"/>
      <c r="Q130" s="26"/>
      <c r="R130" s="19" t="str">
        <v>Core</v>
      </c>
      <c r="S130" s="27" t="str">
        <v>Not Run</v>
      </c>
      <c r="T130" s="27"/>
      <c r="U130" s="27" t="str">
        <v>Updated</v>
      </c>
    </row>
    <row r="131" ht="60" customHeight="1">
      <c r="A131" s="25" t="str">
        <v>Not Run</v>
      </c>
      <c r="B131" s="24" t="str">
        <v>GO-MAN-130</v>
      </c>
      <c r="C131" s="24" t="str">
        <v>Membership</v>
      </c>
      <c r="D131" s="24" t="str">
        <v>Close applications in QA settings, then attempt a new submission.</v>
      </c>
      <c r="E131" s="24" t="str">
        <v>The closure is explained and the server rejects new submissions.</v>
      </c>
      <c r="F131" s="24" t="str">
        <v>Mentor applications closed</v>
      </c>
      <c r="G131" s="24" t="str">
        <v>P1</v>
      </c>
      <c r="H131" s="24" t="str">
        <v>Relevant membership persona</v>
      </c>
      <c r="I131" s="24" t="str">
        <v>Use prepared QA records and separate accounts. Record the actual URL and build on Run Overview. Use sandbox billing only.</v>
      </c>
      <c r="J131" s="24" t="str">
        <v>Regression</v>
      </c>
      <c r="K131" s="26"/>
      <c r="L131" s="26"/>
      <c r="M131" s="26"/>
      <c r="N131" s="29"/>
      <c r="O131" s="26"/>
      <c r="P131" s="26"/>
      <c r="Q131" s="26"/>
      <c r="R131" s="24" t="str">
        <v>Core</v>
      </c>
      <c r="S131" s="28" t="str">
        <v>Not Run</v>
      </c>
      <c r="T131" s="28"/>
      <c r="U131" s="28" t="str">
        <v>Updated</v>
      </c>
    </row>
    <row r="132" ht="60" customHeight="1">
      <c r="A132" s="25" t="str">
        <v>Not Run</v>
      </c>
      <c r="B132" s="19" t="str">
        <v>GO-MAN-131</v>
      </c>
      <c r="C132" s="19" t="str">
        <v>Membership</v>
      </c>
      <c r="D132" s="19" t="str">
        <v>Activate the application link from the membership page.</v>
      </c>
      <c r="E132" s="19" t="str">
        <v>Its label matches the internal destination and does not promise an external Jira form.</v>
      </c>
      <c r="F132" s="19" t="str">
        <v>Mentor application destination copy</v>
      </c>
      <c r="G132" s="19" t="str">
        <v>P1</v>
      </c>
      <c r="H132" s="19" t="str">
        <v>Relevant membership persona</v>
      </c>
      <c r="I132" s="19" t="str">
        <v>Use prepared QA records and separate accounts. Record the actual URL and build on Run Overview. Use sandbox billing only.</v>
      </c>
      <c r="J132" s="19" t="str">
        <v>Regression</v>
      </c>
      <c r="K132" s="26"/>
      <c r="L132" s="26"/>
      <c r="M132" s="26"/>
      <c r="N132" s="29"/>
      <c r="O132" s="26"/>
      <c r="P132" s="26"/>
      <c r="Q132" s="26"/>
      <c r="R132" s="19" t="str">
        <v>Core</v>
      </c>
      <c r="S132" s="27" t="str">
        <v>Not Run</v>
      </c>
      <c r="T132" s="27"/>
      <c r="U132" s="27" t="str">
        <v>Updated</v>
      </c>
    </row>
    <row r="133" ht="60" customHeight="1">
      <c r="A133" s="25" t="str">
        <v>Not Run</v>
      </c>
      <c r="B133" s="24" t="str">
        <v>GO-MAN-132</v>
      </c>
      <c r="C133" s="24" t="str">
        <v>Membership</v>
      </c>
      <c r="D133" s="24" t="str">
        <v>As visitor, choose Apply to become a mentor, sign in and continue.</v>
      </c>
      <c r="E133" s="24" t="str">
        <v>The application opens for the same account and intended path after sign-in.</v>
      </c>
      <c r="F133" s="24" t="str">
        <v>Mentor application sign-in return</v>
      </c>
      <c r="G133" s="24" t="str">
        <v>P1</v>
      </c>
      <c r="H133" s="24" t="str">
        <v>Relevant membership persona</v>
      </c>
      <c r="I133" s="24" t="str">
        <v>Use prepared QA records and separate accounts. Record the actual URL and build on Run Overview. Use sandbox billing only.</v>
      </c>
      <c r="J133" s="24" t="str">
        <v>Regression</v>
      </c>
      <c r="K133" s="26"/>
      <c r="L133" s="26"/>
      <c r="M133" s="26"/>
      <c r="N133" s="29"/>
      <c r="O133" s="26"/>
      <c r="P133" s="26"/>
      <c r="Q133" s="26"/>
      <c r="R133" s="24" t="str">
        <v>Core</v>
      </c>
      <c r="S133" s="28" t="str">
        <v>Not Run</v>
      </c>
      <c r="T133" s="28"/>
      <c r="U133" s="28" t="str">
        <v>Updated</v>
      </c>
    </row>
    <row r="134" ht="60" customHeight="1">
      <c r="A134" s="25" t="str">
        <v>Not Run</v>
      </c>
      <c r="B134" s="19" t="str">
        <v>GO-MAN-133</v>
      </c>
      <c r="C134" s="19" t="str">
        <v>Membership</v>
      </c>
      <c r="D134" s="19" t="str">
        <v>Open /billing and a member-only resource with active Community.</v>
      </c>
      <c r="E134" s="19" t="str">
        <v>Current plan and renewal state are accurate and eligible resources open.</v>
      </c>
      <c r="F134" s="19" t="str">
        <v>Active Community subscription</v>
      </c>
      <c r="G134" s="19" t="str">
        <v>P1</v>
      </c>
      <c r="H134" s="19" t="str">
        <v>Relevant membership persona</v>
      </c>
      <c r="I134" s="19" t="str">
        <v>Use prepared QA records and separate accounts. Record the actual URL and build on Run Overview. Use sandbox billing only.</v>
      </c>
      <c r="J134" s="19" t="str">
        <v>Regression</v>
      </c>
      <c r="K134" s="26"/>
      <c r="L134" s="26"/>
      <c r="M134" s="26"/>
      <c r="N134" s="29"/>
      <c r="O134" s="26"/>
      <c r="P134" s="26"/>
      <c r="Q134" s="26"/>
      <c r="R134" s="19" t="str">
        <v>Core</v>
      </c>
      <c r="S134" s="27" t="str">
        <v>Not Run</v>
      </c>
      <c r="T134" s="27"/>
      <c r="U134" s="27" t="str">
        <v>Updated</v>
      </c>
    </row>
    <row r="135" ht="60" customHeight="1">
      <c r="A135" s="25" t="str">
        <v>Not Run</v>
      </c>
      <c r="B135" s="24" t="str">
        <v>GO-MAN-134</v>
      </c>
      <c r="C135" s="24" t="str">
        <v>Membership</v>
      </c>
      <c r="D135" s="24" t="str">
        <v>Open /billing and creator workspace with active Business.</v>
      </c>
      <c r="E135" s="24" t="str">
        <v>Current plan and agreed project allowance are shown correctly.</v>
      </c>
      <c r="F135" s="24" t="str">
        <v>Active Business subscription</v>
      </c>
      <c r="G135" s="24" t="str">
        <v>P1</v>
      </c>
      <c r="H135" s="24" t="str">
        <v>Relevant membership persona</v>
      </c>
      <c r="I135" s="24" t="str">
        <v>Use prepared QA records and separate accounts. Record the actual URL and build on Run Overview. Use sandbox billing only.</v>
      </c>
      <c r="J135" s="24" t="str">
        <v>Regression</v>
      </c>
      <c r="K135" s="26"/>
      <c r="L135" s="26"/>
      <c r="M135" s="26"/>
      <c r="N135" s="29"/>
      <c r="O135" s="26"/>
      <c r="P135" s="26"/>
      <c r="Q135" s="26"/>
      <c r="R135" s="24" t="str">
        <v>Core</v>
      </c>
      <c r="S135" s="28" t="str">
        <v>Not Run</v>
      </c>
      <c r="T135" s="28"/>
      <c r="U135" s="28" t="str">
        <v>Updated</v>
      </c>
    </row>
    <row r="136" ht="60" customHeight="1">
      <c r="A136" s="25" t="str">
        <v>Not Run</v>
      </c>
      <c r="B136" s="19" t="str">
        <v>GO-MAN-135</v>
      </c>
      <c r="C136" s="19" t="str">
        <v>Membership</v>
      </c>
      <c r="D136" s="19" t="str">
        <v>Cancel a sandbox subscription whose paid period is still active. Refresh billing and member content.</v>
      </c>
      <c r="E136" s="19" t="str">
        <v>Renewal is off. Paid-period access continues until the recorded end date.</v>
      </c>
      <c r="F136" s="19" t="str">
        <v>Scheduled cancellation</v>
      </c>
      <c r="G136" s="19" t="str">
        <v>P1</v>
      </c>
      <c r="H136" s="19" t="str">
        <v>Relevant membership persona</v>
      </c>
      <c r="I136" s="19" t="str">
        <v>Use prepared QA records and separate accounts. Record the actual URL and build on Run Overview. Use sandbox billing only.</v>
      </c>
      <c r="J136" s="19" t="str">
        <v>Regression</v>
      </c>
      <c r="K136" s="26"/>
      <c r="L136" s="26"/>
      <c r="M136" s="26"/>
      <c r="N136" s="29"/>
      <c r="O136" s="26"/>
      <c r="P136" s="26"/>
      <c r="Q136" s="26"/>
      <c r="R136" s="19" t="str">
        <v>Core</v>
      </c>
      <c r="S136" s="27" t="str">
        <v>Not Run</v>
      </c>
      <c r="T136" s="27"/>
      <c r="U136" s="27" t="str">
        <v>Updated</v>
      </c>
    </row>
    <row r="137" ht="60" customHeight="1">
      <c r="A137" s="25" t="str">
        <v>Not Run</v>
      </c>
      <c r="B137" s="24" t="str">
        <v>GO-MAN-136</v>
      </c>
      <c r="C137" s="24" t="str">
        <v>Membership</v>
      </c>
      <c r="D137" s="24" t="str">
        <v>Use a prepared sandbox past_due account inside its grace window. Open billing and a member resource.</v>
      </c>
      <c r="E137" s="24" t="str">
        <v>Payment status is clear and access follows the configured retry/grace policy.</v>
      </c>
      <c r="F137" s="24" t="str">
        <v>Past-due grace period</v>
      </c>
      <c r="G137" s="24" t="str">
        <v>P1</v>
      </c>
      <c r="H137" s="24" t="str">
        <v>Relevant membership persona</v>
      </c>
      <c r="I137" s="24" t="str">
        <v>Use prepared QA records and separate accounts. Record the actual URL and build on Run Overview. Use sandbox billing only.</v>
      </c>
      <c r="J137" s="24" t="str">
        <v>Regression</v>
      </c>
      <c r="K137" s="26"/>
      <c r="L137" s="26"/>
      <c r="M137" s="26"/>
      <c r="N137" s="29"/>
      <c r="O137" s="26"/>
      <c r="P137" s="26"/>
      <c r="Q137" s="26"/>
      <c r="R137" s="24" t="str">
        <v>Core</v>
      </c>
      <c r="S137" s="28" t="str">
        <v>Not Run</v>
      </c>
      <c r="T137" s="28"/>
      <c r="U137" s="28" t="str">
        <v>Updated</v>
      </c>
    </row>
    <row r="138" ht="60" customHeight="1">
      <c r="A138" s="25" t="str">
        <v>Not Run</v>
      </c>
      <c r="B138" s="19" t="str">
        <v>GO-MAN-137</v>
      </c>
      <c r="C138" s="19" t="str">
        <v>Membership</v>
      </c>
      <c r="D138" s="19" t="str">
        <v>Use an expired account without individual grants to open member content and create a project.</v>
      </c>
      <c r="E138" s="19" t="str">
        <v>Current paid actions/content are blocked unless another explicit grant applies. Free Passport remains available.</v>
      </c>
      <c r="F138" s="19" t="str">
        <v>Membership after expiry</v>
      </c>
      <c r="G138" s="19" t="str">
        <v>P0</v>
      </c>
      <c r="H138" s="19" t="str">
        <v>Relevant membership persona</v>
      </c>
      <c r="I138" s="19" t="str">
        <v>Use prepared QA records and separate accounts. Record the actual URL and build on Run Overview. Use sandbox billing only.</v>
      </c>
      <c r="J138" s="19" t="str">
        <v>Regression</v>
      </c>
      <c r="K138" s="26"/>
      <c r="L138" s="26"/>
      <c r="M138" s="26"/>
      <c r="N138" s="29"/>
      <c r="O138" s="26"/>
      <c r="P138" s="26"/>
      <c r="Q138" s="26"/>
      <c r="R138" s="19" t="str">
        <v>Core</v>
      </c>
      <c r="S138" s="27" t="str">
        <v>Not Run</v>
      </c>
      <c r="T138" s="27"/>
      <c r="U138" s="27" t="str">
        <v>Updated</v>
      </c>
    </row>
    <row r="139" ht="60" customHeight="1">
      <c r="A139" s="25" t="str">
        <v>Not Run</v>
      </c>
      <c r="B139" s="24" t="str">
        <v>GO-MAN-138</v>
      </c>
      <c r="C139" s="24" t="str">
        <v>Membership</v>
      </c>
      <c r="D139" s="24" t="str">
        <v>Suspend a prepared mentor in QA. Attempt mentor-only actions and public browsing.</v>
      </c>
      <c r="E139" s="24" t="str">
        <v>Suspension overrides payment or prior approval. The mentor cannot accept new work or remain publicly available.</v>
      </c>
      <c r="F139" s="24" t="str">
        <v>Mentor suspension</v>
      </c>
      <c r="G139" s="24" t="str">
        <v>P1</v>
      </c>
      <c r="H139" s="24" t="str">
        <v>Relevant membership persona</v>
      </c>
      <c r="I139" s="24" t="str">
        <v>Use prepared QA records and separate accounts. Record the actual URL and build on Run Overview. Use sandbox billing only.</v>
      </c>
      <c r="J139" s="24" t="str">
        <v>Regression</v>
      </c>
      <c r="K139" s="26"/>
      <c r="L139" s="26"/>
      <c r="M139" s="26"/>
      <c r="N139" s="29"/>
      <c r="O139" s="26"/>
      <c r="P139" s="26"/>
      <c r="Q139" s="26"/>
      <c r="R139" s="24" t="str">
        <v>Core</v>
      </c>
      <c r="S139" s="28" t="str">
        <v>Not Run</v>
      </c>
      <c r="T139" s="28"/>
      <c r="U139" s="28" t="str">
        <v>Updated</v>
      </c>
    </row>
    <row r="140" ht="60" customHeight="1">
      <c r="A140" s="25" t="str">
        <v>Not Run</v>
      </c>
      <c r="B140" s="19" t="str">
        <v>GO-MAN-139</v>
      </c>
      <c r="C140" s="19" t="str">
        <v>Membership</v>
      </c>
      <c r="D140" s="19" t="str">
        <v>At mobile width, switch billing interval and compare the three plans using keyboard and touch.</v>
      </c>
      <c r="E140" s="19" t="str">
        <v>Plan labels, prices, verification copy and CTAs stay readable and operable.</v>
      </c>
      <c r="F140" s="19" t="str">
        <v>Membership responsive behavior</v>
      </c>
      <c r="G140" s="19" t="str">
        <v>P1</v>
      </c>
      <c r="H140" s="19" t="str">
        <v>Relevant membership persona</v>
      </c>
      <c r="I140" s="19" t="str">
        <v>Use prepared QA records and separate accounts. Record the actual URL and build on Run Overview. Use sandbox billing only.</v>
      </c>
      <c r="J140" s="19" t="str">
        <v>Regression</v>
      </c>
      <c r="K140" s="26"/>
      <c r="L140" s="26"/>
      <c r="M140" s="26"/>
      <c r="N140" s="29"/>
      <c r="O140" s="26"/>
      <c r="P140" s="26"/>
      <c r="Q140" s="26"/>
      <c r="R140" s="19" t="str">
        <v>Core</v>
      </c>
      <c r="S140" s="27" t="str">
        <v>Not Run</v>
      </c>
      <c r="T140" s="27"/>
      <c r="U140" s="27" t="str">
        <v>Updated</v>
      </c>
    </row>
    <row r="141" ht="64" customHeight="1">
      <c r="A141" s="25" t="str">
        <v>Not Run</v>
      </c>
      <c r="B141" s="24" t="str">
        <v>GO-MAN-140</v>
      </c>
      <c r="C141" s="24" t="str">
        <v>Protected Links</v>
      </c>
      <c r="D141" s="24" t="str">
        <v>Open a member-only resource as visitor and select Open.</v>
      </c>
      <c r="E141" s="24" t="str">
        <v>Sign-in guidance appears and no destination URL is disclosed.</v>
      </c>
      <c r="F141" s="24" t="str">
        <v>Signed-out protected resource</v>
      </c>
      <c r="G141" s="24" t="str">
        <v>P0</v>
      </c>
      <c r="H141" s="24" t="str">
        <v>Persona named by the case</v>
      </c>
      <c r="I141" s="24" t="str">
        <v>Use prepared QA records and separate accounts. Record the actual URL and build on Run Overview. Prepare one public item, one locked published item and one unpublished item.</v>
      </c>
      <c r="J141" s="24" t="str">
        <v>Smoke</v>
      </c>
      <c r="K141" s="26"/>
      <c r="L141" s="26"/>
      <c r="M141" s="26"/>
      <c r="N141" s="29"/>
      <c r="O141" s="26"/>
      <c r="P141" s="26"/>
      <c r="Q141" s="26"/>
      <c r="R141" s="24" t="str">
        <v>Core</v>
      </c>
      <c r="S141" s="28" t="str">
        <v>Not Run</v>
      </c>
      <c r="T141" s="28"/>
      <c r="U141" s="28" t="str">
        <v>Updated</v>
      </c>
    </row>
    <row r="142" ht="64" customHeight="1">
      <c r="A142" s="25" t="str">
        <v>Not Run</v>
      </c>
      <c r="B142" s="19" t="str">
        <v>GO-MAN-141</v>
      </c>
      <c r="C142" s="19" t="str">
        <v>Protected Links</v>
      </c>
      <c r="D142" s="19" t="str">
        <v>As free user, open the same member-only item and select Open.</v>
      </c>
      <c r="E142" s="19" t="str">
        <v>Membership guidance appears. The protected external URL is absent from responses.</v>
      </c>
      <c r="F142" s="19" t="str">
        <v>Free-user protected resource</v>
      </c>
      <c r="G142" s="19" t="str">
        <v>P0</v>
      </c>
      <c r="H142" s="19" t="str">
        <v>Persona named by the case</v>
      </c>
      <c r="I142" s="19" t="str">
        <v>Use prepared QA records and separate accounts. Record the actual URL and build on Run Overview. Prepare one public item, one locked published item and one unpublished item.</v>
      </c>
      <c r="J142" s="19" t="str">
        <v>Regression</v>
      </c>
      <c r="K142" s="26"/>
      <c r="L142" s="26"/>
      <c r="M142" s="26"/>
      <c r="N142" s="29"/>
      <c r="O142" s="26"/>
      <c r="P142" s="26"/>
      <c r="Q142" s="26"/>
      <c r="R142" s="19" t="str">
        <v>Core</v>
      </c>
      <c r="S142" s="27" t="str">
        <v>Not Run</v>
      </c>
      <c r="T142" s="27"/>
      <c r="U142" s="27" t="str">
        <v>Updated</v>
      </c>
    </row>
    <row r="143" ht="64" customHeight="1">
      <c r="A143" s="25" t="str">
        <v>Not Run</v>
      </c>
      <c r="B143" s="24" t="str">
        <v>GO-MAN-142</v>
      </c>
      <c r="C143" s="24" t="str">
        <v>Protected Links</v>
      </c>
      <c r="D143" s="24" t="str">
        <v>As active Community, open a published eligible resource.</v>
      </c>
      <c r="E143" s="24" t="str">
        <v>The server-authorized open action reaches the configured destination.</v>
      </c>
      <c r="F143" s="24" t="str">
        <v>Community resource access</v>
      </c>
      <c r="G143" s="24" t="str">
        <v>P1</v>
      </c>
      <c r="H143" s="24" t="str">
        <v>Persona named by the case</v>
      </c>
      <c r="I143" s="24" t="str">
        <v>Use prepared QA records and separate accounts. Record the actual URL and build on Run Overview. Prepare one public item, one locked published item and one unpublished item.</v>
      </c>
      <c r="J143" s="24" t="str">
        <v>Smoke</v>
      </c>
      <c r="K143" s="26"/>
      <c r="L143" s="26"/>
      <c r="M143" s="26"/>
      <c r="N143" s="29"/>
      <c r="O143" s="26"/>
      <c r="P143" s="26"/>
      <c r="Q143" s="26"/>
      <c r="R143" s="24" t="str">
        <v>Core</v>
      </c>
      <c r="S143" s="28" t="str">
        <v>Not Run</v>
      </c>
      <c r="T143" s="28"/>
      <c r="U143" s="28" t="str">
        <v>Updated</v>
      </c>
    </row>
    <row r="144" ht="64" customHeight="1">
      <c r="A144" s="25" t="str">
        <v>Not Run</v>
      </c>
      <c r="B144" s="19" t="str">
        <v>GO-MAN-143</v>
      </c>
      <c r="C144" s="19" t="str">
        <v>Protected Links</v>
      </c>
      <c r="D144" s="19" t="str">
        <v>As active Business, open the same Community resource.</v>
      </c>
      <c r="E144" s="19" t="str">
        <v>Inherited content access works without a second purchase.</v>
      </c>
      <c r="F144" s="19" t="str">
        <v>Business resource access</v>
      </c>
      <c r="G144" s="19" t="str">
        <v>P1</v>
      </c>
      <c r="H144" s="19" t="str">
        <v>Persona named by the case</v>
      </c>
      <c r="I144" s="19" t="str">
        <v>Use prepared QA records and separate accounts. Record the actual URL and build on Run Overview. Prepare one public item, one locked published item and one unpublished item.</v>
      </c>
      <c r="J144" s="19" t="str">
        <v>Regression</v>
      </c>
      <c r="K144" s="26"/>
      <c r="L144" s="26"/>
      <c r="M144" s="26"/>
      <c r="N144" s="29"/>
      <c r="O144" s="26"/>
      <c r="P144" s="26"/>
      <c r="Q144" s="26"/>
      <c r="R144" s="19" t="str">
        <v>Core</v>
      </c>
      <c r="S144" s="27" t="str">
        <v>Not Run</v>
      </c>
      <c r="T144" s="27"/>
      <c r="U144" s="27" t="str">
        <v>Updated</v>
      </c>
    </row>
    <row r="145" ht="64" customHeight="1">
      <c r="A145" s="25" t="str">
        <v>Not Run</v>
      </c>
      <c r="B145" s="24" t="str">
        <v>GO-MAN-144</v>
      </c>
      <c r="C145" s="24" t="str">
        <v>Protected Links</v>
      </c>
      <c r="D145" s="24" t="str">
        <v>As expired member without a resource grant, open a member-only resource. Repeat with an explicit grant for that item.</v>
      </c>
      <c r="E145" s="24" t="str">
        <v>Expiry removes membership-based access. The explicit item grant still authorizes its own resource.</v>
      </c>
      <c r="F145" s="24" t="str">
        <v>Expired resource entitlement</v>
      </c>
      <c r="G145" s="24" t="str">
        <v>P0</v>
      </c>
      <c r="H145" s="24" t="str">
        <v>Persona named by the case</v>
      </c>
      <c r="I145" s="24" t="str">
        <v>Use prepared QA records and separate accounts. Record the actual URL and build on Run Overview. Prepare one public item, one locked published item and one unpublished item.</v>
      </c>
      <c r="J145" s="24" t="str">
        <v>Regression</v>
      </c>
      <c r="K145" s="26"/>
      <c r="L145" s="26"/>
      <c r="M145" s="26"/>
      <c r="N145" s="29"/>
      <c r="O145" s="26"/>
      <c r="P145" s="26"/>
      <c r="Q145" s="26"/>
      <c r="R145" s="24" t="str">
        <v>Core</v>
      </c>
      <c r="S145" s="28" t="str">
        <v>Not Run</v>
      </c>
      <c r="T145" s="28"/>
      <c r="U145" s="28" t="str">
        <v>Updated</v>
      </c>
    </row>
    <row r="146" ht="64" customHeight="1">
      <c r="A146" s="25" t="str">
        <v>Not Run</v>
      </c>
      <c r="B146" s="19" t="str">
        <v>GO-MAN-145</v>
      </c>
      <c r="C146" s="19" t="str">
        <v>Protected Links</v>
      </c>
      <c r="D146" s="19" t="str">
        <v>As canceled user before period end, open an eligible resource.</v>
      </c>
      <c r="E146" s="19" t="str">
        <v>Access remains available for the paid period.</v>
      </c>
      <c r="F146" s="19" t="str">
        <v>Canceled paid-period access</v>
      </c>
      <c r="G146" s="19" t="str">
        <v>P1</v>
      </c>
      <c r="H146" s="19" t="str">
        <v>Persona named by the case</v>
      </c>
      <c r="I146" s="19" t="str">
        <v>Use prepared QA records and separate accounts. Record the actual URL and build on Run Overview. Prepare one public item, one locked published item and one unpublished item.</v>
      </c>
      <c r="J146" s="19" t="str">
        <v>Regression</v>
      </c>
      <c r="K146" s="26"/>
      <c r="L146" s="26"/>
      <c r="M146" s="26"/>
      <c r="N146" s="29"/>
      <c r="O146" s="26"/>
      <c r="P146" s="26"/>
      <c r="Q146" s="26"/>
      <c r="R146" s="19" t="str">
        <v>Core</v>
      </c>
      <c r="S146" s="27" t="str">
        <v>Not Run</v>
      </c>
      <c r="T146" s="27"/>
      <c r="U146" s="27" t="str">
        <v>Updated</v>
      </c>
    </row>
    <row r="147" ht="64" customHeight="1">
      <c r="A147" s="25" t="str">
        <v>Not Run</v>
      </c>
      <c r="B147" s="24" t="str">
        <v>GO-MAN-146</v>
      </c>
      <c r="C147" s="24" t="str">
        <v>Protected Links</v>
      </c>
      <c r="D147" s="24" t="str">
        <v>After the prepared end date, retry member-only content with no separate grant.</v>
      </c>
      <c r="E147" s="24" t="str">
        <v>Membership-based access is denied. An item publication date alone does not authorize access.</v>
      </c>
      <c r="F147" s="24" t="str">
        <v>Canceled after period end</v>
      </c>
      <c r="G147" s="24" t="str">
        <v>P1</v>
      </c>
      <c r="H147" s="24" t="str">
        <v>Persona named by the case</v>
      </c>
      <c r="I147" s="24" t="str">
        <v>Use prepared QA records and separate accounts. Record the actual URL and build on Run Overview. Prepare one public item, one locked published item and one unpublished item.</v>
      </c>
      <c r="J147" s="24" t="str">
        <v>Regression</v>
      </c>
      <c r="K147" s="26"/>
      <c r="L147" s="26"/>
      <c r="M147" s="26"/>
      <c r="N147" s="29"/>
      <c r="O147" s="26"/>
      <c r="P147" s="26"/>
      <c r="Q147" s="26"/>
      <c r="R147" s="24" t="str">
        <v>Core</v>
      </c>
      <c r="S147" s="28" t="str">
        <v>Not Run</v>
      </c>
      <c r="T147" s="28"/>
      <c r="U147" s="28" t="str">
        <v>Updated</v>
      </c>
    </row>
    <row r="148" ht="64" customHeight="1">
      <c r="A148" s="25" t="str">
        <v>Not Run</v>
      </c>
      <c r="B148" s="19" t="str">
        <v>GO-MAN-147</v>
      </c>
      <c r="C148" s="19" t="str">
        <v>Protected Links</v>
      </c>
      <c r="D148" s="19" t="str">
        <v>As a prepared past_due member in grace, open an eligible resource.</v>
      </c>
      <c r="E148" s="19" t="str">
        <v>Access follows the grace policy without displaying a successful renewal.</v>
      </c>
      <c r="F148" s="19" t="str">
        <v>Past-due resource access</v>
      </c>
      <c r="G148" s="19" t="str">
        <v>P1</v>
      </c>
      <c r="H148" s="19" t="str">
        <v>Persona named by the case</v>
      </c>
      <c r="I148" s="19" t="str">
        <v>Use prepared QA records and separate accounts. Record the actual URL and build on Run Overview. Prepare one public item, one locked published item and one unpublished item.</v>
      </c>
      <c r="J148" s="19" t="str">
        <v>Regression</v>
      </c>
      <c r="K148" s="26"/>
      <c r="L148" s="26"/>
      <c r="M148" s="26"/>
      <c r="N148" s="29"/>
      <c r="O148" s="26"/>
      <c r="P148" s="26"/>
      <c r="Q148" s="26"/>
      <c r="R148" s="19" t="str">
        <v>Core</v>
      </c>
      <c r="S148" s="27" t="str">
        <v>Not Run</v>
      </c>
      <c r="T148" s="27"/>
      <c r="U148" s="27" t="str">
        <v>Updated</v>
      </c>
    </row>
    <row r="149" ht="64" customHeight="1">
      <c r="A149" s="25" t="str">
        <v>Not Run</v>
      </c>
      <c r="B149" s="24" t="str">
        <v>GO-MAN-148</v>
      </c>
      <c r="C149" s="24" t="str">
        <v>Protected Links</v>
      </c>
      <c r="D149" s="24" t="str">
        <v>As a user with a grant for one item, open that item and a different locked one.</v>
      </c>
      <c r="E149" s="24" t="str">
        <v>Only the granted item opens.</v>
      </c>
      <c r="F149" s="24" t="str">
        <v>Individual resource grant</v>
      </c>
      <c r="G149" s="24" t="str">
        <v>P1</v>
      </c>
      <c r="H149" s="24" t="str">
        <v>Persona named by the case</v>
      </c>
      <c r="I149" s="24" t="str">
        <v>Use prepared QA records and separate accounts. Record the actual URL and build on Run Overview. Prepare one public item, one locked published item and one unpublished item.</v>
      </c>
      <c r="J149" s="24" t="str">
        <v>Regression</v>
      </c>
      <c r="K149" s="26"/>
      <c r="L149" s="26"/>
      <c r="M149" s="26"/>
      <c r="N149" s="29"/>
      <c r="O149" s="26"/>
      <c r="P149" s="26"/>
      <c r="Q149" s="26"/>
      <c r="R149" s="24" t="str">
        <v>Core</v>
      </c>
      <c r="S149" s="28" t="str">
        <v>Not Run</v>
      </c>
      <c r="T149" s="28"/>
      <c r="U149" s="28" t="str">
        <v>Updated</v>
      </c>
    </row>
    <row r="150" ht="64" customHeight="1">
      <c r="A150" s="25" t="str">
        <v>Not Run</v>
      </c>
      <c r="B150" s="19" t="str">
        <v>GO-MAN-149</v>
      </c>
      <c r="C150" s="19" t="str">
        <v>Protected Links</v>
      </c>
      <c r="D150" s="19" t="str">
        <v>As normal member, open an unpublished resource by direct ID.</v>
      </c>
      <c r="E150" s="19" t="str">
        <v>Its protected destination remains inaccessible.</v>
      </c>
      <c r="F150" s="19" t="str">
        <v>Unpublished resource denial</v>
      </c>
      <c r="G150" s="19" t="str">
        <v>P1</v>
      </c>
      <c r="H150" s="19" t="str">
        <v>Persona named by the case</v>
      </c>
      <c r="I150" s="19" t="str">
        <v>Use prepared QA records and separate accounts. Record the actual URL and build on Run Overview. Prepare one public item, one locked published item and one unpublished item.</v>
      </c>
      <c r="J150" s="19" t="str">
        <v>Regression</v>
      </c>
      <c r="K150" s="26"/>
      <c r="L150" s="26"/>
      <c r="M150" s="26"/>
      <c r="N150" s="29"/>
      <c r="O150" s="26"/>
      <c r="P150" s="26"/>
      <c r="Q150" s="26"/>
      <c r="R150" s="19" t="str">
        <v>Core</v>
      </c>
      <c r="S150" s="27" t="str">
        <v>Not Run</v>
      </c>
      <c r="T150" s="27"/>
      <c r="U150" s="27" t="str">
        <v>Updated</v>
      </c>
    </row>
    <row r="151" ht="64" customHeight="1">
      <c r="A151" s="25" t="str">
        <v>Not Run</v>
      </c>
      <c r="B151" s="24" t="str">
        <v>GO-MAN-150</v>
      </c>
      <c r="C151" s="24" t="str">
        <v>Protected Links</v>
      </c>
      <c r="D151" s="24" t="str">
        <v>Open a published QA resource with no configured destination.</v>
      </c>
      <c r="E151" s="24" t="str">
        <v>A useful unavailable state appears. There is no blank window or redirect to undefined.</v>
      </c>
      <c r="F151" s="24" t="str">
        <v>Missing resource destination</v>
      </c>
      <c r="G151" s="24" t="str">
        <v>P1</v>
      </c>
      <c r="H151" s="24" t="str">
        <v>Persona named by the case</v>
      </c>
      <c r="I151" s="24" t="str">
        <v>Use prepared QA records and separate accounts. Record the actual URL and build on Run Overview. Prepare one public item, one locked published item and one unpublished item.</v>
      </c>
      <c r="J151" s="24" t="str">
        <v>Regression</v>
      </c>
      <c r="K151" s="26"/>
      <c r="L151" s="26"/>
      <c r="M151" s="26"/>
      <c r="N151" s="29"/>
      <c r="O151" s="26"/>
      <c r="P151" s="26"/>
      <c r="Q151" s="26"/>
      <c r="R151" s="24" t="str">
        <v>Core</v>
      </c>
      <c r="S151" s="28" t="str">
        <v>Not Run</v>
      </c>
      <c r="T151" s="28"/>
      <c r="U151" s="28" t="str">
        <v>Updated</v>
      </c>
    </row>
    <row r="152" ht="64" customHeight="1">
      <c r="A152" s="25" t="str">
        <v>Not Run</v>
      </c>
      <c r="B152" s="19" t="str">
        <v>GO-MAN-151</v>
      </c>
      <c r="C152" s="19" t="str">
        <v>Protected Links</v>
      </c>
      <c r="D152" s="19" t="str">
        <v>Copy a protected /resources/{id}/open or /asset-packs/{id}/open URL into a visitor session.</v>
      </c>
      <c r="E152" s="19" t="str">
        <v>The server checks entitlement and denies the unauthenticated open.</v>
      </c>
      <c r="F152" s="19" t="str">
        <v>Direct open authorization</v>
      </c>
      <c r="G152" s="19" t="str">
        <v>P0</v>
      </c>
      <c r="H152" s="19" t="str">
        <v>Persona named by the case</v>
      </c>
      <c r="I152" s="19" t="str">
        <v>Use prepared QA records and separate accounts. Record the actual URL and build on Run Overview. Prepare one public item, one locked published item and one unpublished item.</v>
      </c>
      <c r="J152" s="19" t="str">
        <v>Smoke</v>
      </c>
      <c r="K152" s="26"/>
      <c r="L152" s="26"/>
      <c r="M152" s="26"/>
      <c r="N152" s="29"/>
      <c r="O152" s="26"/>
      <c r="P152" s="26"/>
      <c r="Q152" s="26"/>
      <c r="R152" s="19" t="str">
        <v>Core</v>
      </c>
      <c r="S152" s="27" t="str">
        <v>Not Run</v>
      </c>
      <c r="T152" s="27"/>
      <c r="U152" s="27" t="str">
        <v>Updated</v>
      </c>
    </row>
    <row r="153" ht="64" customHeight="1">
      <c r="A153" s="25" t="str">
        <v>Not Run</v>
      </c>
      <c r="B153" s="24" t="str">
        <v>GO-MAN-152</v>
      </c>
      <c r="C153" s="24" t="str">
        <v>Protected Links</v>
      </c>
      <c r="D153" s="24" t="str">
        <v>As visitor, view page source for a locked item and search for its known external destination.</v>
      </c>
      <c r="E153" s="24" t="str">
        <v>The protected destination is absent.</v>
      </c>
      <c r="F153" s="24" t="str">
        <v>Page source excludes protected URL</v>
      </c>
      <c r="G153" s="24" t="str">
        <v>P0</v>
      </c>
      <c r="H153" s="24" t="str">
        <v>Persona named by the case</v>
      </c>
      <c r="I153" s="24" t="str">
        <v>Use prepared QA records and separate accounts. Record the actual URL and build on Run Overview. Prepare one public item, one locked published item and one unpublished item.</v>
      </c>
      <c r="J153" s="24" t="str">
        <v>Regression</v>
      </c>
      <c r="K153" s="26"/>
      <c r="L153" s="26"/>
      <c r="M153" s="26"/>
      <c r="N153" s="29"/>
      <c r="O153" s="26"/>
      <c r="P153" s="26"/>
      <c r="Q153" s="26"/>
      <c r="R153" s="24" t="str">
        <v>Core</v>
      </c>
      <c r="S153" s="28" t="str">
        <v>Not Run</v>
      </c>
      <c r="T153" s="28"/>
      <c r="U153" s="28" t="str">
        <v>Updated</v>
      </c>
    </row>
    <row r="154" ht="64" customHeight="1">
      <c r="A154" s="25" t="str">
        <v>Not Run</v>
      </c>
      <c r="B154" s="19" t="str">
        <v>GO-MAN-153</v>
      </c>
      <c r="C154" s="19" t="str">
        <v>Protected Links</v>
      </c>
      <c r="D154" s="19" t="str">
        <v>As free user, inspect the locked item’s catalog and detail network responses.</v>
      </c>
      <c r="E154" s="19" t="str">
        <v>The protected destination and tokens are absent.</v>
      </c>
      <c r="F154" s="19" t="str">
        <v>Network response excludes protected URL</v>
      </c>
      <c r="G154" s="19" t="str">
        <v>P0</v>
      </c>
      <c r="H154" s="19" t="str">
        <v>Persona named by the case</v>
      </c>
      <c r="I154" s="19" t="str">
        <v>Use prepared QA records and separate accounts. Record the actual URL and build on Run Overview. Prepare one public item, one locked published item and one unpublished item.</v>
      </c>
      <c r="J154" s="19" t="str">
        <v>Regression</v>
      </c>
      <c r="K154" s="26"/>
      <c r="L154" s="26"/>
      <c r="M154" s="26"/>
      <c r="N154" s="29"/>
      <c r="O154" s="26"/>
      <c r="P154" s="26"/>
      <c r="Q154" s="26"/>
      <c r="R154" s="19" t="str">
        <v>Core</v>
      </c>
      <c r="S154" s="27" t="str">
        <v>Not Run</v>
      </c>
      <c r="T154" s="27"/>
      <c r="U154" s="27" t="str">
        <v>Updated</v>
      </c>
    </row>
    <row r="155" ht="64" customHeight="1">
      <c r="A155" s="25" t="str">
        <v>Not Run</v>
      </c>
      <c r="B155" s="24" t="str">
        <v>GO-MAN-154</v>
      </c>
      <c r="C155" s="24" t="str">
        <v>Protected Links</v>
      </c>
      <c r="D155" s="24" t="str">
        <v>As visitor, inspect document and route-data payloads for the locked detail.</v>
      </c>
      <c r="E155" s="24" t="str">
        <v>The protected destination is absent from serialized page data.</v>
      </c>
      <c r="F155" s="24" t="str">
        <v>Page data excludes protected URL</v>
      </c>
      <c r="G155" s="24" t="str">
        <v>P0</v>
      </c>
      <c r="H155" s="24" t="str">
        <v>Persona named by the case</v>
      </c>
      <c r="I155" s="24" t="str">
        <v>Use prepared QA records and separate accounts. Record the actual URL and build on Run Overview. Prepare one public item, one locked published item and one unpublished item.</v>
      </c>
      <c r="J155" s="24" t="str">
        <v>Regression</v>
      </c>
      <c r="K155" s="26"/>
      <c r="L155" s="26"/>
      <c r="M155" s="26"/>
      <c r="N155" s="29"/>
      <c r="O155" s="26"/>
      <c r="P155" s="26"/>
      <c r="Q155" s="26"/>
      <c r="R155" s="24" t="str">
        <v>Core</v>
      </c>
      <c r="S155" s="28" t="str">
        <v>Not Run</v>
      </c>
      <c r="T155" s="28"/>
      <c r="U155" s="28" t="str">
        <v>Updated</v>
      </c>
    </row>
    <row r="156" ht="64" customHeight="1">
      <c r="A156" s="25" t="str">
        <v>Not Run</v>
      </c>
      <c r="B156" s="19" t="str">
        <v>GO-MAN-155</v>
      </c>
      <c r="C156" s="19" t="str">
        <v>Protected Links</v>
      </c>
      <c r="D156" s="19" t="str">
        <v>Inspect the locked detail’s metadata and link-preview values.</v>
      </c>
      <c r="E156" s="19" t="str">
        <v>Public metadata contains no protected destination or private query token.</v>
      </c>
      <c r="F156" s="19" t="str">
        <v>Metadata excludes protected URL</v>
      </c>
      <c r="G156" s="19" t="str">
        <v>P0</v>
      </c>
      <c r="H156" s="19" t="str">
        <v>Persona named by the case</v>
      </c>
      <c r="I156" s="19" t="str">
        <v>Use prepared QA records and separate accounts. Record the actual URL and build on Run Overview. Prepare one public item, one locked published item and one unpublished item.</v>
      </c>
      <c r="J156" s="19" t="str">
        <v>Regression</v>
      </c>
      <c r="K156" s="26"/>
      <c r="L156" s="26"/>
      <c r="M156" s="26"/>
      <c r="N156" s="29"/>
      <c r="O156" s="26"/>
      <c r="P156" s="26"/>
      <c r="Q156" s="26"/>
      <c r="R156" s="19" t="str">
        <v>Core</v>
      </c>
      <c r="S156" s="27" t="str">
        <v>Not Run</v>
      </c>
      <c r="T156" s="27"/>
      <c r="U156" s="27" t="str">
        <v>Updated</v>
      </c>
    </row>
    <row r="157" ht="64" customHeight="1">
      <c r="A157" s="25" t="str">
        <v>Not Run</v>
      </c>
      <c r="B157" s="24" t="str">
        <v>GO-MAN-156</v>
      </c>
      <c r="C157" s="24" t="str">
        <v>Protected Links</v>
      </c>
      <c r="D157" s="24" t="str">
        <v>View a locked resource as free user.</v>
      </c>
      <c r="E157" s="24" t="str">
        <v>The state explains the requirement and provides an applicable sign-in or membership action.</v>
      </c>
      <c r="F157" s="24" t="str">
        <v>Locked-content explanation</v>
      </c>
      <c r="G157" s="24" t="str">
        <v>P1</v>
      </c>
      <c r="H157" s="24" t="str">
        <v>Persona named by the case</v>
      </c>
      <c r="I157" s="24" t="str">
        <v>Use prepared QA records and separate accounts. Record the actual URL and build on Run Overview. Prepare one public item, one locked published item and one unpublished item.</v>
      </c>
      <c r="J157" s="24" t="str">
        <v>Regression</v>
      </c>
      <c r="K157" s="26"/>
      <c r="L157" s="26"/>
      <c r="M157" s="26"/>
      <c r="N157" s="29"/>
      <c r="O157" s="26"/>
      <c r="P157" s="26"/>
      <c r="Q157" s="26"/>
      <c r="R157" s="24" t="str">
        <v>Core</v>
      </c>
      <c r="S157" s="28" t="str">
        <v>Not Run</v>
      </c>
      <c r="T157" s="28"/>
      <c r="U157" s="28" t="str">
        <v>Updated</v>
      </c>
    </row>
    <row r="158" ht="64" customHeight="1">
      <c r="A158" s="25" t="str">
        <v>Not Run</v>
      </c>
      <c r="B158" s="19" t="str">
        <v>GO-MAN-157</v>
      </c>
      <c r="C158" s="19" t="str">
        <v>Protected Links</v>
      </c>
      <c r="D158" s="19" t="str">
        <v>Start from a locked detail, sign in as eligible user and continue.</v>
      </c>
      <c r="E158" s="19" t="str">
        <v>The same detail opens and its authorized action is available.</v>
      </c>
      <c r="F158" s="19" t="str">
        <v>Resource sign-in return</v>
      </c>
      <c r="G158" s="19" t="str">
        <v>P1</v>
      </c>
      <c r="H158" s="19" t="str">
        <v>Persona named by the case</v>
      </c>
      <c r="I158" s="19" t="str">
        <v>Use prepared QA records and separate accounts. Record the actual URL and build on Run Overview. Prepare one public item, one locked published item and one unpublished item.</v>
      </c>
      <c r="J158" s="19" t="str">
        <v>Regression</v>
      </c>
      <c r="K158" s="26"/>
      <c r="L158" s="26"/>
      <c r="M158" s="26"/>
      <c r="N158" s="29"/>
      <c r="O158" s="26"/>
      <c r="P158" s="26"/>
      <c r="Q158" s="26"/>
      <c r="R158" s="19" t="str">
        <v>Core</v>
      </c>
      <c r="S158" s="27" t="str">
        <v>Not Run</v>
      </c>
      <c r="T158" s="27"/>
      <c r="U158" s="27" t="str">
        <v>Updated</v>
      </c>
    </row>
    <row r="159" ht="64" customHeight="1">
      <c r="A159" s="25" t="str">
        <v>Not Run</v>
      </c>
      <c r="B159" s="24" t="str">
        <v>GO-MAN-158</v>
      </c>
      <c r="C159" s="24" t="str">
        <v>Protected Links</v>
      </c>
      <c r="D159" s="24" t="str">
        <v>From a locked item, choose membership or upgrade.</v>
      </c>
      <c r="E159" s="24" t="str">
        <v>The membership page preserves relevant intent and explains the available plans.</v>
      </c>
      <c r="F159" s="24" t="str">
        <v>Resource upgrade destination</v>
      </c>
      <c r="G159" s="24" t="str">
        <v>P1</v>
      </c>
      <c r="H159" s="24" t="str">
        <v>Persona named by the case</v>
      </c>
      <c r="I159" s="24" t="str">
        <v>Use prepared QA records and separate accounts. Record the actual URL and build on Run Overview. Prepare one public item, one locked published item and one unpublished item.</v>
      </c>
      <c r="J159" s="24" t="str">
        <v>Regression</v>
      </c>
      <c r="K159" s="26"/>
      <c r="L159" s="26"/>
      <c r="M159" s="26"/>
      <c r="N159" s="29"/>
      <c r="O159" s="26"/>
      <c r="P159" s="26"/>
      <c r="Q159" s="26"/>
      <c r="R159" s="24" t="str">
        <v>Core</v>
      </c>
      <c r="S159" s="28" t="str">
        <v>Not Run</v>
      </c>
      <c r="T159" s="28"/>
      <c r="U159" s="28" t="str">
        <v>Updated</v>
      </c>
    </row>
    <row r="160" ht="64" customHeight="1">
      <c r="A160" s="25" t="str">
        <v>Not Run</v>
      </c>
      <c r="B160" s="19" t="str">
        <v>GO-MAN-159</v>
      </c>
      <c r="C160" s="19" t="str">
        <v>Protected Links</v>
      </c>
      <c r="D160" s="19" t="str">
        <v>As entitled user, activate Open once and inspect the destination.</v>
      </c>
      <c r="E160" s="19" t="str">
        <v>It reaches the configured HTTPS resource without leaking another user’s authorization.</v>
      </c>
      <c r="F160" s="19" t="str">
        <v>Authorized redirect</v>
      </c>
      <c r="G160" s="19" t="str">
        <v>P1</v>
      </c>
      <c r="H160" s="19" t="str">
        <v>Persona named by the case</v>
      </c>
      <c r="I160" s="19" t="str">
        <v>Use prepared QA records and separate accounts. Record the actual URL and build on Run Overview. Prepare one public item, one locked published item and one unpublished item.</v>
      </c>
      <c r="J160" s="19" t="str">
        <v>Regression</v>
      </c>
      <c r="K160" s="26"/>
      <c r="L160" s="26"/>
      <c r="M160" s="26"/>
      <c r="N160" s="29"/>
      <c r="O160" s="26"/>
      <c r="P160" s="26"/>
      <c r="Q160" s="26"/>
      <c r="R160" s="19" t="str">
        <v>Core</v>
      </c>
      <c r="S160" s="27" t="str">
        <v>Not Run</v>
      </c>
      <c r="T160" s="27"/>
      <c r="U160" s="27" t="str">
        <v>Updated</v>
      </c>
    </row>
    <row r="161" ht="60" customHeight="1">
      <c r="A161" s="25" t="str">
        <v>Not Run</v>
      </c>
      <c r="B161" s="24" t="str">
        <v>GO-MAN-160</v>
      </c>
      <c r="C161" s="24" t="str">
        <v>Publication States</v>
      </c>
      <c r="D161" s="24" t="str">
        <v>Prepare a QA resources record in state: draft. Open /resources as visitor and member, then use its direct detail/open URL. Compare with the owner or admin view.</v>
      </c>
      <c r="E161" s="24" t="str">
        <v>The item is not publicly discoverable and its private links are not disclosed. Owner/admin review access remains role-controlled.</v>
      </c>
      <c r="F161" s="24" t="str">
        <v>Resources - draft</v>
      </c>
      <c r="G161" s="24" t="str">
        <v>P1</v>
      </c>
      <c r="H161" s="24" t="str">
        <v>Visitor, member, content owner and admin</v>
      </c>
      <c r="I161" s="24" t="str">
        <v>Use prepared QA records and separate accounts. Record the actual URL and build on Run Overview. Prepare this exact state before testing.</v>
      </c>
      <c r="J161" s="24" t="str">
        <v>Regression</v>
      </c>
      <c r="K161" s="26"/>
      <c r="L161" s="26"/>
      <c r="M161" s="26"/>
      <c r="N161" s="29"/>
      <c r="O161" s="26"/>
      <c r="P161" s="26"/>
      <c r="Q161" s="26"/>
      <c r="R161" s="24" t="str">
        <v>Core</v>
      </c>
      <c r="S161" s="28" t="str">
        <v>Not Run</v>
      </c>
      <c r="T161" s="28"/>
      <c r="U161" s="28" t="str">
        <v>Updated</v>
      </c>
    </row>
    <row r="162" ht="60" customHeight="1">
      <c r="A162" s="25" t="str">
        <v>Not Run</v>
      </c>
      <c r="B162" s="19" t="str">
        <v>GO-MAN-161</v>
      </c>
      <c r="C162" s="19" t="str">
        <v>Publication States</v>
      </c>
      <c r="D162" s="19" t="str">
        <v>Prepare a QA resources record in state: submitted. Open /resources as visitor and member, then use its direct detail/open URL. Compare with the owner or admin view.</v>
      </c>
      <c r="E162" s="19" t="str">
        <v>The item is not publicly discoverable and its private links are not disclosed. Owner/admin review access remains role-controlled.</v>
      </c>
      <c r="F162" s="19" t="str">
        <v>Resources - submitted</v>
      </c>
      <c r="G162" s="19" t="str">
        <v>P1</v>
      </c>
      <c r="H162" s="19" t="str">
        <v>Visitor, member, content owner and admin</v>
      </c>
      <c r="I162" s="19" t="str">
        <v>Use prepared QA records and separate accounts. Record the actual URL and build on Run Overview. Prepare this exact state before testing.</v>
      </c>
      <c r="J162" s="19" t="str">
        <v>Regression</v>
      </c>
      <c r="K162" s="26"/>
      <c r="L162" s="26"/>
      <c r="M162" s="26"/>
      <c r="N162" s="29"/>
      <c r="O162" s="26"/>
      <c r="P162" s="26"/>
      <c r="Q162" s="26"/>
      <c r="R162" s="19" t="str">
        <v>Core</v>
      </c>
      <c r="S162" s="27" t="str">
        <v>Not Run</v>
      </c>
      <c r="T162" s="27"/>
      <c r="U162" s="27" t="str">
        <v>Updated</v>
      </c>
    </row>
    <row r="163" ht="60" customHeight="1">
      <c r="A163" s="25" t="str">
        <v>Not Run</v>
      </c>
      <c r="B163" s="24" t="str">
        <v>GO-MAN-162</v>
      </c>
      <c r="C163" s="24" t="str">
        <v>Publication States</v>
      </c>
      <c r="D163" s="24" t="str">
        <v>Prepare a QA resources record in state: changes requested. Open /resources as visitor and member, then use its direct detail/open URL. Compare with the owner or admin view.</v>
      </c>
      <c r="E163" s="24" t="str">
        <v>The item is not publicly discoverable and its private links are not disclosed. Owner/admin review access remains role-controlled.</v>
      </c>
      <c r="F163" s="24" t="str">
        <v>Resources - changes requested</v>
      </c>
      <c r="G163" s="24" t="str">
        <v>P1</v>
      </c>
      <c r="H163" s="24" t="str">
        <v>Visitor, member, content owner and admin</v>
      </c>
      <c r="I163" s="24" t="str">
        <v>Use prepared QA records and separate accounts. Record the actual URL and build on Run Overview. Prepare this exact state before testing.</v>
      </c>
      <c r="J163" s="24" t="str">
        <v>Regression</v>
      </c>
      <c r="K163" s="26"/>
      <c r="L163" s="26"/>
      <c r="M163" s="26"/>
      <c r="N163" s="29"/>
      <c r="O163" s="26"/>
      <c r="P163" s="26"/>
      <c r="Q163" s="26"/>
      <c r="R163" s="24" t="str">
        <v>Core</v>
      </c>
      <c r="S163" s="28" t="str">
        <v>Not Run</v>
      </c>
      <c r="T163" s="28"/>
      <c r="U163" s="28" t="str">
        <v>Updated</v>
      </c>
    </row>
    <row r="164" ht="64" customHeight="1">
      <c r="A164" s="25" t="str">
        <v>Not Run</v>
      </c>
      <c r="B164" s="19" t="str">
        <v>GO-MAN-163</v>
      </c>
      <c r="C164" s="19" t="str">
        <v>Publication States</v>
      </c>
      <c r="D164" s="19" t="str">
        <v>Prepare a QA resources record in state: approved but unpublished. Open /resources as visitor and member, then use its direct detail/open URL. Compare with the owner or admin view.</v>
      </c>
      <c r="E164" s="19" t="str">
        <v>The item is not publicly discoverable and its private links are not disclosed. Owner/admin review access remains role-controlled.</v>
      </c>
      <c r="F164" s="19" t="str">
        <v>Resources - approved but unpublished</v>
      </c>
      <c r="G164" s="19" t="str">
        <v>P1</v>
      </c>
      <c r="H164" s="19" t="str">
        <v>Visitor, member, content owner and admin</v>
      </c>
      <c r="I164" s="19" t="str">
        <v>Use prepared QA records and separate accounts. Record the actual URL and build on Run Overview. Prepare this exact state before testing.</v>
      </c>
      <c r="J164" s="19" t="str">
        <v>Regression</v>
      </c>
      <c r="K164" s="26"/>
      <c r="L164" s="26"/>
      <c r="M164" s="26"/>
      <c r="N164" s="29"/>
      <c r="O164" s="26"/>
      <c r="P164" s="26"/>
      <c r="Q164" s="26"/>
      <c r="R164" s="19" t="str">
        <v>Core</v>
      </c>
      <c r="S164" s="27" t="str">
        <v>Not Run</v>
      </c>
      <c r="T164" s="27"/>
      <c r="U164" s="27" t="str">
        <v>Updated</v>
      </c>
    </row>
    <row r="165" ht="64" customHeight="1">
      <c r="A165" s="25" t="str">
        <v>Not Run</v>
      </c>
      <c r="B165" s="24" t="str">
        <v>GO-MAN-164</v>
      </c>
      <c r="C165" s="24" t="str">
        <v>Publication States</v>
      </c>
      <c r="D165" s="24" t="str">
        <v>Prepare a QA resources record in state: published. Open /resources as visitor and member, then use its direct detail/open URL. Compare with the owner or admin view.</v>
      </c>
      <c r="E165" s="24" t="str">
        <v>The item is discoverable only if its publication and visibility settings permit it. Published eligible content opens. Legacy content remains labeled and follows its explicit access policy.</v>
      </c>
      <c r="F165" s="24" t="str">
        <v>Resources - published</v>
      </c>
      <c r="G165" s="24" t="str">
        <v>P1</v>
      </c>
      <c r="H165" s="24" t="str">
        <v>Visitor, member, content owner and admin</v>
      </c>
      <c r="I165" s="24" t="str">
        <v>Use prepared QA records and separate accounts. Record the actual URL and build on Run Overview. Prepare this exact state before testing.</v>
      </c>
      <c r="J165" s="24" t="str">
        <v>Regression</v>
      </c>
      <c r="K165" s="26"/>
      <c r="L165" s="26"/>
      <c r="M165" s="26"/>
      <c r="N165" s="29"/>
      <c r="O165" s="26"/>
      <c r="P165" s="26"/>
      <c r="Q165" s="26"/>
      <c r="R165" s="24" t="str">
        <v>Core</v>
      </c>
      <c r="S165" s="28" t="str">
        <v>Not Run</v>
      </c>
      <c r="T165" s="28"/>
      <c r="U165" s="28" t="str">
        <v>Updated</v>
      </c>
    </row>
    <row r="166" ht="64" customHeight="1">
      <c r="A166" s="25" t="str">
        <v>Not Run</v>
      </c>
      <c r="B166" s="19" t="str">
        <v>GO-MAN-165</v>
      </c>
      <c r="C166" s="19" t="str">
        <v>Publication States</v>
      </c>
      <c r="D166" s="19" t="str">
        <v>Prepare a QA resources record in state: legacy. Open /resources as visitor and member, then use its direct detail/open URL. Compare with the owner or admin view.</v>
      </c>
      <c r="E166" s="19" t="str">
        <v>The item is discoverable only if its publication and visibility settings permit it. Published eligible content opens. Legacy content remains labeled and follows its explicit access policy.</v>
      </c>
      <c r="F166" s="19" t="str">
        <v>Resources - legacy</v>
      </c>
      <c r="G166" s="19" t="str">
        <v>P1</v>
      </c>
      <c r="H166" s="19" t="str">
        <v>Visitor, member, content owner and admin</v>
      </c>
      <c r="I166" s="19" t="str">
        <v>Use prepared QA records and separate accounts. Record the actual URL and build on Run Overview. Prepare this exact state before testing.</v>
      </c>
      <c r="J166" s="19" t="str">
        <v>Regression</v>
      </c>
      <c r="K166" s="26"/>
      <c r="L166" s="26"/>
      <c r="M166" s="26"/>
      <c r="N166" s="29"/>
      <c r="O166" s="26"/>
      <c r="P166" s="26"/>
      <c r="Q166" s="26"/>
      <c r="R166" s="19" t="str">
        <v>Core</v>
      </c>
      <c r="S166" s="27" t="str">
        <v>Not Run</v>
      </c>
      <c r="T166" s="27"/>
      <c r="U166" s="27" t="str">
        <v>Updated</v>
      </c>
    </row>
    <row r="167" ht="60" customHeight="1">
      <c r="A167" s="25" t="str">
        <v>Not Run</v>
      </c>
      <c r="B167" s="24" t="str">
        <v>GO-MAN-166</v>
      </c>
      <c r="C167" s="24" t="str">
        <v>Publication States</v>
      </c>
      <c r="D167" s="24" t="str">
        <v>Prepare a QA resources record in state: archived. Open /resources as visitor and member, then use its direct detail/open URL. Compare with the owner or admin view.</v>
      </c>
      <c r="E167" s="24" t="str">
        <v>The item is not publicly discoverable and its private links are not disclosed. Owner/admin review access remains role-controlled.</v>
      </c>
      <c r="F167" s="24" t="str">
        <v>Resources - archived</v>
      </c>
      <c r="G167" s="24" t="str">
        <v>P1</v>
      </c>
      <c r="H167" s="24" t="str">
        <v>Visitor, member, content owner and admin</v>
      </c>
      <c r="I167" s="24" t="str">
        <v>Use prepared QA records and separate accounts. Record the actual URL and build on Run Overview. Prepare this exact state before testing.</v>
      </c>
      <c r="J167" s="24" t="str">
        <v>Regression</v>
      </c>
      <c r="K167" s="26"/>
      <c r="L167" s="26"/>
      <c r="M167" s="26"/>
      <c r="N167" s="29"/>
      <c r="O167" s="26"/>
      <c r="P167" s="26"/>
      <c r="Q167" s="26"/>
      <c r="R167" s="24" t="str">
        <v>Core</v>
      </c>
      <c r="S167" s="28" t="str">
        <v>Not Run</v>
      </c>
      <c r="T167" s="28"/>
      <c r="U167" s="28" t="str">
        <v>Updated</v>
      </c>
    </row>
    <row r="168" ht="60" customHeight="1">
      <c r="A168" s="25" t="str">
        <v>Not Run</v>
      </c>
      <c r="B168" s="19" t="str">
        <v>GO-MAN-167</v>
      </c>
      <c r="C168" s="19" t="str">
        <v>Publication States</v>
      </c>
      <c r="D168" s="19" t="str">
        <v>Prepare a QA resources record in state: removed. Open /resources as visitor and member, then use its direct detail/open URL. Compare with the owner or admin view.</v>
      </c>
      <c r="E168" s="19" t="str">
        <v>The item is not publicly discoverable and its private links are not disclosed. Owner/admin review access remains role-controlled.</v>
      </c>
      <c r="F168" s="19" t="str">
        <v>Resources - removed</v>
      </c>
      <c r="G168" s="19" t="str">
        <v>P1</v>
      </c>
      <c r="H168" s="19" t="str">
        <v>Visitor, member, content owner and admin</v>
      </c>
      <c r="I168" s="19" t="str">
        <v>Use prepared QA records and separate accounts. Record the actual URL and build on Run Overview. Prepare this exact state before testing.</v>
      </c>
      <c r="J168" s="19" t="str">
        <v>Regression</v>
      </c>
      <c r="K168" s="26"/>
      <c r="L168" s="26"/>
      <c r="M168" s="26"/>
      <c r="N168" s="29"/>
      <c r="O168" s="26"/>
      <c r="P168" s="26"/>
      <c r="Q168" s="26"/>
      <c r="R168" s="19" t="str">
        <v>Core</v>
      </c>
      <c r="S168" s="27" t="str">
        <v>Not Run</v>
      </c>
      <c r="T168" s="27"/>
      <c r="U168" s="27" t="str">
        <v>Updated</v>
      </c>
    </row>
    <row r="169" ht="60" customHeight="1">
      <c r="A169" s="25" t="str">
        <v>Not Run</v>
      </c>
      <c r="B169" s="24" t="str">
        <v>GO-MAN-168</v>
      </c>
      <c r="C169" s="24" t="str">
        <v>Publication States</v>
      </c>
      <c r="D169" s="24" t="str">
        <v>Prepare a QA asset packs record in state: draft. Open /asset-packs as visitor and member, then use its direct detail/open URL. Compare with the owner or admin view.</v>
      </c>
      <c r="E169" s="24" t="str">
        <v>The item is not publicly discoverable and its private links are not disclosed. Owner/admin review access remains role-controlled.</v>
      </c>
      <c r="F169" s="24" t="str">
        <v>Asset packs - draft</v>
      </c>
      <c r="G169" s="24" t="str">
        <v>P1</v>
      </c>
      <c r="H169" s="24" t="str">
        <v>Visitor, member, content owner and admin</v>
      </c>
      <c r="I169" s="24" t="str">
        <v>Use prepared QA records and separate accounts. Record the actual URL and build on Run Overview. Prepare this exact state before testing.</v>
      </c>
      <c r="J169" s="24" t="str">
        <v>Regression</v>
      </c>
      <c r="K169" s="26"/>
      <c r="L169" s="26"/>
      <c r="M169" s="26"/>
      <c r="N169" s="29"/>
      <c r="O169" s="26"/>
      <c r="P169" s="26"/>
      <c r="Q169" s="26"/>
      <c r="R169" s="24" t="str">
        <v>Core</v>
      </c>
      <c r="S169" s="28" t="str">
        <v>Not Run</v>
      </c>
      <c r="T169" s="28"/>
      <c r="U169" s="28" t="str">
        <v>Updated</v>
      </c>
    </row>
    <row r="170" ht="60" customHeight="1">
      <c r="A170" s="25" t="str">
        <v>Not Run</v>
      </c>
      <c r="B170" s="19" t="str">
        <v>GO-MAN-169</v>
      </c>
      <c r="C170" s="19" t="str">
        <v>Publication States</v>
      </c>
      <c r="D170" s="19" t="str">
        <v>Prepare a QA asset packs record in state: submitted. Open /asset-packs as visitor and member, then use its direct detail/open URL. Compare with the owner or admin view.</v>
      </c>
      <c r="E170" s="19" t="str">
        <v>The item is not publicly discoverable and its private links are not disclosed. Owner/admin review access remains role-controlled.</v>
      </c>
      <c r="F170" s="19" t="str">
        <v>Asset packs - submitted</v>
      </c>
      <c r="G170" s="19" t="str">
        <v>P1</v>
      </c>
      <c r="H170" s="19" t="str">
        <v>Visitor, member, content owner and admin</v>
      </c>
      <c r="I170" s="19" t="str">
        <v>Use prepared QA records and separate accounts. Record the actual URL and build on Run Overview. Prepare this exact state before testing.</v>
      </c>
      <c r="J170" s="19" t="str">
        <v>Regression</v>
      </c>
      <c r="K170" s="26"/>
      <c r="L170" s="26"/>
      <c r="M170" s="26"/>
      <c r="N170" s="29"/>
      <c r="O170" s="26"/>
      <c r="P170" s="26"/>
      <c r="Q170" s="26"/>
      <c r="R170" s="19" t="str">
        <v>Core</v>
      </c>
      <c r="S170" s="27" t="str">
        <v>Not Run</v>
      </c>
      <c r="T170" s="27"/>
      <c r="U170" s="27" t="str">
        <v>Updated</v>
      </c>
    </row>
    <row r="171" ht="64" customHeight="1">
      <c r="A171" s="25" t="str">
        <v>Not Run</v>
      </c>
      <c r="B171" s="24" t="str">
        <v>GO-MAN-170</v>
      </c>
      <c r="C171" s="24" t="str">
        <v>Publication States</v>
      </c>
      <c r="D171" s="24" t="str">
        <v>Prepare a QA asset packs record in state: changes requested. Open /asset-packs as visitor and member, then use its direct detail/open URL. Compare with the owner or admin view.</v>
      </c>
      <c r="E171" s="24" t="str">
        <v>The item is not publicly discoverable and its private links are not disclosed. Owner/admin review access remains role-controlled.</v>
      </c>
      <c r="F171" s="24" t="str">
        <v>Asset packs - changes requested</v>
      </c>
      <c r="G171" s="24" t="str">
        <v>P1</v>
      </c>
      <c r="H171" s="24" t="str">
        <v>Visitor, member, content owner and admin</v>
      </c>
      <c r="I171" s="24" t="str">
        <v>Use prepared QA records and separate accounts. Record the actual URL and build on Run Overview. Prepare this exact state before testing.</v>
      </c>
      <c r="J171" s="24" t="str">
        <v>Regression</v>
      </c>
      <c r="K171" s="26"/>
      <c r="L171" s="26"/>
      <c r="M171" s="26"/>
      <c r="N171" s="29"/>
      <c r="O171" s="26"/>
      <c r="P171" s="26"/>
      <c r="Q171" s="26"/>
      <c r="R171" s="24" t="str">
        <v>Core</v>
      </c>
      <c r="S171" s="28" t="str">
        <v>Not Run</v>
      </c>
      <c r="T171" s="28"/>
      <c r="U171" s="28" t="str">
        <v>Updated</v>
      </c>
    </row>
    <row r="172" ht="64" customHeight="1">
      <c r="A172" s="25" t="str">
        <v>Not Run</v>
      </c>
      <c r="B172" s="19" t="str">
        <v>GO-MAN-171</v>
      </c>
      <c r="C172" s="19" t="str">
        <v>Publication States</v>
      </c>
      <c r="D172" s="19" t="str">
        <v>Prepare a QA asset packs record in state: approved but unpublished. Open /asset-packs as visitor and member, then use its direct detail/open URL. Compare with the owner or admin view.</v>
      </c>
      <c r="E172" s="19" t="str">
        <v>The item is not publicly discoverable and its private links are not disclosed. Owner/admin review access remains role-controlled.</v>
      </c>
      <c r="F172" s="19" t="str">
        <v>Asset packs - approved but unpublished</v>
      </c>
      <c r="G172" s="19" t="str">
        <v>P1</v>
      </c>
      <c r="H172" s="19" t="str">
        <v>Visitor, member, content owner and admin</v>
      </c>
      <c r="I172" s="19" t="str">
        <v>Use prepared QA records and separate accounts. Record the actual URL and build on Run Overview. Prepare this exact state before testing.</v>
      </c>
      <c r="J172" s="19" t="str">
        <v>Regression</v>
      </c>
      <c r="K172" s="26"/>
      <c r="L172" s="26"/>
      <c r="M172" s="26"/>
      <c r="N172" s="29"/>
      <c r="O172" s="26"/>
      <c r="P172" s="26"/>
      <c r="Q172" s="26"/>
      <c r="R172" s="19" t="str">
        <v>Core</v>
      </c>
      <c r="S172" s="27" t="str">
        <v>Not Run</v>
      </c>
      <c r="T172" s="27"/>
      <c r="U172" s="27" t="str">
        <v>Updated</v>
      </c>
    </row>
    <row r="173" ht="64" customHeight="1">
      <c r="A173" s="25" t="str">
        <v>Not Run</v>
      </c>
      <c r="B173" s="24" t="str">
        <v>GO-MAN-172</v>
      </c>
      <c r="C173" s="24" t="str">
        <v>Publication States</v>
      </c>
      <c r="D173" s="24" t="str">
        <v>Prepare a QA asset packs record in state: published. Open /asset-packs as visitor and member, then use its direct detail/open URL. Compare with the owner or admin view.</v>
      </c>
      <c r="E173" s="24" t="str">
        <v>The item is discoverable only if its publication and visibility settings permit it. Published eligible content opens. Legacy content remains labeled and follows its explicit access policy.</v>
      </c>
      <c r="F173" s="24" t="str">
        <v>Asset packs - published</v>
      </c>
      <c r="G173" s="24" t="str">
        <v>P1</v>
      </c>
      <c r="H173" s="24" t="str">
        <v>Visitor, member, content owner and admin</v>
      </c>
      <c r="I173" s="24" t="str">
        <v>Use prepared QA records and separate accounts. Record the actual URL and build on Run Overview. Prepare this exact state before testing.</v>
      </c>
      <c r="J173" s="24" t="str">
        <v>Regression</v>
      </c>
      <c r="K173" s="26"/>
      <c r="L173" s="26"/>
      <c r="M173" s="26"/>
      <c r="N173" s="29"/>
      <c r="O173" s="26"/>
      <c r="P173" s="26"/>
      <c r="Q173" s="26"/>
      <c r="R173" s="24" t="str">
        <v>Core</v>
      </c>
      <c r="S173" s="28" t="str">
        <v>Not Run</v>
      </c>
      <c r="T173" s="28"/>
      <c r="U173" s="28" t="str">
        <v>Updated</v>
      </c>
    </row>
    <row r="174" ht="64" customHeight="1">
      <c r="A174" s="25" t="str">
        <v>Not Run</v>
      </c>
      <c r="B174" s="19" t="str">
        <v>GO-MAN-173</v>
      </c>
      <c r="C174" s="19" t="str">
        <v>Publication States</v>
      </c>
      <c r="D174" s="19" t="str">
        <v>Prepare a QA asset packs record in state: legacy. Open /asset-packs as visitor and member, then use its direct detail/open URL. Compare with the owner or admin view.</v>
      </c>
      <c r="E174" s="19" t="str">
        <v>The item is discoverable only if its publication and visibility settings permit it. Published eligible content opens. Legacy content remains labeled and follows its explicit access policy.</v>
      </c>
      <c r="F174" s="19" t="str">
        <v>Asset packs - legacy</v>
      </c>
      <c r="G174" s="19" t="str">
        <v>P1</v>
      </c>
      <c r="H174" s="19" t="str">
        <v>Visitor, member, content owner and admin</v>
      </c>
      <c r="I174" s="19" t="str">
        <v>Use prepared QA records and separate accounts. Record the actual URL and build on Run Overview. Prepare this exact state before testing.</v>
      </c>
      <c r="J174" s="19" t="str">
        <v>Regression</v>
      </c>
      <c r="K174" s="26"/>
      <c r="L174" s="26"/>
      <c r="M174" s="26"/>
      <c r="N174" s="29"/>
      <c r="O174" s="26"/>
      <c r="P174" s="26"/>
      <c r="Q174" s="26"/>
      <c r="R174" s="19" t="str">
        <v>Core</v>
      </c>
      <c r="S174" s="27" t="str">
        <v>Not Run</v>
      </c>
      <c r="T174" s="27"/>
      <c r="U174" s="27" t="str">
        <v>Updated</v>
      </c>
    </row>
    <row r="175" ht="60" customHeight="1">
      <c r="A175" s="25" t="str">
        <v>Not Run</v>
      </c>
      <c r="B175" s="24" t="str">
        <v>GO-MAN-174</v>
      </c>
      <c r="C175" s="24" t="str">
        <v>Publication States</v>
      </c>
      <c r="D175" s="24" t="str">
        <v>Prepare a QA asset packs record in state: archived. Open /asset-packs as visitor and member, then use its direct detail/open URL. Compare with the owner or admin view.</v>
      </c>
      <c r="E175" s="24" t="str">
        <v>The item is not publicly discoverable and its private links are not disclosed. Owner/admin review access remains role-controlled.</v>
      </c>
      <c r="F175" s="24" t="str">
        <v>Asset packs - archived</v>
      </c>
      <c r="G175" s="24" t="str">
        <v>P1</v>
      </c>
      <c r="H175" s="24" t="str">
        <v>Visitor, member, content owner and admin</v>
      </c>
      <c r="I175" s="24" t="str">
        <v>Use prepared QA records and separate accounts. Record the actual URL and build on Run Overview. Prepare this exact state before testing.</v>
      </c>
      <c r="J175" s="24" t="str">
        <v>Regression</v>
      </c>
      <c r="K175" s="26"/>
      <c r="L175" s="26"/>
      <c r="M175" s="26"/>
      <c r="N175" s="29"/>
      <c r="O175" s="26"/>
      <c r="P175" s="26"/>
      <c r="Q175" s="26"/>
      <c r="R175" s="24" t="str">
        <v>Core</v>
      </c>
      <c r="S175" s="28" t="str">
        <v>Not Run</v>
      </c>
      <c r="T175" s="28"/>
      <c r="U175" s="28" t="str">
        <v>Updated</v>
      </c>
    </row>
    <row r="176" ht="60" customHeight="1">
      <c r="A176" s="25" t="str">
        <v>Not Run</v>
      </c>
      <c r="B176" s="19" t="str">
        <v>GO-MAN-175</v>
      </c>
      <c r="C176" s="19" t="str">
        <v>Publication States</v>
      </c>
      <c r="D176" s="19" t="str">
        <v>Prepare a QA asset packs record in state: removed. Open /asset-packs as visitor and member, then use its direct detail/open URL. Compare with the owner or admin view.</v>
      </c>
      <c r="E176" s="19" t="str">
        <v>The item is not publicly discoverable and its private links are not disclosed. Owner/admin review access remains role-controlled.</v>
      </c>
      <c r="F176" s="19" t="str">
        <v>Asset packs - removed</v>
      </c>
      <c r="G176" s="19" t="str">
        <v>P1</v>
      </c>
      <c r="H176" s="19" t="str">
        <v>Visitor, member, content owner and admin</v>
      </c>
      <c r="I176" s="19" t="str">
        <v>Use prepared QA records and separate accounts. Record the actual URL and build on Run Overview. Prepare this exact state before testing.</v>
      </c>
      <c r="J176" s="19" t="str">
        <v>Regression</v>
      </c>
      <c r="K176" s="26"/>
      <c r="L176" s="26"/>
      <c r="M176" s="26"/>
      <c r="N176" s="29"/>
      <c r="O176" s="26"/>
      <c r="P176" s="26"/>
      <c r="Q176" s="26"/>
      <c r="R176" s="19" t="str">
        <v>Core</v>
      </c>
      <c r="S176" s="27" t="str">
        <v>Not Run</v>
      </c>
      <c r="T176" s="27"/>
      <c r="U176" s="27" t="str">
        <v>Updated</v>
      </c>
    </row>
    <row r="177" ht="60" customHeight="1">
      <c r="A177" s="25" t="str">
        <v>Not Run</v>
      </c>
      <c r="B177" s="24" t="str">
        <v>GO-MAN-176</v>
      </c>
      <c r="C177" s="24" t="str">
        <v>Publication States</v>
      </c>
      <c r="D177" s="24" t="str">
        <v>Prepare a QA video bundles record in state: draft. Open /video-bundles as visitor and member, then use its direct detail/open URL. Compare with the owner or admin view.</v>
      </c>
      <c r="E177" s="24" t="str">
        <v>The item is not publicly discoverable and its private links are not disclosed. Owner/admin review access remains role-controlled.</v>
      </c>
      <c r="F177" s="24" t="str">
        <v>Video bundles - draft</v>
      </c>
      <c r="G177" s="24" t="str">
        <v>P1</v>
      </c>
      <c r="H177" s="24" t="str">
        <v>Visitor, member, content owner and admin</v>
      </c>
      <c r="I177" s="24" t="str">
        <v>Use prepared QA records and separate accounts. Record the actual URL and build on Run Overview. Prepare this exact state before testing.</v>
      </c>
      <c r="J177" s="24" t="str">
        <v>Regression</v>
      </c>
      <c r="K177" s="26"/>
      <c r="L177" s="26"/>
      <c r="M177" s="26"/>
      <c r="N177" s="29"/>
      <c r="O177" s="26"/>
      <c r="P177" s="26"/>
      <c r="Q177" s="26"/>
      <c r="R177" s="24" t="str">
        <v>VIDEO_BUNDLES_ENABLED</v>
      </c>
      <c r="S177" s="28" t="str">
        <v>Not Run</v>
      </c>
      <c r="T177" s="28"/>
      <c r="U177" s="28" t="str">
        <v>Updated</v>
      </c>
    </row>
    <row r="178" ht="64" customHeight="1">
      <c r="A178" s="25" t="str">
        <v>Not Run</v>
      </c>
      <c r="B178" s="19" t="str">
        <v>GO-MAN-177</v>
      </c>
      <c r="C178" s="19" t="str">
        <v>Publication States</v>
      </c>
      <c r="D178" s="19" t="str">
        <v>Prepare a QA video bundles record in state: published. Open /video-bundles as visitor and member, then use its direct detail/open URL. Compare with the owner or admin view.</v>
      </c>
      <c r="E178" s="19" t="str">
        <v>The item is discoverable only if its publication and visibility settings permit it. Published eligible content opens. Legacy content remains labeled and follows its explicit access policy.</v>
      </c>
      <c r="F178" s="19" t="str">
        <v>Video bundles - published</v>
      </c>
      <c r="G178" s="19" t="str">
        <v>P1</v>
      </c>
      <c r="H178" s="19" t="str">
        <v>Visitor, member, content owner and admin</v>
      </c>
      <c r="I178" s="19" t="str">
        <v>Use prepared QA records and separate accounts. Record the actual URL and build on Run Overview. Prepare this exact state before testing.</v>
      </c>
      <c r="J178" s="19" t="str">
        <v>Regression</v>
      </c>
      <c r="K178" s="26"/>
      <c r="L178" s="26"/>
      <c r="M178" s="26"/>
      <c r="N178" s="29"/>
      <c r="O178" s="26"/>
      <c r="P178" s="26"/>
      <c r="Q178" s="26"/>
      <c r="R178" s="19" t="str">
        <v>VIDEO_BUNDLES_ENABLED</v>
      </c>
      <c r="S178" s="27" t="str">
        <v>Not Run</v>
      </c>
      <c r="T178" s="27"/>
      <c r="U178" s="27" t="str">
        <v>Updated</v>
      </c>
    </row>
    <row r="179" ht="60" customHeight="1">
      <c r="A179" s="25" t="str">
        <v>Not Run</v>
      </c>
      <c r="B179" s="24" t="str">
        <v>GO-MAN-178</v>
      </c>
      <c r="C179" s="24" t="str">
        <v>Publication States</v>
      </c>
      <c r="D179" s="24" t="str">
        <v>Prepare a QA video bundles record in state: archived. Open /video-bundles as visitor and member, then use its direct detail/open URL. Compare with the owner or admin view.</v>
      </c>
      <c r="E179" s="24" t="str">
        <v>The item is not publicly discoverable and its private links are not disclosed. Owner/admin review access remains role-controlled.</v>
      </c>
      <c r="F179" s="24" t="str">
        <v>Video bundles - archived</v>
      </c>
      <c r="G179" s="24" t="str">
        <v>P1</v>
      </c>
      <c r="H179" s="24" t="str">
        <v>Visitor, member, content owner and admin</v>
      </c>
      <c r="I179" s="24" t="str">
        <v>Use prepared QA records and separate accounts. Record the actual URL and build on Run Overview. Prepare this exact state before testing.</v>
      </c>
      <c r="J179" s="24" t="str">
        <v>Regression</v>
      </c>
      <c r="K179" s="26"/>
      <c r="L179" s="26"/>
      <c r="M179" s="26"/>
      <c r="N179" s="29"/>
      <c r="O179" s="26"/>
      <c r="P179" s="26"/>
      <c r="Q179" s="26"/>
      <c r="R179" s="24" t="str">
        <v>VIDEO_BUNDLES_ENABLED</v>
      </c>
      <c r="S179" s="28" t="str">
        <v>Not Run</v>
      </c>
      <c r="T179" s="28"/>
      <c r="U179" s="28" t="str">
        <v>Updated</v>
      </c>
    </row>
    <row r="180" ht="60" customHeight="1">
      <c r="A180" s="25" t="str">
        <v>Not Run</v>
      </c>
      <c r="B180" s="19" t="str">
        <v>GO-MAN-179</v>
      </c>
      <c r="C180" s="19" t="str">
        <v>Publication States</v>
      </c>
      <c r="D180" s="19" t="str">
        <v>Prepare a QA video bundles record in state: unavailable. Open /video-bundles as visitor and member, then use its direct detail/open URL. Compare with the owner or admin view.</v>
      </c>
      <c r="E180" s="19" t="str">
        <v>The item is not publicly discoverable and its private links are not disclosed. Owner/admin review access remains role-controlled.</v>
      </c>
      <c r="F180" s="19" t="str">
        <v>Video bundles - unavailable</v>
      </c>
      <c r="G180" s="19" t="str">
        <v>P1</v>
      </c>
      <c r="H180" s="19" t="str">
        <v>Visitor, member, content owner and admin</v>
      </c>
      <c r="I180" s="19" t="str">
        <v>Use prepared QA records and separate accounts. Record the actual URL and build on Run Overview. Prepare this exact state before testing.</v>
      </c>
      <c r="J180" s="19" t="str">
        <v>Regression</v>
      </c>
      <c r="K180" s="26"/>
      <c r="L180" s="26"/>
      <c r="M180" s="26"/>
      <c r="N180" s="29"/>
      <c r="O180" s="26"/>
      <c r="P180" s="26"/>
      <c r="Q180" s="26"/>
      <c r="R180" s="19" t="str">
        <v>VIDEO_BUNDLES_ENABLED</v>
      </c>
      <c r="S180" s="27" t="str">
        <v>Not Run</v>
      </c>
      <c r="T180" s="27"/>
      <c r="U180" s="27" t="str">
        <v>Updated</v>
      </c>
    </row>
    <row r="181" ht="60" customHeight="1">
      <c r="A181" s="25" t="str">
        <v>Not Run</v>
      </c>
      <c r="B181" s="24" t="str">
        <v>GO-MAN-180</v>
      </c>
      <c r="C181" s="24" t="str">
        <v>Publication States</v>
      </c>
      <c r="D181" s="24" t="str">
        <v>Prepare a QA courses and workshops record in state: draft. Open /education as visitor and member, then use its direct detail/open URL. Compare with the owner or admin view.</v>
      </c>
      <c r="E181" s="24" t="str">
        <v>The item is not publicly discoverable and its private links are not disclosed. Owner/admin review access remains role-controlled.</v>
      </c>
      <c r="F181" s="24" t="str">
        <v>Courses and workshops - draft</v>
      </c>
      <c r="G181" s="24" t="str">
        <v>P1</v>
      </c>
      <c r="H181" s="24" t="str">
        <v>Visitor, member, content owner and admin</v>
      </c>
      <c r="I181" s="24" t="str">
        <v>Use prepared QA records and separate accounts. Record the actual URL and build on Run Overview. Prepare this exact state before testing.</v>
      </c>
      <c r="J181" s="24" t="str">
        <v>Regression</v>
      </c>
      <c r="K181" s="26"/>
      <c r="L181" s="26"/>
      <c r="M181" s="26"/>
      <c r="N181" s="29"/>
      <c r="O181" s="26"/>
      <c r="P181" s="26"/>
      <c r="Q181" s="26"/>
      <c r="R181" s="24" t="str">
        <v>COURSE_ENROLLMENT_ENABLED for enrollment</v>
      </c>
      <c r="S181" s="28" t="str">
        <v>Not Run</v>
      </c>
      <c r="T181" s="28"/>
      <c r="U181" s="28" t="str">
        <v>Updated</v>
      </c>
    </row>
    <row r="182" ht="64" customHeight="1">
      <c r="A182" s="25" t="str">
        <v>Not Run</v>
      </c>
      <c r="B182" s="19" t="str">
        <v>GO-MAN-181</v>
      </c>
      <c r="C182" s="19" t="str">
        <v>Publication States</v>
      </c>
      <c r="D182" s="19" t="str">
        <v>Prepare a QA courses and workshops record in state: enrollment open. Open /education as visitor and member, then use its direct detail/open URL. Compare with the owner or admin view.</v>
      </c>
      <c r="E182" s="19" t="str">
        <v>The item is discoverable only if its publication and visibility settings permit it. An eligible user can enroll and sees a confirmation.</v>
      </c>
      <c r="F182" s="19" t="str">
        <v>Courses and workshops - enrollment open</v>
      </c>
      <c r="G182" s="19" t="str">
        <v>P1</v>
      </c>
      <c r="H182" s="19" t="str">
        <v>Visitor, member, content owner and admin</v>
      </c>
      <c r="I182" s="19" t="str">
        <v>Use prepared QA records and separate accounts. Record the actual URL and build on Run Overview. Prepare this exact state before testing.</v>
      </c>
      <c r="J182" s="19" t="str">
        <v>Regression</v>
      </c>
      <c r="K182" s="26"/>
      <c r="L182" s="26"/>
      <c r="M182" s="26"/>
      <c r="N182" s="29"/>
      <c r="O182" s="26"/>
      <c r="P182" s="26"/>
      <c r="Q182" s="26"/>
      <c r="R182" s="19" t="str">
        <v>COURSE_ENROLLMENT_ENABLED for enrollment</v>
      </c>
      <c r="S182" s="27" t="str">
        <v>Not Run</v>
      </c>
      <c r="T182" s="27"/>
      <c r="U182" s="27" t="str">
        <v>Updated</v>
      </c>
    </row>
    <row r="183" ht="64" customHeight="1">
      <c r="A183" s="25" t="str">
        <v>Not Run</v>
      </c>
      <c r="B183" s="24" t="str">
        <v>GO-MAN-182</v>
      </c>
      <c r="C183" s="24" t="str">
        <v>Publication States</v>
      </c>
      <c r="D183" s="24" t="str">
        <v>Prepare a QA courses and workshops record in state: enrollment closed. Open /education as visitor and member, then use its direct detail/open URL. Compare with the owner or admin view.</v>
      </c>
      <c r="E183" s="24" t="str">
        <v>The item is discoverable only if its publication and visibility settings permit it. New enrollment is closed. Existing participant access follows the item policy.</v>
      </c>
      <c r="F183" s="24" t="str">
        <v>Courses and workshops - enrollment closed</v>
      </c>
      <c r="G183" s="24" t="str">
        <v>P1</v>
      </c>
      <c r="H183" s="24" t="str">
        <v>Visitor, member, content owner and admin</v>
      </c>
      <c r="I183" s="24" t="str">
        <v>Use prepared QA records and separate accounts. Record the actual URL and build on Run Overview. Prepare this exact state before testing.</v>
      </c>
      <c r="J183" s="24" t="str">
        <v>Regression</v>
      </c>
      <c r="K183" s="26"/>
      <c r="L183" s="26"/>
      <c r="M183" s="26"/>
      <c r="N183" s="29"/>
      <c r="O183" s="26"/>
      <c r="P183" s="26"/>
      <c r="Q183" s="26"/>
      <c r="R183" s="24" t="str">
        <v>COURSE_ENROLLMENT_ENABLED for enrollment</v>
      </c>
      <c r="S183" s="28" t="str">
        <v>Not Run</v>
      </c>
      <c r="T183" s="28"/>
      <c r="U183" s="28" t="str">
        <v>Updated</v>
      </c>
    </row>
    <row r="184" ht="60" customHeight="1">
      <c r="A184" s="25" t="str">
        <v>Not Run</v>
      </c>
      <c r="B184" s="19" t="str">
        <v>GO-MAN-183</v>
      </c>
      <c r="C184" s="19" t="str">
        <v>Publication States</v>
      </c>
      <c r="D184" s="19" t="str">
        <v>Prepare a QA courses and workshops record in state: full. Open /education as visitor and member, then use its direct detail/open URL. Compare with the owner or admin view.</v>
      </c>
      <c r="E184" s="19" t="str">
        <v>The item is discoverable only if its publication and visibility settings permit it. No extra confirmed seat is created. A waitlist action appears only when enabled.</v>
      </c>
      <c r="F184" s="19" t="str">
        <v>Courses and workshops - full</v>
      </c>
      <c r="G184" s="19" t="str">
        <v>P1</v>
      </c>
      <c r="H184" s="19" t="str">
        <v>Visitor, member, content owner and admin</v>
      </c>
      <c r="I184" s="19" t="str">
        <v>Use prepared QA records and separate accounts. Record the actual URL and build on Run Overview. Prepare this exact state before testing.</v>
      </c>
      <c r="J184" s="19" t="str">
        <v>Regression</v>
      </c>
      <c r="K184" s="26"/>
      <c r="L184" s="26"/>
      <c r="M184" s="26"/>
      <c r="N184" s="29"/>
      <c r="O184" s="26"/>
      <c r="P184" s="26"/>
      <c r="Q184" s="26"/>
      <c r="R184" s="19" t="str">
        <v>COURSE_ENROLLMENT_ENABLED for enrollment</v>
      </c>
      <c r="S184" s="27" t="str">
        <v>Not Run</v>
      </c>
      <c r="T184" s="27"/>
      <c r="U184" s="27" t="str">
        <v>Updated</v>
      </c>
    </row>
    <row r="185" ht="64" customHeight="1">
      <c r="A185" s="25" t="str">
        <v>Not Run</v>
      </c>
      <c r="B185" s="24" t="str">
        <v>GO-MAN-184</v>
      </c>
      <c r="C185" s="24" t="str">
        <v>Publication States</v>
      </c>
      <c r="D185" s="24" t="str">
        <v>Prepare a QA courses and workshops record in state: waitlist available. Open /education as visitor and member, then use its direct detail/open URL. Compare with the owner or admin view.</v>
      </c>
      <c r="E185" s="24" t="str">
        <v>The item is discoverable only if its publication and visibility settings permit it. Waitlisting creates a waiting record, not a confirmed seat.</v>
      </c>
      <c r="F185" s="24" t="str">
        <v>Courses and workshops - waitlist available</v>
      </c>
      <c r="G185" s="24" t="str">
        <v>P1</v>
      </c>
      <c r="H185" s="24" t="str">
        <v>Visitor, member, content owner and admin</v>
      </c>
      <c r="I185" s="24" t="str">
        <v>Use prepared QA records and separate accounts. Record the actual URL and build on Run Overview. Prepare this exact state before testing.</v>
      </c>
      <c r="J185" s="24" t="str">
        <v>Regression</v>
      </c>
      <c r="K185" s="26"/>
      <c r="L185" s="26"/>
      <c r="M185" s="26"/>
      <c r="N185" s="29"/>
      <c r="O185" s="26"/>
      <c r="P185" s="26"/>
      <c r="Q185" s="26"/>
      <c r="R185" s="24" t="str">
        <v>COURSE_ENROLLMENT_ENABLED for enrollment</v>
      </c>
      <c r="S185" s="28" t="str">
        <v>Not Run</v>
      </c>
      <c r="T185" s="28"/>
      <c r="U185" s="28" t="str">
        <v>Updated</v>
      </c>
    </row>
    <row r="186" ht="64" customHeight="1">
      <c r="A186" s="25" t="str">
        <v>Not Run</v>
      </c>
      <c r="B186" s="19" t="str">
        <v>GO-MAN-185</v>
      </c>
      <c r="C186" s="19" t="str">
        <v>Publication States</v>
      </c>
      <c r="D186" s="19" t="str">
        <v>Prepare a QA courses and workshops record in state: in progress. Open /education as visitor and member, then use its direct detail/open URL. Compare with the owner or admin view.</v>
      </c>
      <c r="E186" s="19" t="str">
        <v>The item is discoverable only if its publication and visibility settings permit it. New enrollment is closed. Existing participant access follows the item policy.</v>
      </c>
      <c r="F186" s="19" t="str">
        <v>Courses and workshops - in progress</v>
      </c>
      <c r="G186" s="19" t="str">
        <v>P1</v>
      </c>
      <c r="H186" s="19" t="str">
        <v>Visitor, member, content owner and admin</v>
      </c>
      <c r="I186" s="19" t="str">
        <v>Use prepared QA records and separate accounts. Record the actual URL and build on Run Overview. Prepare this exact state before testing.</v>
      </c>
      <c r="J186" s="19" t="str">
        <v>Regression</v>
      </c>
      <c r="K186" s="26"/>
      <c r="L186" s="26"/>
      <c r="M186" s="26"/>
      <c r="N186" s="29"/>
      <c r="O186" s="26"/>
      <c r="P186" s="26"/>
      <c r="Q186" s="26"/>
      <c r="R186" s="19" t="str">
        <v>COURSE_ENROLLMENT_ENABLED for enrollment</v>
      </c>
      <c r="S186" s="27" t="str">
        <v>Not Run</v>
      </c>
      <c r="T186" s="27"/>
      <c r="U186" s="27" t="str">
        <v>Updated</v>
      </c>
    </row>
    <row r="187" ht="64" customHeight="1">
      <c r="A187" s="25" t="str">
        <v>Not Run</v>
      </c>
      <c r="B187" s="24" t="str">
        <v>GO-MAN-186</v>
      </c>
      <c r="C187" s="24" t="str">
        <v>Publication States</v>
      </c>
      <c r="D187" s="24" t="str">
        <v>Prepare a QA courses and workshops record in state: completed. Open /education as visitor and member, then use its direct detail/open URL. Compare with the owner or admin view.</v>
      </c>
      <c r="E187" s="24" t="str">
        <v>The item is discoverable only if its publication and visibility settings permit it. New enrollment is closed. Existing participant access follows the item policy.</v>
      </c>
      <c r="F187" s="24" t="str">
        <v>Courses and workshops - completed</v>
      </c>
      <c r="G187" s="24" t="str">
        <v>P1</v>
      </c>
      <c r="H187" s="24" t="str">
        <v>Visitor, member, content owner and admin</v>
      </c>
      <c r="I187" s="24" t="str">
        <v>Use prepared QA records and separate accounts. Record the actual URL and build on Run Overview. Prepare this exact state before testing.</v>
      </c>
      <c r="J187" s="24" t="str">
        <v>Regression</v>
      </c>
      <c r="K187" s="26"/>
      <c r="L187" s="26"/>
      <c r="M187" s="26"/>
      <c r="N187" s="29"/>
      <c r="O187" s="26"/>
      <c r="P187" s="26"/>
      <c r="Q187" s="26"/>
      <c r="R187" s="24" t="str">
        <v>COURSE_ENROLLMENT_ENABLED for enrollment</v>
      </c>
      <c r="S187" s="28" t="str">
        <v>Not Run</v>
      </c>
      <c r="T187" s="28"/>
      <c r="U187" s="28" t="str">
        <v>Updated</v>
      </c>
    </row>
    <row r="188" ht="64" customHeight="1">
      <c r="A188" s="25" t="str">
        <v>Not Run</v>
      </c>
      <c r="B188" s="19" t="str">
        <v>GO-MAN-187</v>
      </c>
      <c r="C188" s="19" t="str">
        <v>Publication States</v>
      </c>
      <c r="D188" s="19" t="str">
        <v>Prepare a QA courses and workshops record in state: canceled. Open /education as visitor and member, then use its direct detail/open URL. Compare with the owner or admin view.</v>
      </c>
      <c r="E188" s="19" t="str">
        <v>Cancellation is clear, enrollment is blocked and private session links remain protected.</v>
      </c>
      <c r="F188" s="19" t="str">
        <v>Courses and workshops - canceled</v>
      </c>
      <c r="G188" s="19" t="str">
        <v>P1</v>
      </c>
      <c r="H188" s="19" t="str">
        <v>Visitor, member, content owner and admin</v>
      </c>
      <c r="I188" s="19" t="str">
        <v>Use prepared QA records and separate accounts. Record the actual URL and build on Run Overview. Prepare this exact state before testing.</v>
      </c>
      <c r="J188" s="19" t="str">
        <v>Regression</v>
      </c>
      <c r="K188" s="26"/>
      <c r="L188" s="26"/>
      <c r="M188" s="26"/>
      <c r="N188" s="29"/>
      <c r="O188" s="26"/>
      <c r="P188" s="26"/>
      <c r="Q188" s="26"/>
      <c r="R188" s="19" t="str">
        <v>COURSE_ENROLLMENT_ENABLED for enrollment</v>
      </c>
      <c r="S188" s="27" t="str">
        <v>Not Run</v>
      </c>
      <c r="T188" s="27"/>
      <c r="U188" s="27" t="str">
        <v>Updated</v>
      </c>
    </row>
    <row r="189" ht="64" customHeight="1">
      <c r="A189" s="25" t="str">
        <v>Not Run</v>
      </c>
      <c r="B189" s="24" t="str">
        <v>GO-MAN-188</v>
      </c>
      <c r="C189" s="24" t="str">
        <v>Publication States</v>
      </c>
      <c r="D189" s="24" t="str">
        <v>Prepare a QA courses and workshops record in state: archived. Open /education as visitor and member, then use its direct detail/open URL. Compare with the owner or admin view.</v>
      </c>
      <c r="E189" s="24" t="str">
        <v>The item is not publicly discoverable and its private links are not disclosed. Owner/admin review access remains role-controlled.</v>
      </c>
      <c r="F189" s="24" t="str">
        <v>Courses and workshops - archived</v>
      </c>
      <c r="G189" s="24" t="str">
        <v>P1</v>
      </c>
      <c r="H189" s="24" t="str">
        <v>Visitor, member, content owner and admin</v>
      </c>
      <c r="I189" s="24" t="str">
        <v>Use prepared QA records and separate accounts. Record the actual URL and build on Run Overview. Prepare this exact state before testing.</v>
      </c>
      <c r="J189" s="24" t="str">
        <v>Regression</v>
      </c>
      <c r="K189" s="26"/>
      <c r="L189" s="26"/>
      <c r="M189" s="26"/>
      <c r="N189" s="29"/>
      <c r="O189" s="26"/>
      <c r="P189" s="26"/>
      <c r="Q189" s="26"/>
      <c r="R189" s="24" t="str">
        <v>COURSE_ENROLLMENT_ENABLED for enrollment</v>
      </c>
      <c r="S189" s="28" t="str">
        <v>Not Run</v>
      </c>
      <c r="T189" s="28"/>
      <c r="U189" s="28" t="str">
        <v>Updated</v>
      </c>
    </row>
    <row r="190" ht="60" customHeight="1">
      <c r="A190" s="25" t="str">
        <v>Not Run</v>
      </c>
      <c r="B190" s="19" t="str">
        <v>GO-MAN-189</v>
      </c>
      <c r="C190" s="19" t="str">
        <v>Publication States</v>
      </c>
      <c r="D190" s="19" t="str">
        <v>Prepare a QA mentors record in state: applicant. Open /mentorship as visitor and member, then use its direct detail/open URL. Compare with the owner or admin view.</v>
      </c>
      <c r="E190" s="19" t="str">
        <v>The item is not publicly discoverable and its private links are not disclosed. Owner/admin review access remains role-controlled.</v>
      </c>
      <c r="F190" s="19" t="str">
        <v>Mentors - applicant</v>
      </c>
      <c r="G190" s="19" t="str">
        <v>P1</v>
      </c>
      <c r="H190" s="19" t="str">
        <v>Visitor, mentor owner and admin</v>
      </c>
      <c r="I190" s="19" t="str">
        <v>Use prepared QA records and separate accounts. Record the actual URL and build on Run Overview. Prepare this exact state before testing.</v>
      </c>
      <c r="J190" s="19" t="str">
        <v>Regression</v>
      </c>
      <c r="K190" s="26"/>
      <c r="L190" s="26"/>
      <c r="M190" s="26"/>
      <c r="N190" s="29"/>
      <c r="O190" s="26"/>
      <c r="P190" s="26"/>
      <c r="Q190" s="26"/>
      <c r="R190" s="19" t="str">
        <v>Core</v>
      </c>
      <c r="S190" s="27" t="str">
        <v>Not Run</v>
      </c>
      <c r="T190" s="27"/>
      <c r="U190" s="27" t="str">
        <v>Updated</v>
      </c>
    </row>
    <row r="191" ht="64" customHeight="1">
      <c r="A191" s="25" t="str">
        <v>Not Run</v>
      </c>
      <c r="B191" s="24" t="str">
        <v>GO-MAN-190</v>
      </c>
      <c r="C191" s="24" t="str">
        <v>Publication States</v>
      </c>
      <c r="D191" s="24" t="str">
        <v>Prepare a QA mentors record in state: approved and public. Open /mentorship as visitor and member, then use its direct detail/open URL. Compare with the owner or admin view.</v>
      </c>
      <c r="E191" s="24" t="str">
        <v>The item is discoverable only if its publication and visibility settings permit it. Only approved public mentor fields are visible. Contact details and exact schedule remain private.</v>
      </c>
      <c r="F191" s="24" t="str">
        <v>Mentors - approved and public</v>
      </c>
      <c r="G191" s="24" t="str">
        <v>P1</v>
      </c>
      <c r="H191" s="24" t="str">
        <v>Visitor, mentor owner and admin</v>
      </c>
      <c r="I191" s="24" t="str">
        <v>Use prepared QA records and separate accounts. Record the actual URL and build on Run Overview. Prepare this exact state before testing.</v>
      </c>
      <c r="J191" s="24" t="str">
        <v>Regression</v>
      </c>
      <c r="K191" s="26"/>
      <c r="L191" s="26"/>
      <c r="M191" s="26"/>
      <c r="N191" s="29"/>
      <c r="O191" s="26"/>
      <c r="P191" s="26"/>
      <c r="Q191" s="26"/>
      <c r="R191" s="24" t="str">
        <v>Core</v>
      </c>
      <c r="S191" s="28" t="str">
        <v>Not Run</v>
      </c>
      <c r="T191" s="28"/>
      <c r="U191" s="28" t="str">
        <v>Updated</v>
      </c>
    </row>
    <row r="192" ht="64" customHeight="1">
      <c r="A192" s="25" t="str">
        <v>Not Run</v>
      </c>
      <c r="B192" s="19" t="str">
        <v>GO-MAN-191</v>
      </c>
      <c r="C192" s="19" t="str">
        <v>Publication States</v>
      </c>
      <c r="D192" s="19" t="str">
        <v>Prepare a QA mentors record in state: approved but public profile disabled. Open /mentorship as visitor and member, then use its direct detail/open URL. Compare with the owner or admin view.</v>
      </c>
      <c r="E192" s="19" t="str">
        <v>The item is not publicly discoverable and its private links are not disclosed. Owner/admin review access remains role-controlled.</v>
      </c>
      <c r="F192" s="19" t="str">
        <v>Mentors - approved but public profile disabled</v>
      </c>
      <c r="G192" s="19" t="str">
        <v>P1</v>
      </c>
      <c r="H192" s="19" t="str">
        <v>Visitor, mentor owner and admin</v>
      </c>
      <c r="I192" s="19" t="str">
        <v>Use prepared QA records and separate accounts. Record the actual URL and build on Run Overview. Prepare this exact state before testing.</v>
      </c>
      <c r="J192" s="19" t="str">
        <v>Regression</v>
      </c>
      <c r="K192" s="26"/>
      <c r="L192" s="26"/>
      <c r="M192" s="26"/>
      <c r="N192" s="29"/>
      <c r="O192" s="26"/>
      <c r="P192" s="26"/>
      <c r="Q192" s="26"/>
      <c r="R192" s="19" t="str">
        <v>Core</v>
      </c>
      <c r="S192" s="27" t="str">
        <v>Not Run</v>
      </c>
      <c r="T192" s="27"/>
      <c r="U192" s="27" t="str">
        <v>Updated</v>
      </c>
    </row>
    <row r="193" ht="64" customHeight="1">
      <c r="A193" s="25" t="str">
        <v>Not Run</v>
      </c>
      <c r="B193" s="24" t="str">
        <v>GO-MAN-192</v>
      </c>
      <c r="C193" s="24" t="str">
        <v>Publication States</v>
      </c>
      <c r="D193" s="24" t="str">
        <v>Prepare a QA mentors record in state: temporarily unavailable. Open /mentorship as visitor and member, then use its direct detail/open URL. Compare with the owner or admin view.</v>
      </c>
      <c r="E193" s="24" t="str">
        <v>Mentor cannot be selected for new work. Any retained public profile clearly shows unavailability.</v>
      </c>
      <c r="F193" s="24" t="str">
        <v>Mentors - temporarily unavailable</v>
      </c>
      <c r="G193" s="24" t="str">
        <v>P1</v>
      </c>
      <c r="H193" s="24" t="str">
        <v>Visitor, mentor owner and admin</v>
      </c>
      <c r="I193" s="24" t="str">
        <v>Use prepared QA records and separate accounts. Record the actual URL and build on Run Overview. Prepare this exact state before testing.</v>
      </c>
      <c r="J193" s="24" t="str">
        <v>Regression</v>
      </c>
      <c r="K193" s="26"/>
      <c r="L193" s="26"/>
      <c r="M193" s="26"/>
      <c r="N193" s="29"/>
      <c r="O193" s="26"/>
      <c r="P193" s="26"/>
      <c r="Q193" s="26"/>
      <c r="R193" s="24" t="str">
        <v>Core</v>
      </c>
      <c r="S193" s="28" t="str">
        <v>Not Run</v>
      </c>
      <c r="T193" s="28"/>
      <c r="U193" s="28" t="str">
        <v>Updated</v>
      </c>
    </row>
    <row r="194" ht="60" customHeight="1">
      <c r="A194" s="25" t="str">
        <v>Not Run</v>
      </c>
      <c r="B194" s="19" t="str">
        <v>GO-MAN-193</v>
      </c>
      <c r="C194" s="19" t="str">
        <v>Publication States</v>
      </c>
      <c r="D194" s="19" t="str">
        <v>Prepare a QA mentors record in state: suspended. Open /mentorship as visitor and member, then use its direct detail/open URL. Compare with the owner or admin view.</v>
      </c>
      <c r="E194" s="19" t="str">
        <v>The item is not publicly discoverable and its private links are not disclosed. Owner/admin review access remains role-controlled.</v>
      </c>
      <c r="F194" s="19" t="str">
        <v>Mentors - suspended</v>
      </c>
      <c r="G194" s="19" t="str">
        <v>P0</v>
      </c>
      <c r="H194" s="19" t="str">
        <v>Visitor, mentor owner and admin</v>
      </c>
      <c r="I194" s="19" t="str">
        <v>Use prepared QA records and separate accounts. Record the actual URL and build on Run Overview. Prepare this exact state before testing.</v>
      </c>
      <c r="J194" s="19" t="str">
        <v>Regression</v>
      </c>
      <c r="K194" s="26"/>
      <c r="L194" s="26"/>
      <c r="M194" s="26"/>
      <c r="N194" s="29"/>
      <c r="O194" s="26"/>
      <c r="P194" s="26"/>
      <c r="Q194" s="26"/>
      <c r="R194" s="19" t="str">
        <v>Core</v>
      </c>
      <c r="S194" s="27" t="str">
        <v>Not Run</v>
      </c>
      <c r="T194" s="27"/>
      <c r="U194" s="27" t="str">
        <v>Updated</v>
      </c>
    </row>
    <row r="195" ht="60" customHeight="1">
      <c r="A195" s="25" t="str">
        <v>Not Run</v>
      </c>
      <c r="B195" s="24" t="str">
        <v>GO-MAN-194</v>
      </c>
      <c r="C195" s="24" t="str">
        <v>Publication States</v>
      </c>
      <c r="D195" s="24" t="str">
        <v>Prepare a QA mentors record in state: inactive. Open /mentorship as visitor and member, then use its direct detail/open URL. Compare with the owner or admin view.</v>
      </c>
      <c r="E195" s="24" t="str">
        <v>The item is not publicly discoverable and its private links are not disclosed. Owner/admin review access remains role-controlled.</v>
      </c>
      <c r="F195" s="24" t="str">
        <v>Mentors - inactive</v>
      </c>
      <c r="G195" s="24" t="str">
        <v>P1</v>
      </c>
      <c r="H195" s="24" t="str">
        <v>Visitor, mentor owner and admin</v>
      </c>
      <c r="I195" s="24" t="str">
        <v>Use prepared QA records and separate accounts. Record the actual URL and build on Run Overview. Prepare this exact state before testing.</v>
      </c>
      <c r="J195" s="24" t="str">
        <v>Regression</v>
      </c>
      <c r="K195" s="26"/>
      <c r="L195" s="26"/>
      <c r="M195" s="26"/>
      <c r="N195" s="29"/>
      <c r="O195" s="26"/>
      <c r="P195" s="26"/>
      <c r="Q195" s="26"/>
      <c r="R195" s="24" t="str">
        <v>Core</v>
      </c>
      <c r="S195" s="28" t="str">
        <v>Not Run</v>
      </c>
      <c r="T195" s="28"/>
      <c r="U195" s="28" t="str">
        <v>Updated</v>
      </c>
    </row>
    <row r="196" ht="60" customHeight="1">
      <c r="A196" s="25" t="str">
        <v>Not Run</v>
      </c>
      <c r="B196" s="19" t="str">
        <v>GO-MAN-195</v>
      </c>
      <c r="C196" s="19" t="str">
        <v>Publication States</v>
      </c>
      <c r="D196" s="19" t="str">
        <v>Prepare a QA mentors record in state: rejected. Open /mentorship as visitor and member, then use its direct detail/open URL. Compare with the owner or admin view.</v>
      </c>
      <c r="E196" s="19" t="str">
        <v>The item is not publicly discoverable and its private links are not disclosed. Owner/admin review access remains role-controlled.</v>
      </c>
      <c r="F196" s="19" t="str">
        <v>Mentors - rejected</v>
      </c>
      <c r="G196" s="19" t="str">
        <v>P1</v>
      </c>
      <c r="H196" s="19" t="str">
        <v>Visitor, mentor owner and admin</v>
      </c>
      <c r="I196" s="19" t="str">
        <v>Use prepared QA records and separate accounts. Record the actual URL and build on Run Overview. Prepare this exact state before testing.</v>
      </c>
      <c r="J196" s="19" t="str">
        <v>Regression</v>
      </c>
      <c r="K196" s="26"/>
      <c r="L196" s="26"/>
      <c r="M196" s="26"/>
      <c r="N196" s="29"/>
      <c r="O196" s="26"/>
      <c r="P196" s="26"/>
      <c r="Q196" s="26"/>
      <c r="R196" s="19" t="str">
        <v>Core</v>
      </c>
      <c r="S196" s="27" t="str">
        <v>Not Run</v>
      </c>
      <c r="T196" s="27"/>
      <c r="U196" s="27" t="str">
        <v>Updated</v>
      </c>
    </row>
    <row r="197" ht="64" customHeight="1">
      <c r="A197" s="25" t="str">
        <v>Not Run</v>
      </c>
      <c r="B197" s="24" t="str">
        <v>GO-MAN-196</v>
      </c>
      <c r="C197" s="24" t="str">
        <v>Learning</v>
      </c>
      <c r="D197" s="24" t="str">
        <v>Open /education as visitor and inspect listed courses.</v>
      </c>
      <c r="E197" s="24" t="str">
        <v>Only public course metadata appears. Protected recordings and session URLs are absent.</v>
      </c>
      <c r="F197" s="24" t="str">
        <v>Public course listing</v>
      </c>
      <c r="G197" s="24" t="str">
        <v>P1</v>
      </c>
      <c r="H197" s="24" t="str">
        <v>Learner or organizer named in the steps</v>
      </c>
      <c r="I197" s="24" t="str">
        <v>Use prepared QA records and separate accounts. Record the actual URL and build on Run Overview. Prepare the named course state. Enrollment cases require the effective enrollment feature to be enabled.</v>
      </c>
      <c r="J197" s="24" t="str">
        <v>Regression</v>
      </c>
      <c r="K197" s="26"/>
      <c r="L197" s="26"/>
      <c r="M197" s="26"/>
      <c r="N197" s="29"/>
      <c r="O197" s="26"/>
      <c r="P197" s="26"/>
      <c r="Q197" s="26"/>
      <c r="R197" s="24" t="str">
        <v>COURSE_ENROLLMENT_ENABLED for enrollment</v>
      </c>
      <c r="S197" s="28" t="str">
        <v>Not Run</v>
      </c>
      <c r="T197" s="28"/>
      <c r="U197" s="28" t="str">
        <v>Updated</v>
      </c>
    </row>
    <row r="198" ht="64" customHeight="1">
      <c r="A198" s="25" t="str">
        <v>Not Run</v>
      </c>
      <c r="B198" s="19" t="str">
        <v>GO-MAN-197</v>
      </c>
      <c r="C198" s="19" t="str">
        <v>Learning</v>
      </c>
      <c r="D198" s="19" t="str">
        <v>Open a listed /education/{slug} page and refresh.</v>
      </c>
      <c r="E198" s="19" t="str">
        <v>Title, cohort, schedule, eligibility and next action match the saved course.</v>
      </c>
      <c r="F198" s="19" t="str">
        <v>Course detail</v>
      </c>
      <c r="G198" s="19" t="str">
        <v>P1</v>
      </c>
      <c r="H198" s="19" t="str">
        <v>Learner or organizer named in the steps</v>
      </c>
      <c r="I198" s="19" t="str">
        <v>Use prepared QA records and separate accounts. Record the actual URL and build on Run Overview. Prepare the named course state. Enrollment cases require the effective enrollment feature to be enabled.</v>
      </c>
      <c r="J198" s="19" t="str">
        <v>Smoke</v>
      </c>
      <c r="K198" s="26"/>
      <c r="L198" s="26"/>
      <c r="M198" s="26"/>
      <c r="N198" s="29"/>
      <c r="O198" s="26"/>
      <c r="P198" s="26"/>
      <c r="Q198" s="26"/>
      <c r="R198" s="19" t="str">
        <v>COURSE_ENROLLMENT_ENABLED for enrollment</v>
      </c>
      <c r="S198" s="27" t="str">
        <v>Not Run</v>
      </c>
      <c r="T198" s="27"/>
      <c r="U198" s="27" t="str">
        <v>Updated</v>
      </c>
    </row>
    <row r="199" ht="64" customHeight="1">
      <c r="A199" s="25" t="str">
        <v>Not Run</v>
      </c>
      <c r="B199" s="24" t="str">
        <v>GO-MAN-198</v>
      </c>
      <c r="C199" s="24" t="str">
        <v>Learning</v>
      </c>
      <c r="D199" s="24" t="str">
        <v>Inspect the detail at 390px and desktop width.</v>
      </c>
      <c r="E199" s="24" t="str">
        <v>Content, schedule and enrollment controls fit. Record polish ideas separately.</v>
      </c>
      <c r="F199" s="24" t="str">
        <v>Course layout baseline</v>
      </c>
      <c r="G199" s="24" t="str">
        <v>P2</v>
      </c>
      <c r="H199" s="24" t="str">
        <v>Learner or organizer named in the steps</v>
      </c>
      <c r="I199" s="24" t="str">
        <v>Use prepared QA records and separate accounts. Record the actual URL and build on Run Overview. Prepare the named course state. Enrollment cases require the effective enrollment feature to be enabled.</v>
      </c>
      <c r="J199" s="24" t="str">
        <v>Regression</v>
      </c>
      <c r="K199" s="26"/>
      <c r="L199" s="26"/>
      <c r="M199" s="26"/>
      <c r="N199" s="29"/>
      <c r="O199" s="26"/>
      <c r="P199" s="26"/>
      <c r="Q199" s="26"/>
      <c r="R199" s="24" t="str">
        <v>COURSE_ENROLLMENT_ENABLED for enrollment</v>
      </c>
      <c r="S199" s="28" t="str">
        <v>Not Run</v>
      </c>
      <c r="T199" s="28"/>
      <c r="U199" s="28" t="str">
        <v>Updated</v>
      </c>
    </row>
    <row r="200" ht="64" customHeight="1">
      <c r="A200" s="25" t="str">
        <v>Not Run</v>
      </c>
      <c r="B200" s="19" t="str">
        <v>GO-MAN-199</v>
      </c>
      <c r="C200" s="19" t="str">
        <v>Learning</v>
      </c>
      <c r="D200" s="19" t="str">
        <v>Enroll an eligible QA user during the prepared enrollment window.</v>
      </c>
      <c r="E200" s="19" t="str">
        <v>One confirmed or approval-pending enrollment is created according to policy.</v>
      </c>
      <c r="F200" s="19" t="str">
        <v>Enrollment open</v>
      </c>
      <c r="G200" s="19" t="str">
        <v>P1</v>
      </c>
      <c r="H200" s="19" t="str">
        <v>Learner or organizer named in the steps</v>
      </c>
      <c r="I200" s="19" t="str">
        <v>Use prepared QA records and separate accounts. Record the actual URL and build on Run Overview. Prepare the named course state. Enrollment cases require the effective enrollment feature to be enabled.</v>
      </c>
      <c r="J200" s="19" t="str">
        <v>Regression</v>
      </c>
      <c r="K200" s="26"/>
      <c r="L200" s="26"/>
      <c r="M200" s="26"/>
      <c r="N200" s="29"/>
      <c r="O200" s="26"/>
      <c r="P200" s="26"/>
      <c r="Q200" s="26"/>
      <c r="R200" s="19" t="str">
        <v>COURSE_ENROLLMENT_ENABLED for enrollment</v>
      </c>
      <c r="S200" s="27" t="str">
        <v>Not Run</v>
      </c>
      <c r="T200" s="27"/>
      <c r="U200" s="27" t="str">
        <v>Updated</v>
      </c>
    </row>
    <row r="201" ht="64" customHeight="1">
      <c r="A201" s="25" t="str">
        <v>Not Run</v>
      </c>
      <c r="B201" s="24" t="str">
        <v>GO-MAN-200</v>
      </c>
      <c r="C201" s="24" t="str">
        <v>Learning</v>
      </c>
      <c r="D201" s="24" t="str">
        <v>Attempt enrollment after the prepared cutoff.</v>
      </c>
      <c r="E201" s="24" t="str">
        <v>The server rejects new enrollment and explains closure.</v>
      </c>
      <c r="F201" s="24" t="str">
        <v>Enrollment closed</v>
      </c>
      <c r="G201" s="24" t="str">
        <v>P1</v>
      </c>
      <c r="H201" s="24" t="str">
        <v>Learner or organizer named in the steps</v>
      </c>
      <c r="I201" s="24" t="str">
        <v>Use prepared QA records and separate accounts. Record the actual URL and build on Run Overview. Prepare the named course state. Enrollment cases require the effective enrollment feature to be enabled.</v>
      </c>
      <c r="J201" s="24" t="str">
        <v>Regression</v>
      </c>
      <c r="K201" s="26"/>
      <c r="L201" s="26"/>
      <c r="M201" s="26"/>
      <c r="N201" s="29"/>
      <c r="O201" s="26"/>
      <c r="P201" s="26"/>
      <c r="Q201" s="26"/>
      <c r="R201" s="24" t="str">
        <v>COURSE_ENROLLMENT_ENABLED for enrollment</v>
      </c>
      <c r="S201" s="28" t="str">
        <v>Not Run</v>
      </c>
      <c r="T201" s="28"/>
      <c r="U201" s="28" t="str">
        <v>Updated</v>
      </c>
    </row>
    <row r="202" ht="64" customHeight="1">
      <c r="A202" s="25" t="str">
        <v>Not Run</v>
      </c>
      <c r="B202" s="19" t="str">
        <v>GO-MAN-201</v>
      </c>
      <c r="C202" s="19" t="str">
        <v>Learning</v>
      </c>
      <c r="D202" s="19" t="str">
        <v>As a new learner, attempt the final occupied place.</v>
      </c>
      <c r="E202" s="19" t="str">
        <v>No over-capacity confirmed enrollment is created.</v>
      </c>
      <c r="F202" s="19" t="str">
        <v>Full course</v>
      </c>
      <c r="G202" s="19" t="str">
        <v>P1</v>
      </c>
      <c r="H202" s="19" t="str">
        <v>Learner or organizer named in the steps</v>
      </c>
      <c r="I202" s="19" t="str">
        <v>Use prepared QA records and separate accounts. Record the actual URL and build on Run Overview. Prepare the named course state. Enrollment cases require the effective enrollment feature to be enabled.</v>
      </c>
      <c r="J202" s="19" t="str">
        <v>Regression</v>
      </c>
      <c r="K202" s="26"/>
      <c r="L202" s="26"/>
      <c r="M202" s="26"/>
      <c r="N202" s="29"/>
      <c r="O202" s="26"/>
      <c r="P202" s="26"/>
      <c r="Q202" s="26"/>
      <c r="R202" s="19" t="str">
        <v>COURSE_ENROLLMENT_ENABLED for enrollment</v>
      </c>
      <c r="S202" s="27" t="str">
        <v>Not Run</v>
      </c>
      <c r="T202" s="27"/>
      <c r="U202" s="27" t="str">
        <v>Updated</v>
      </c>
    </row>
    <row r="203" ht="64" customHeight="1">
      <c r="A203" s="25" t="str">
        <v>Not Run</v>
      </c>
      <c r="B203" s="24" t="str">
        <v>GO-MAN-202</v>
      </c>
      <c r="C203" s="24" t="str">
        <v>Learning</v>
      </c>
      <c r="D203" s="24" t="str">
        <v>Join the enabled waitlist for a full course.</v>
      </c>
      <c r="E203" s="24" t="str">
        <v>One waiting record appears. The learner is not shown as confirmed.</v>
      </c>
      <c r="F203" s="24" t="str">
        <v>Course waitlist</v>
      </c>
      <c r="G203" s="24" t="str">
        <v>P1</v>
      </c>
      <c r="H203" s="24" t="str">
        <v>Learner or organizer named in the steps</v>
      </c>
      <c r="I203" s="24" t="str">
        <v>Use prepared QA records and separate accounts. Record the actual URL and build on Run Overview. Prepare the named course state. Enrollment cases require the effective enrollment feature to be enabled.</v>
      </c>
      <c r="J203" s="24" t="str">
        <v>Regression</v>
      </c>
      <c r="K203" s="26"/>
      <c r="L203" s="26"/>
      <c r="M203" s="26"/>
      <c r="N203" s="29"/>
      <c r="O203" s="26"/>
      <c r="P203" s="26"/>
      <c r="Q203" s="26"/>
      <c r="R203" s="24" t="str">
        <v>COURSE_ENROLLMENT_ENABLED for enrollment</v>
      </c>
      <c r="S203" s="28" t="str">
        <v>Not Run</v>
      </c>
      <c r="T203" s="28"/>
      <c r="U203" s="28" t="str">
        <v>Updated</v>
      </c>
    </row>
    <row r="204" ht="64" customHeight="1">
      <c r="A204" s="25" t="str">
        <v>Not Run</v>
      </c>
      <c r="B204" s="19" t="str">
        <v>GO-MAN-203</v>
      </c>
      <c r="C204" s="19" t="str">
        <v>Learning</v>
      </c>
      <c r="D204" s="19" t="str">
        <v>Open a canceled course and attempt enrollment.</v>
      </c>
      <c r="E204" s="19" t="str">
        <v>Cancellation is clear and no new enrollment is accepted.</v>
      </c>
      <c r="F204" s="19" t="str">
        <v>Canceled course</v>
      </c>
      <c r="G204" s="19" t="str">
        <v>P1</v>
      </c>
      <c r="H204" s="19" t="str">
        <v>Learner or organizer named in the steps</v>
      </c>
      <c r="I204" s="19" t="str">
        <v>Use prepared QA records and separate accounts. Record the actual URL and build on Run Overview. Prepare the named course state. Enrollment cases require the effective enrollment feature to be enabled.</v>
      </c>
      <c r="J204" s="19" t="str">
        <v>Regression</v>
      </c>
      <c r="K204" s="26"/>
      <c r="L204" s="26"/>
      <c r="M204" s="26"/>
      <c r="N204" s="29"/>
      <c r="O204" s="26"/>
      <c r="P204" s="26"/>
      <c r="Q204" s="26"/>
      <c r="R204" s="19" t="str">
        <v>COURSE_ENROLLMENT_ENABLED for enrollment</v>
      </c>
      <c r="S204" s="27" t="str">
        <v>Not Run</v>
      </c>
      <c r="T204" s="27"/>
      <c r="U204" s="27" t="str">
        <v>Updated</v>
      </c>
    </row>
    <row r="205" ht="64" customHeight="1">
      <c r="A205" s="25" t="str">
        <v>Not Run</v>
      </c>
      <c r="B205" s="24" t="str">
        <v>GO-MAN-204</v>
      </c>
      <c r="C205" s="24" t="str">
        <v>Learning</v>
      </c>
      <c r="D205" s="24" t="str">
        <v>Open a completed course as visitor and participant.</v>
      </c>
      <c r="E205" s="24" t="str">
        <v>Completion state is clear. No new live enrollment is accepted.</v>
      </c>
      <c r="F205" s="24" t="str">
        <v>Completed course</v>
      </c>
      <c r="G205" s="24" t="str">
        <v>P1</v>
      </c>
      <c r="H205" s="24" t="str">
        <v>Learner or organizer named in the steps</v>
      </c>
      <c r="I205" s="24" t="str">
        <v>Use prepared QA records and separate accounts. Record the actual URL and build on Run Overview. Prepare the named course state. Enrollment cases require the effective enrollment feature to be enabled.</v>
      </c>
      <c r="J205" s="24" t="str">
        <v>Regression</v>
      </c>
      <c r="K205" s="26"/>
      <c r="L205" s="26"/>
      <c r="M205" s="26"/>
      <c r="N205" s="29"/>
      <c r="O205" s="26"/>
      <c r="P205" s="26"/>
      <c r="Q205" s="26"/>
      <c r="R205" s="24" t="str">
        <v>COURSE_ENROLLMENT_ENABLED for enrollment</v>
      </c>
      <c r="S205" s="28" t="str">
        <v>Not Run</v>
      </c>
      <c r="T205" s="28"/>
      <c r="U205" s="28" t="str">
        <v>Updated</v>
      </c>
    </row>
    <row r="206" ht="64" customHeight="1">
      <c r="A206" s="25" t="str">
        <v>Not Run</v>
      </c>
      <c r="B206" s="19" t="str">
        <v>GO-MAN-205</v>
      </c>
      <c r="C206" s="19" t="str">
        <v>Learning</v>
      </c>
      <c r="D206" s="19" t="str">
        <v>Compare course prerequisites and required access with an eligible and ineligible learner.</v>
      </c>
      <c r="E206" s="19" t="str">
        <v>Requirements are visible and the configured eligibility rule is enforced.</v>
      </c>
      <c r="F206" s="19" t="str">
        <v>Prerequisites</v>
      </c>
      <c r="G206" s="19" t="str">
        <v>P1</v>
      </c>
      <c r="H206" s="19" t="str">
        <v>Learner or organizer named in the steps</v>
      </c>
      <c r="I206" s="19" t="str">
        <v>Use prepared QA records and separate accounts. Record the actual URL and build on Run Overview. Prepare the named course state. Enrollment cases require the effective enrollment feature to be enabled.</v>
      </c>
      <c r="J206" s="19" t="str">
        <v>Regression</v>
      </c>
      <c r="K206" s="26"/>
      <c r="L206" s="26"/>
      <c r="M206" s="26"/>
      <c r="N206" s="29"/>
      <c r="O206" s="26"/>
      <c r="P206" s="26"/>
      <c r="Q206" s="26"/>
      <c r="R206" s="19" t="str">
        <v>COURSE_ENROLLMENT_ENABLED for enrollment</v>
      </c>
      <c r="S206" s="27" t="str">
        <v>Not Run</v>
      </c>
      <c r="T206" s="27"/>
      <c r="U206" s="27" t="str">
        <v>Updated</v>
      </c>
    </row>
    <row r="207" ht="64" customHeight="1">
      <c r="A207" s="25" t="str">
        <v>Not Run</v>
      </c>
      <c r="B207" s="24" t="str">
        <v>GO-MAN-206</v>
      </c>
      <c r="C207" s="24" t="str">
        <v>Learning</v>
      </c>
      <c r="D207" s="24" t="str">
        <v>Compare course capacity with its prepared participant count.</v>
      </c>
      <c r="E207" s="24" t="str">
        <v>Displayed physical capacity matches configuration. Online capacity is described separately when applicable.</v>
      </c>
      <c r="F207" s="24" t="str">
        <v>Capacity display</v>
      </c>
      <c r="G207" s="24" t="str">
        <v>P1</v>
      </c>
      <c r="H207" s="24" t="str">
        <v>Learner or organizer named in the steps</v>
      </c>
      <c r="I207" s="24" t="str">
        <v>Use prepared QA records and separate accounts. Record the actual URL and build on Run Overview. Prepare the named course state. Enrollment cases require the effective enrollment feature to be enabled.</v>
      </c>
      <c r="J207" s="24" t="str">
        <v>Regression</v>
      </c>
      <c r="K207" s="26"/>
      <c r="L207" s="26"/>
      <c r="M207" s="26"/>
      <c r="N207" s="29"/>
      <c r="O207" s="26"/>
      <c r="P207" s="26"/>
      <c r="Q207" s="26"/>
      <c r="R207" s="24" t="str">
        <v>COURSE_ENROLLMENT_ENABLED for enrollment</v>
      </c>
      <c r="S207" s="28" t="str">
        <v>Not Run</v>
      </c>
      <c r="T207" s="28"/>
      <c r="U207" s="28" t="str">
        <v>Updated</v>
      </c>
    </row>
    <row r="208" ht="64" customHeight="1">
      <c r="A208" s="25" t="str">
        <v>Not Run</v>
      </c>
      <c r="B208" s="19" t="str">
        <v>GO-MAN-207</v>
      </c>
      <c r="C208" s="19" t="str">
        <v>Learning</v>
      </c>
      <c r="D208" s="19" t="str">
        <v>Enroll then cancel one physical participant and refresh.</v>
      </c>
      <c r="E208" s="19" t="str">
        <v>Remaining physical places update consistently without negative counts.</v>
      </c>
      <c r="F208" s="19" t="str">
        <v>Remaining places</v>
      </c>
      <c r="G208" s="19" t="str">
        <v>P1</v>
      </c>
      <c r="H208" s="19" t="str">
        <v>Learner or organizer named in the steps</v>
      </c>
      <c r="I208" s="19" t="str">
        <v>Use prepared QA records and separate accounts. Record the actual URL and build on Run Overview. Prepare the named course state. Enrollment cases require the effective enrollment feature to be enabled.</v>
      </c>
      <c r="J208" s="19" t="str">
        <v>Regression</v>
      </c>
      <c r="K208" s="26"/>
      <c r="L208" s="26"/>
      <c r="M208" s="26"/>
      <c r="N208" s="29"/>
      <c r="O208" s="26"/>
      <c r="P208" s="26"/>
      <c r="Q208" s="26"/>
      <c r="R208" s="19" t="str">
        <v>COURSE_ENROLLMENT_ENABLED for enrollment</v>
      </c>
      <c r="S208" s="27" t="str">
        <v>Not Run</v>
      </c>
      <c r="T208" s="27"/>
      <c r="U208" s="27" t="str">
        <v>Updated</v>
      </c>
    </row>
    <row r="209" ht="64" customHeight="1">
      <c r="A209" s="25" t="str">
        <v>Not Run</v>
      </c>
      <c r="B209" s="24" t="str">
        <v>GO-MAN-208</v>
      </c>
      <c r="C209" s="24" t="str">
        <v>Learning</v>
      </c>
      <c r="D209" s="24" t="str">
        <v>Check just before opening, inside the window and at cutoff using prepared QA cohorts.</v>
      </c>
      <c r="E209" s="24" t="str">
        <v>Enrollment follows the configured timestamps and shows the correct local date/time.</v>
      </c>
      <c r="F209" s="24" t="str">
        <v>Enrollment window dates</v>
      </c>
      <c r="G209" s="24" t="str">
        <v>P1</v>
      </c>
      <c r="H209" s="24" t="str">
        <v>Learner or organizer named in the steps</v>
      </c>
      <c r="I209" s="24" t="str">
        <v>Use prepared QA records and separate accounts. Record the actual URL and build on Run Overview. Prepare the named course state. Enrollment cases require the effective enrollment feature to be enabled.</v>
      </c>
      <c r="J209" s="24" t="str">
        <v>Regression</v>
      </c>
      <c r="K209" s="26"/>
      <c r="L209" s="26"/>
      <c r="M209" s="26"/>
      <c r="N209" s="29"/>
      <c r="O209" s="26"/>
      <c r="P209" s="26"/>
      <c r="Q209" s="26"/>
      <c r="R209" s="24" t="str">
        <v>COURSE_ENROLLMENT_ENABLED for enrollment</v>
      </c>
      <c r="S209" s="28" t="str">
        <v>Not Run</v>
      </c>
      <c r="T209" s="28"/>
      <c r="U209" s="28" t="str">
        <v>Updated</v>
      </c>
    </row>
    <row r="210" ht="64" customHeight="1">
      <c r="A210" s="25" t="str">
        <v>Not Run</v>
      </c>
      <c r="B210" s="19" t="str">
        <v>GO-MAN-209</v>
      </c>
      <c r="C210" s="19" t="str">
        <v>Learning</v>
      </c>
      <c r="D210" s="19" t="str">
        <v>Compare a cohort’s source timezone with a learner in another timezone.</v>
      </c>
      <c r="E210" s="19" t="str">
        <v>The shown time and zone identify the same instant without a silent day shift.</v>
      </c>
      <c r="F210" s="19" t="str">
        <v>Course time zones</v>
      </c>
      <c r="G210" s="19" t="str">
        <v>P1</v>
      </c>
      <c r="H210" s="19" t="str">
        <v>Learner or organizer named in the steps</v>
      </c>
      <c r="I210" s="19" t="str">
        <v>Use prepared QA records and separate accounts. Record the actual URL and build on Run Overview. Prepare the named course state. Enrollment cases require the effective enrollment feature to be enabled.</v>
      </c>
      <c r="J210" s="19" t="str">
        <v>Regression</v>
      </c>
      <c r="K210" s="26"/>
      <c r="L210" s="26"/>
      <c r="M210" s="26"/>
      <c r="N210" s="29"/>
      <c r="O210" s="26"/>
      <c r="P210" s="26"/>
      <c r="Q210" s="26"/>
      <c r="R210" s="19" t="str">
        <v>COURSE_ENROLLMENT_ENABLED for enrollment</v>
      </c>
      <c r="S210" s="27" t="str">
        <v>Not Run</v>
      </c>
      <c r="T210" s="27"/>
      <c r="U210" s="27" t="str">
        <v>Updated</v>
      </c>
    </row>
    <row r="211" ht="64" customHeight="1">
      <c r="A211" s="25" t="str">
        <v>Not Run</v>
      </c>
      <c r="B211" s="24" t="str">
        <v>GO-MAN-210</v>
      </c>
      <c r="C211" s="24" t="str">
        <v>Learning</v>
      </c>
      <c r="D211" s="24" t="str">
        <v>Complete and submit the desktop enrollment form.</v>
      </c>
      <c r="E211" s="24" t="str">
        <v>Required fields are usable and one enrollment results.</v>
      </c>
      <c r="F211" s="24" t="str">
        <v>Desktop enrollment</v>
      </c>
      <c r="G211" s="24" t="str">
        <v>P1</v>
      </c>
      <c r="H211" s="24" t="str">
        <v>Learner or organizer named in the steps</v>
      </c>
      <c r="I211" s="24" t="str">
        <v>Use prepared QA records and separate accounts. Record the actual URL and build on Run Overview. Prepare the named course state. Enrollment cases require the effective enrollment feature to be enabled.</v>
      </c>
      <c r="J211" s="24" t="str">
        <v>Regression</v>
      </c>
      <c r="K211" s="26"/>
      <c r="L211" s="26"/>
      <c r="M211" s="26"/>
      <c r="N211" s="29"/>
      <c r="O211" s="26"/>
      <c r="P211" s="26"/>
      <c r="Q211" s="26"/>
      <c r="R211" s="24" t="str">
        <v>COURSE_ENROLLMENT_ENABLED for enrollment</v>
      </c>
      <c r="S211" s="28" t="str">
        <v>Not Run</v>
      </c>
      <c r="T211" s="28"/>
      <c r="U211" s="28" t="str">
        <v>Updated</v>
      </c>
    </row>
    <row r="212" ht="64" customHeight="1">
      <c r="A212" s="25" t="str">
        <v>Not Run</v>
      </c>
      <c r="B212" s="19" t="str">
        <v>GO-MAN-211</v>
      </c>
      <c r="C212" s="19" t="str">
        <v>Learning</v>
      </c>
      <c r="D212" s="19" t="str">
        <v>Complete enrollment at 390px with the virtual keyboard open.</v>
      </c>
      <c r="E212" s="19" t="str">
        <v>Fields and submit remain reachable without horizontal overflow.</v>
      </c>
      <c r="F212" s="19" t="str">
        <v>Mobile enrollment</v>
      </c>
      <c r="G212" s="19" t="str">
        <v>P1</v>
      </c>
      <c r="H212" s="19" t="str">
        <v>Learner or organizer named in the steps</v>
      </c>
      <c r="I212" s="19" t="str">
        <v>Use prepared QA records and separate accounts. Record the actual URL and build on Run Overview. Prepare the named course state. Enrollment cases require the effective enrollment feature to be enabled.</v>
      </c>
      <c r="J212" s="19" t="str">
        <v>Regression</v>
      </c>
      <c r="K212" s="26"/>
      <c r="L212" s="26"/>
      <c r="M212" s="26"/>
      <c r="N212" s="29"/>
      <c r="O212" s="26"/>
      <c r="P212" s="26"/>
      <c r="Q212" s="26"/>
      <c r="R212" s="19" t="str">
        <v>COURSE_ENROLLMENT_ENABLED for enrollment</v>
      </c>
      <c r="S212" s="27" t="str">
        <v>Not Run</v>
      </c>
      <c r="T212" s="27"/>
      <c r="U212" s="27" t="str">
        <v>Updated</v>
      </c>
    </row>
    <row r="213" ht="64" customHeight="1">
      <c r="A213" s="25" t="str">
        <v>Not Run</v>
      </c>
      <c r="B213" s="24" t="str">
        <v>GO-MAN-212</v>
      </c>
      <c r="C213" s="24" t="str">
        <v>Learning</v>
      </c>
      <c r="D213" s="24" t="str">
        <v>Use only Tab, Shift+Tab, Space and Enter to enroll.</v>
      </c>
      <c r="E213" s="24" t="str">
        <v>All required controls and the final result are reachable with visible focus.</v>
      </c>
      <c r="F213" s="24" t="str">
        <v>Enrollment keyboard access</v>
      </c>
      <c r="G213" s="24" t="str">
        <v>P1</v>
      </c>
      <c r="H213" s="24" t="str">
        <v>Learner or organizer named in the steps</v>
      </c>
      <c r="I213" s="24" t="str">
        <v>Use prepared QA records and separate accounts. Record the actual URL and build on Run Overview. Prepare the named course state. Enrollment cases require the effective enrollment feature to be enabled.</v>
      </c>
      <c r="J213" s="24" t="str">
        <v>Regression</v>
      </c>
      <c r="K213" s="26"/>
      <c r="L213" s="26"/>
      <c r="M213" s="26"/>
      <c r="N213" s="29"/>
      <c r="O213" s="26"/>
      <c r="P213" s="26"/>
      <c r="Q213" s="26"/>
      <c r="R213" s="24" t="str">
        <v>COURSE_ENROLLMENT_ENABLED for enrollment</v>
      </c>
      <c r="S213" s="28" t="str">
        <v>Not Run</v>
      </c>
      <c r="T213" s="28"/>
      <c r="U213" s="28" t="str">
        <v>Updated</v>
      </c>
    </row>
    <row r="214" ht="64" customHeight="1">
      <c r="A214" s="25" t="str">
        <v>Not Run</v>
      </c>
      <c r="B214" s="19" t="str">
        <v>GO-MAN-213</v>
      </c>
      <c r="C214" s="19" t="str">
        <v>Learning</v>
      </c>
      <c r="D214" s="19" t="str">
        <v>Submit with required fields missing and an invalid link if a link field is shown.</v>
      </c>
      <c r="E214" s="19" t="str">
        <v>Specific errors appear, valid inputs remain and no enrollment is created.</v>
      </c>
      <c r="F214" s="19" t="str">
        <v>Enrollment validation</v>
      </c>
      <c r="G214" s="19" t="str">
        <v>P1</v>
      </c>
      <c r="H214" s="19" t="str">
        <v>Learner or organizer named in the steps</v>
      </c>
      <c r="I214" s="19" t="str">
        <v>Use prepared QA records and separate accounts. Record the actual URL and build on Run Overview. Prepare the named course state. Enrollment cases require the effective enrollment feature to be enabled.</v>
      </c>
      <c r="J214" s="19" t="str">
        <v>Regression</v>
      </c>
      <c r="K214" s="26"/>
      <c r="L214" s="26"/>
      <c r="M214" s="26"/>
      <c r="N214" s="29"/>
      <c r="O214" s="26"/>
      <c r="P214" s="26"/>
      <c r="Q214" s="26"/>
      <c r="R214" s="19" t="str">
        <v>COURSE_ENROLLMENT_ENABLED for enrollment</v>
      </c>
      <c r="S214" s="27" t="str">
        <v>Not Run</v>
      </c>
      <c r="T214" s="27"/>
      <c r="U214" s="27" t="str">
        <v>Updated</v>
      </c>
    </row>
    <row r="215" ht="64" customHeight="1">
      <c r="A215" s="25" t="str">
        <v>Not Run</v>
      </c>
      <c r="B215" s="24" t="str">
        <v>GO-MAN-214</v>
      </c>
      <c r="C215" s="24" t="str">
        <v>Learning</v>
      </c>
      <c r="D215" s="24" t="str">
        <v>Throttle QA network and submit enrollment once.</v>
      </c>
      <c r="E215" s="24" t="str">
        <v>Pending feedback appears and duplicate submission is prevented.</v>
      </c>
      <c r="F215" s="24" t="str">
        <v>Enrollment pending request</v>
      </c>
      <c r="G215" s="24" t="str">
        <v>P1</v>
      </c>
      <c r="H215" s="24" t="str">
        <v>Learner or organizer named in the steps</v>
      </c>
      <c r="I215" s="24" t="str">
        <v>Use prepared QA records and separate accounts. Record the actual URL and build on Run Overview. Prepare the named course state. Enrollment cases require the effective enrollment feature to be enabled.</v>
      </c>
      <c r="J215" s="24" t="str">
        <v>Regression</v>
      </c>
      <c r="K215" s="26"/>
      <c r="L215" s="26"/>
      <c r="M215" s="26"/>
      <c r="N215" s="29"/>
      <c r="O215" s="26"/>
      <c r="P215" s="26"/>
      <c r="Q215" s="26"/>
      <c r="R215" s="24" t="str">
        <v>COURSE_ENROLLMENT_ENABLED for enrollment</v>
      </c>
      <c r="S215" s="28" t="str">
        <v>Not Run</v>
      </c>
      <c r="T215" s="28"/>
      <c r="U215" s="28" t="str">
        <v>Updated</v>
      </c>
    </row>
    <row r="216" ht="64" customHeight="1">
      <c r="A216" s="25" t="str">
        <v>Not Run</v>
      </c>
      <c r="B216" s="19" t="str">
        <v>GO-MAN-215</v>
      </c>
      <c r="C216" s="19" t="str">
        <v>Learning</v>
      </c>
      <c r="D216" s="19" t="str">
        <v>Submit a valid enrollment and refresh the course and profile.</v>
      </c>
      <c r="E216" s="19" t="str">
        <v>The correct confirmed or pending status persists on both views.</v>
      </c>
      <c r="F216" s="19" t="str">
        <v>Enrollment confirmation</v>
      </c>
      <c r="G216" s="19" t="str">
        <v>P1</v>
      </c>
      <c r="H216" s="19" t="str">
        <v>Learner or organizer named in the steps</v>
      </c>
      <c r="I216" s="19" t="str">
        <v>Use prepared QA records and separate accounts. Record the actual URL and build on Run Overview. Prepare the named course state. Enrollment cases require the effective enrollment feature to be enabled.</v>
      </c>
      <c r="J216" s="19" t="str">
        <v>Regression</v>
      </c>
      <c r="K216" s="26"/>
      <c r="L216" s="26"/>
      <c r="M216" s="26"/>
      <c r="N216" s="29"/>
      <c r="O216" s="26"/>
      <c r="P216" s="26"/>
      <c r="Q216" s="26"/>
      <c r="R216" s="19" t="str">
        <v>COURSE_ENROLLMENT_ENABLED for enrollment</v>
      </c>
      <c r="S216" s="27" t="str">
        <v>Not Run</v>
      </c>
      <c r="T216" s="27"/>
      <c r="U216" s="27" t="str">
        <v>Updated</v>
      </c>
    </row>
    <row r="217" ht="64" customHeight="1">
      <c r="A217" s="25" t="str">
        <v>Not Run</v>
      </c>
      <c r="B217" s="24" t="str">
        <v>GO-MAN-216</v>
      </c>
      <c r="C217" s="24" t="str">
        <v>Learning</v>
      </c>
      <c r="D217" s="24" t="str">
        <v>Interrupt the QA enrollment request, restore network and retry.</v>
      </c>
      <c r="E217" s="24" t="str">
        <v>An actionable error appears. Retry does not create duplicate enrollment.</v>
      </c>
      <c r="F217" s="24" t="str">
        <v>Enrollment save failure</v>
      </c>
      <c r="G217" s="24" t="str">
        <v>P1</v>
      </c>
      <c r="H217" s="24" t="str">
        <v>Learner or organizer named in the steps</v>
      </c>
      <c r="I217" s="24" t="str">
        <v>Use prepared QA records and separate accounts. Record the actual URL and build on Run Overview. Prepare the named course state. Enrollment cases require the effective enrollment feature to be enabled.</v>
      </c>
      <c r="J217" s="24" t="str">
        <v>Regression</v>
      </c>
      <c r="K217" s="26"/>
      <c r="L217" s="26"/>
      <c r="M217" s="26"/>
      <c r="N217" s="29"/>
      <c r="O217" s="26"/>
      <c r="P217" s="26"/>
      <c r="Q217" s="26"/>
      <c r="R217" s="24" t="str">
        <v>COURSE_ENROLLMENT_ENABLED for enrollment</v>
      </c>
      <c r="S217" s="28" t="str">
        <v>Not Run</v>
      </c>
      <c r="T217" s="28"/>
      <c r="U217" s="28" t="str">
        <v>Updated</v>
      </c>
    </row>
    <row r="218" ht="64" customHeight="1">
      <c r="A218" s="25" t="str">
        <v>Not Run</v>
      </c>
      <c r="B218" s="19" t="str">
        <v>GO-MAN-217</v>
      </c>
      <c r="C218" s="19" t="str">
        <v>Learning</v>
      </c>
      <c r="D218" s="19" t="str">
        <v>Enroll in a course configured for automatic acceptance.</v>
      </c>
      <c r="E218" s="19" t="str">
        <v>Eligible learner becomes confirmed without an extra approval step.</v>
      </c>
      <c r="F218" s="19" t="str">
        <v>Automatic enrollment</v>
      </c>
      <c r="G218" s="19" t="str">
        <v>P1</v>
      </c>
      <c r="H218" s="19" t="str">
        <v>Learner or organizer named in the steps</v>
      </c>
      <c r="I218" s="19" t="str">
        <v>Use prepared QA records and separate accounts. Record the actual URL and build on Run Overview. Prepare the named course state. Enrollment cases require the effective enrollment feature to be enabled.</v>
      </c>
      <c r="J218" s="19" t="str">
        <v>Regression</v>
      </c>
      <c r="K218" s="26"/>
      <c r="L218" s="26"/>
      <c r="M218" s="26"/>
      <c r="N218" s="29"/>
      <c r="O218" s="26"/>
      <c r="P218" s="26"/>
      <c r="Q218" s="26"/>
      <c r="R218" s="19" t="str">
        <v>COURSE_ENROLLMENT_ENABLED for enrollment</v>
      </c>
      <c r="S218" s="27" t="str">
        <v>Not Run</v>
      </c>
      <c r="T218" s="27"/>
      <c r="U218" s="27" t="str">
        <v>Updated</v>
      </c>
    </row>
    <row r="219" ht="64" customHeight="1">
      <c r="A219" s="25" t="str">
        <v>Not Run</v>
      </c>
      <c r="B219" s="24" t="str">
        <v>GO-MAN-218</v>
      </c>
      <c r="C219" s="24" t="str">
        <v>Learning</v>
      </c>
      <c r="D219" s="24" t="str">
        <v>Enroll in an approval-required course, then have the organizer approve it.</v>
      </c>
      <c r="E219" s="24" t="str">
        <v>The learner stays pending until approval. Private session access is unavailable while pending.</v>
      </c>
      <c r="F219" s="24" t="str">
        <v>Approval-required enrollment</v>
      </c>
      <c r="G219" s="24" t="str">
        <v>P0</v>
      </c>
      <c r="H219" s="24" t="str">
        <v>Learner or organizer named in the steps</v>
      </c>
      <c r="I219" s="24" t="str">
        <v>Use prepared QA records and separate accounts. Record the actual URL and build on Run Overview. Prepare the named course state. Enrollment cases require the effective enrollment feature to be enabled.</v>
      </c>
      <c r="J219" s="24" t="str">
        <v>Regression</v>
      </c>
      <c r="K219" s="26"/>
      <c r="L219" s="26"/>
      <c r="M219" s="26"/>
      <c r="N219" s="29"/>
      <c r="O219" s="26"/>
      <c r="P219" s="26"/>
      <c r="Q219" s="26"/>
      <c r="R219" s="24" t="str">
        <v>COURSE_ENROLLMENT_ENABLED for enrollment</v>
      </c>
      <c r="S219" s="28" t="str">
        <v>Not Run</v>
      </c>
      <c r="T219" s="28"/>
      <c r="U219" s="28" t="str">
        <v>Updated</v>
      </c>
    </row>
    <row r="220" ht="64" customHeight="1">
      <c r="A220" s="25" t="str">
        <v>Not Run</v>
      </c>
      <c r="B220" s="19" t="str">
        <v>GO-MAN-219</v>
      </c>
      <c r="C220" s="19" t="str">
        <v>Learning</v>
      </c>
      <c r="D220" s="19" t="str">
        <v>As free account, enroll in an item explicitly configured free.</v>
      </c>
      <c r="E220" s="19" t="str">
        <v>Enrollment succeeds without membership checkout.</v>
      </c>
      <c r="F220" s="19" t="str">
        <v>Free course enrollment</v>
      </c>
      <c r="G220" s="19" t="str">
        <v>P1</v>
      </c>
      <c r="H220" s="19" t="str">
        <v>Learner or organizer named in the steps</v>
      </c>
      <c r="I220" s="19" t="str">
        <v>Use prepared QA records and separate accounts. Record the actual URL and build on Run Overview. Prepare the named course state. Enrollment cases require the effective enrollment feature to be enabled.</v>
      </c>
      <c r="J220" s="19" t="str">
        <v>Regression</v>
      </c>
      <c r="K220" s="26"/>
      <c r="L220" s="26"/>
      <c r="M220" s="26"/>
      <c r="N220" s="29"/>
      <c r="O220" s="26"/>
      <c r="P220" s="26"/>
      <c r="Q220" s="26"/>
      <c r="R220" s="19" t="str">
        <v>COURSE_ENROLLMENT_ENABLED for enrollment</v>
      </c>
      <c r="S220" s="27" t="str">
        <v>Not Run</v>
      </c>
      <c r="T220" s="27"/>
      <c r="U220" s="27" t="str">
        <v>Updated</v>
      </c>
    </row>
    <row r="221" ht="64" customHeight="1">
      <c r="A221" s="25" t="str">
        <v>Not Run</v>
      </c>
      <c r="B221" s="24" t="str">
        <v>GO-MAN-220</v>
      </c>
      <c r="C221" s="24" t="str">
        <v>Learning</v>
      </c>
      <c r="D221" s="24" t="str">
        <v>As active Community and then free user, attempt a Community course.</v>
      </c>
      <c r="E221" s="24" t="str">
        <v>Community can enroll. Free user receives membership guidance.</v>
      </c>
      <c r="F221" s="24" t="str">
        <v>Community course access</v>
      </c>
      <c r="G221" s="24" t="str">
        <v>P1</v>
      </c>
      <c r="H221" s="24" t="str">
        <v>Learner or organizer named in the steps</v>
      </c>
      <c r="I221" s="24" t="str">
        <v>Use prepared QA records and separate accounts. Record the actual URL and build on Run Overview. Prepare the named course state. Enrollment cases require the effective enrollment feature to be enabled.</v>
      </c>
      <c r="J221" s="24" t="str">
        <v>Regression</v>
      </c>
      <c r="K221" s="26"/>
      <c r="L221" s="26"/>
      <c r="M221" s="26"/>
      <c r="N221" s="29"/>
      <c r="O221" s="26"/>
      <c r="P221" s="26"/>
      <c r="Q221" s="26"/>
      <c r="R221" s="24" t="str">
        <v>COURSE_ENROLLMENT_ENABLED for enrollment</v>
      </c>
      <c r="S221" s="28" t="str">
        <v>Not Run</v>
      </c>
      <c r="T221" s="28"/>
      <c r="U221" s="28" t="str">
        <v>Updated</v>
      </c>
    </row>
    <row r="222" ht="64" customHeight="1">
      <c r="A222" s="25" t="str">
        <v>Not Run</v>
      </c>
      <c r="B222" s="19" t="str">
        <v>GO-MAN-221</v>
      </c>
      <c r="C222" s="19" t="str">
        <v>Learning</v>
      </c>
      <c r="D222" s="19" t="str">
        <v>As active Business, enroll in a Community course.</v>
      </c>
      <c r="E222" s="19" t="str">
        <v>Enrollment succeeds under the inherited entitlement.</v>
      </c>
      <c r="F222" s="19" t="str">
        <v>Business inherited course access</v>
      </c>
      <c r="G222" s="19" t="str">
        <v>P1</v>
      </c>
      <c r="H222" s="19" t="str">
        <v>Learner or organizer named in the steps</v>
      </c>
      <c r="I222" s="19" t="str">
        <v>Use prepared QA records and separate accounts. Record the actual URL and build on Run Overview. Prepare the named course state. Enrollment cases require the effective enrollment feature to be enabled.</v>
      </c>
      <c r="J222" s="19" t="str">
        <v>Regression</v>
      </c>
      <c r="K222" s="26"/>
      <c r="L222" s="26"/>
      <c r="M222" s="26"/>
      <c r="N222" s="29"/>
      <c r="O222" s="26"/>
      <c r="P222" s="26"/>
      <c r="Q222" s="26"/>
      <c r="R222" s="19" t="str">
        <v>COURSE_ENROLLMENT_ENABLED for enrollment</v>
      </c>
      <c r="S222" s="27" t="str">
        <v>Not Run</v>
      </c>
      <c r="T222" s="27"/>
      <c r="U222" s="27" t="str">
        <v>Updated</v>
      </c>
    </row>
    <row r="223" ht="64" customHeight="1">
      <c r="A223" s="25" t="str">
        <v>Not Run</v>
      </c>
      <c r="B223" s="24" t="str">
        <v>GO-MAN-222</v>
      </c>
      <c r="C223" s="24" t="str">
        <v>Learning</v>
      </c>
      <c r="D223" s="24" t="str">
        <v>Try an invited and uninvited account on an invitation-only course.</v>
      </c>
      <c r="E223" s="24" t="str">
        <v>Only the explicitly invited account can enroll.</v>
      </c>
      <c r="F223" s="24" t="str">
        <v>Invitation-only course</v>
      </c>
      <c r="G223" s="24" t="str">
        <v>P1</v>
      </c>
      <c r="H223" s="24" t="str">
        <v>Learner or organizer named in the steps</v>
      </c>
      <c r="I223" s="24" t="str">
        <v>Use prepared QA records and separate accounts. Record the actual URL and build on Run Overview. Prepare the named course state. Enrollment cases require the effective enrollment feature to be enabled.</v>
      </c>
      <c r="J223" s="24" t="str">
        <v>Regression</v>
      </c>
      <c r="K223" s="26"/>
      <c r="L223" s="26"/>
      <c r="M223" s="26"/>
      <c r="N223" s="29"/>
      <c r="O223" s="26"/>
      <c r="P223" s="26"/>
      <c r="Q223" s="26"/>
      <c r="R223" s="24" t="str">
        <v>COURSE_ENROLLMENT_ENABLED for enrollment</v>
      </c>
      <c r="S223" s="28" t="str">
        <v>Not Run</v>
      </c>
      <c r="T223" s="28"/>
      <c r="U223" s="28" t="str">
        <v>Updated</v>
      </c>
    </row>
    <row r="224" ht="64" customHeight="1">
      <c r="A224" s="25" t="str">
        <v>Not Run</v>
      </c>
      <c r="B224" s="19" t="str">
        <v>GO-MAN-223</v>
      </c>
      <c r="C224" s="19" t="str">
        <v>Learning</v>
      </c>
      <c r="D224" s="19" t="str">
        <v>As non-organizer, attempt approval. Then approve as admin.</v>
      </c>
      <c r="E224" s="19" t="str">
        <v>Unauthorized approval is denied. Admin approval changes only the selected enrollment.</v>
      </c>
      <c r="F224" s="19" t="str">
        <v>Admin enrollment approval</v>
      </c>
      <c r="G224" s="19" t="str">
        <v>P0</v>
      </c>
      <c r="H224" s="19" t="str">
        <v>Learner or organizer named in the steps</v>
      </c>
      <c r="I224" s="19" t="str">
        <v>Use prepared QA records and separate accounts. Record the actual URL and build on Run Overview. Prepare the named course state. Enrollment cases require the effective enrollment feature to be enabled.</v>
      </c>
      <c r="J224" s="19" t="str">
        <v>Regression</v>
      </c>
      <c r="K224" s="26"/>
      <c r="L224" s="26"/>
      <c r="M224" s="26"/>
      <c r="N224" s="29"/>
      <c r="O224" s="26"/>
      <c r="P224" s="26"/>
      <c r="Q224" s="26"/>
      <c r="R224" s="19" t="str">
        <v>COURSE_ENROLLMENT_ENABLED for enrollment</v>
      </c>
      <c r="S224" s="27" t="str">
        <v>Not Run</v>
      </c>
      <c r="T224" s="27"/>
      <c r="U224" s="27" t="str">
        <v>Updated</v>
      </c>
    </row>
    <row r="225" ht="64" customHeight="1">
      <c r="A225" s="25" t="str">
        <v>Not Run</v>
      </c>
      <c r="B225" s="24" t="str">
        <v>GO-MAN-224</v>
      </c>
      <c r="C225" s="24" t="str">
        <v>Learning</v>
      </c>
      <c r="D225" s="24" t="str">
        <v>Double-click Enroll and repeat from a second tab.</v>
      </c>
      <c r="E225" s="24" t="str">
        <v>A single learner enrollment and one seat allocation exist.</v>
      </c>
      <c r="F225" s="24" t="str">
        <v>Duplicate enrollment</v>
      </c>
      <c r="G225" s="24" t="str">
        <v>P0</v>
      </c>
      <c r="H225" s="24" t="str">
        <v>Learner or organizer named in the steps</v>
      </c>
      <c r="I225" s="24" t="str">
        <v>Use prepared QA records and separate accounts. Record the actual URL and build on Run Overview. Prepare the named course state. Enrollment cases require the effective enrollment feature to be enabled.</v>
      </c>
      <c r="J225" s="24" t="str">
        <v>Regression</v>
      </c>
      <c r="K225" s="26"/>
      <c r="L225" s="26"/>
      <c r="M225" s="26"/>
      <c r="N225" s="29"/>
      <c r="O225" s="26"/>
      <c r="P225" s="26"/>
      <c r="Q225" s="26"/>
      <c r="R225" s="24" t="str">
        <v>COURSE_ENROLLMENT_ENABLED for enrollment</v>
      </c>
      <c r="S225" s="28" t="str">
        <v>Not Run</v>
      </c>
      <c r="T225" s="28"/>
      <c r="U225" s="28" t="str">
        <v>Updated</v>
      </c>
    </row>
    <row r="226" ht="64" customHeight="1">
      <c r="A226" s="25" t="str">
        <v>Not Run</v>
      </c>
      <c r="B226" s="19" t="str">
        <v>GO-MAN-225</v>
      </c>
      <c r="C226" s="19" t="str">
        <v>Learning</v>
      </c>
      <c r="D226" s="19" t="str">
        <v>Enroll, then open the profile Learning tab.</v>
      </c>
      <c r="E226" s="19" t="str">
        <v>The same course and participation state appear with a working course link.</v>
      </c>
      <c r="F226" s="19" t="str">
        <v>Learning dashboard</v>
      </c>
      <c r="G226" s="19" t="str">
        <v>P1</v>
      </c>
      <c r="H226" s="19" t="str">
        <v>Learner or organizer named in the steps</v>
      </c>
      <c r="I226" s="19" t="str">
        <v>Use prepared QA records and separate accounts. Record the actual URL and build on Run Overview. Prepare the named course state. Enrollment cases require the effective enrollment feature to be enabled.</v>
      </c>
      <c r="J226" s="19" t="str">
        <v>Regression</v>
      </c>
      <c r="K226" s="26"/>
      <c r="L226" s="26"/>
      <c r="M226" s="26"/>
      <c r="N226" s="29"/>
      <c r="O226" s="26"/>
      <c r="P226" s="26"/>
      <c r="Q226" s="26"/>
      <c r="R226" s="19" t="str">
        <v>COURSE_ENROLLMENT_ENABLED for enrollment</v>
      </c>
      <c r="S226" s="27" t="str">
        <v>Not Run</v>
      </c>
      <c r="T226" s="27"/>
      <c r="U226" s="27" t="str">
        <v>Updated</v>
      </c>
    </row>
    <row r="227" ht="64" customHeight="1">
      <c r="A227" s="25" t="str">
        <v>Not Run</v>
      </c>
      <c r="B227" s="24" t="str">
        <v>GO-MAN-226</v>
      </c>
      <c r="C227" s="24" t="str">
        <v>Learning</v>
      </c>
      <c r="D227" s="24" t="str">
        <v>Enroll with a controlled QA mailbox and inspect the inbox and outbox.</v>
      </c>
      <c r="E227" s="24" t="str">
        <v>The applicable confirmation is delivered once or a recorded delivery failure is visible.</v>
      </c>
      <c r="F227" s="24" t="str">
        <v>Enrollment email</v>
      </c>
      <c r="G227" s="24" t="str">
        <v>P1</v>
      </c>
      <c r="H227" s="24" t="str">
        <v>Learner or organizer named in the steps</v>
      </c>
      <c r="I227" s="24" t="str">
        <v>Use prepared QA records and separate accounts. Record the actual URL and build on Run Overview. Prepare the named course state. Enrollment cases require the effective enrollment feature to be enabled.</v>
      </c>
      <c r="J227" s="24" t="str">
        <v>Regression</v>
      </c>
      <c r="K227" s="26"/>
      <c r="L227" s="26"/>
      <c r="M227" s="26"/>
      <c r="N227" s="29"/>
      <c r="O227" s="26"/>
      <c r="P227" s="26"/>
      <c r="Q227" s="26"/>
      <c r="R227" s="24" t="str">
        <v>COURSE_ENROLLMENT_ENABLED for enrollment</v>
      </c>
      <c r="S227" s="28" t="str">
        <v>Not Run</v>
      </c>
      <c r="T227" s="28"/>
      <c r="U227" s="28" t="str">
        <v>Updated</v>
      </c>
    </row>
    <row r="228" ht="64" customHeight="1">
      <c r="A228" s="25" t="str">
        <v>Not Run</v>
      </c>
      <c r="B228" s="19" t="str">
        <v>GO-MAN-227</v>
      </c>
      <c r="C228" s="19" t="str">
        <v>Learning</v>
      </c>
      <c r="D228" s="19" t="str">
        <v>With notifications enabled, complete an enrollment and open the notification panel.</v>
      </c>
      <c r="E228" s="19" t="str">
        <v>The correct learner receives the relevant status notification with a working link.</v>
      </c>
      <c r="F228" s="19" t="str">
        <v>Enrollment notification</v>
      </c>
      <c r="G228" s="19" t="str">
        <v>P1</v>
      </c>
      <c r="H228" s="19" t="str">
        <v>Learner or organizer named in the steps</v>
      </c>
      <c r="I228" s="19" t="str">
        <v>Use prepared QA records and separate accounts. Record the actual URL and build on Run Overview. Prepare the named course state. Enrollment cases require the effective enrollment feature to be enabled.</v>
      </c>
      <c r="J228" s="19" t="str">
        <v>Regression</v>
      </c>
      <c r="K228" s="26"/>
      <c r="L228" s="26"/>
      <c r="M228" s="26"/>
      <c r="N228" s="29"/>
      <c r="O228" s="26"/>
      <c r="P228" s="26"/>
      <c r="Q228" s="26"/>
      <c r="R228" s="19" t="str">
        <v>COURSE_ENROLLMENT_ENABLED for enrollment</v>
      </c>
      <c r="S228" s="27" t="str">
        <v>Not Run</v>
      </c>
      <c r="T228" s="27"/>
      <c r="U228" s="27" t="str">
        <v>Updated</v>
      </c>
    </row>
    <row r="229" ht="64" customHeight="1">
      <c r="A229" s="25" t="str">
        <v>Not Run</v>
      </c>
      <c r="B229" s="24" t="str">
        <v>GO-MAN-228</v>
      </c>
      <c r="C229" s="24" t="str">
        <v>Learning</v>
      </c>
      <c r="D229" s="24" t="str">
        <v>Choose Enroll while signed out.</v>
      </c>
      <c r="E229" s="24" t="str">
        <v>Sign-in/signup guidance appears before an enrollment can be submitted.</v>
      </c>
      <c r="F229" s="24" t="str">
        <v>Visitor Enroll action</v>
      </c>
      <c r="G229" s="24" t="str">
        <v>P1</v>
      </c>
      <c r="H229" s="24" t="str">
        <v>Learner or organizer named in the steps</v>
      </c>
      <c r="I229" s="24" t="str">
        <v>Use prepared QA records and separate accounts. Record the actual URL and build on Run Overview. Prepare the named course state. Enrollment cases require the effective enrollment feature to be enabled.</v>
      </c>
      <c r="J229" s="24" t="str">
        <v>Regression</v>
      </c>
      <c r="K229" s="26"/>
      <c r="L229" s="26"/>
      <c r="M229" s="26"/>
      <c r="N229" s="29"/>
      <c r="O229" s="26"/>
      <c r="P229" s="26"/>
      <c r="Q229" s="26"/>
      <c r="R229" s="24" t="str">
        <v>COURSE_ENROLLMENT_ENABLED for enrollment</v>
      </c>
      <c r="S229" s="28" t="str">
        <v>Not Run</v>
      </c>
      <c r="T229" s="28"/>
      <c r="U229" s="28" t="str">
        <v>Updated</v>
      </c>
    </row>
    <row r="230" ht="64" customHeight="1">
      <c r="A230" s="25" t="str">
        <v>Not Run</v>
      </c>
      <c r="B230" s="19" t="str">
        <v>GO-MAN-229</v>
      </c>
      <c r="C230" s="19" t="str">
        <v>Learning</v>
      </c>
      <c r="D230" s="19" t="str">
        <v>Choose sign-in from a course and authenticate.</v>
      </c>
      <c r="E230" s="19" t="str">
        <v>The browser returns to that course.</v>
      </c>
      <c r="F230" s="19" t="str">
        <v>Enrollment sign-in return</v>
      </c>
      <c r="G230" s="19" t="str">
        <v>P1</v>
      </c>
      <c r="H230" s="19" t="str">
        <v>Learner or organizer named in the steps</v>
      </c>
      <c r="I230" s="19" t="str">
        <v>Use prepared QA records and separate accounts. Record the actual URL and build on Run Overview. Prepare the named course state. Enrollment cases require the effective enrollment feature to be enabled.</v>
      </c>
      <c r="J230" s="19" t="str">
        <v>Regression</v>
      </c>
      <c r="K230" s="26"/>
      <c r="L230" s="26"/>
      <c r="M230" s="26"/>
      <c r="N230" s="29"/>
      <c r="O230" s="26"/>
      <c r="P230" s="26"/>
      <c r="Q230" s="26"/>
      <c r="R230" s="19" t="str">
        <v>COURSE_ENROLLMENT_ENABLED for enrollment</v>
      </c>
      <c r="S230" s="27" t="str">
        <v>Not Run</v>
      </c>
      <c r="T230" s="27"/>
      <c r="U230" s="27" t="str">
        <v>Updated</v>
      </c>
    </row>
    <row r="231" ht="64" customHeight="1">
      <c r="A231" s="25" t="str">
        <v>Not Run</v>
      </c>
      <c r="B231" s="24" t="str">
        <v>GO-MAN-230</v>
      </c>
      <c r="C231" s="24" t="str">
        <v>Learning</v>
      </c>
      <c r="D231" s="24" t="str">
        <v>Create a QA account from a course enrollment prompt.</v>
      </c>
      <c r="E231" s="24" t="str">
        <v>The intended course remains the next destination after required account steps.</v>
      </c>
      <c r="F231" s="24" t="str">
        <v>Enrollment signup return</v>
      </c>
      <c r="G231" s="24" t="str">
        <v>P1</v>
      </c>
      <c r="H231" s="24" t="str">
        <v>Learner or organizer named in the steps</v>
      </c>
      <c r="I231" s="24" t="str">
        <v>Use prepared QA records and separate accounts. Record the actual URL and build on Run Overview. Prepare the named course state. Enrollment cases require the effective enrollment feature to be enabled.</v>
      </c>
      <c r="J231" s="24" t="str">
        <v>Regression</v>
      </c>
      <c r="K231" s="26"/>
      <c r="L231" s="26"/>
      <c r="M231" s="26"/>
      <c r="N231" s="29"/>
      <c r="O231" s="26"/>
      <c r="P231" s="26"/>
      <c r="Q231" s="26"/>
      <c r="R231" s="24" t="str">
        <v>COURSE_ENROLLMENT_ENABLED for enrollment</v>
      </c>
      <c r="S231" s="28" t="str">
        <v>Not Run</v>
      </c>
      <c r="T231" s="28"/>
      <c r="U231" s="28" t="str">
        <v>Updated</v>
      </c>
    </row>
    <row r="232" ht="64" customHeight="1">
      <c r="A232" s="25" t="str">
        <v>Not Run</v>
      </c>
      <c r="B232" s="19" t="str">
        <v>GO-MAN-231</v>
      </c>
      <c r="C232" s="19" t="str">
        <v>Learning</v>
      </c>
      <c r="D232" s="19" t="str">
        <v>Use a local course path as the authentication return target.</v>
      </c>
      <c r="E232" s="19" t="str">
        <v>The app returns only to an allowed internal destination.</v>
      </c>
      <c r="F232" s="19" t="str">
        <v>Safe course return URL</v>
      </c>
      <c r="G232" s="19" t="str">
        <v>P1</v>
      </c>
      <c r="H232" s="19" t="str">
        <v>Learner or organizer named in the steps</v>
      </c>
      <c r="I232" s="19" t="str">
        <v>Use prepared QA records and separate accounts. Record the actual URL and build on Run Overview. Prepare the named course state. Enrollment cases require the effective enrollment feature to be enabled.</v>
      </c>
      <c r="J232" s="19" t="str">
        <v>Regression</v>
      </c>
      <c r="K232" s="26"/>
      <c r="L232" s="26"/>
      <c r="M232" s="26"/>
      <c r="N232" s="29"/>
      <c r="O232" s="26"/>
      <c r="P232" s="26"/>
      <c r="Q232" s="26"/>
      <c r="R232" s="19" t="str">
        <v>COURSE_ENROLLMENT_ENABLED for enrollment</v>
      </c>
      <c r="S232" s="27" t="str">
        <v>Not Run</v>
      </c>
      <c r="T232" s="27"/>
      <c r="U232" s="27" t="str">
        <v>Updated</v>
      </c>
    </row>
    <row r="233" ht="64" customHeight="1">
      <c r="A233" s="25" t="str">
        <v>Not Run</v>
      </c>
      <c r="B233" s="24" t="str">
        <v>GO-MAN-232</v>
      </c>
      <c r="C233" s="24" t="str">
        <v>Learning</v>
      </c>
      <c r="D233" s="24" t="str">
        <v>Start enrollment from one of two cohorts and sign in.</v>
      </c>
      <c r="E233" s="24" t="str">
        <v>The original cohort is restored rather than a different course.</v>
      </c>
      <c r="F233" s="24" t="str">
        <v>Exact cohort return</v>
      </c>
      <c r="G233" s="24" t="str">
        <v>P1</v>
      </c>
      <c r="H233" s="24" t="str">
        <v>Learner or organizer named in the steps</v>
      </c>
      <c r="I233" s="24" t="str">
        <v>Use prepared QA records and separate accounts. Record the actual URL and build on Run Overview. Prepare the named course state. Enrollment cases require the effective enrollment feature to be enabled.</v>
      </c>
      <c r="J233" s="24" t="str">
        <v>Regression</v>
      </c>
      <c r="K233" s="26"/>
      <c r="L233" s="26"/>
      <c r="M233" s="26"/>
      <c r="N233" s="29"/>
      <c r="O233" s="26"/>
      <c r="P233" s="26"/>
      <c r="Q233" s="26"/>
      <c r="R233" s="24" t="str">
        <v>COURSE_ENROLLMENT_ENABLED for enrollment</v>
      </c>
      <c r="S233" s="28" t="str">
        <v>Not Run</v>
      </c>
      <c r="T233" s="28"/>
      <c r="U233" s="28" t="str">
        <v>Updated</v>
      </c>
    </row>
    <row r="234" ht="64" customHeight="1">
      <c r="A234" s="25" t="str">
        <v>Not Run</v>
      </c>
      <c r="B234" s="19" t="str">
        <v>GO-MAN-233</v>
      </c>
      <c r="C234" s="19" t="str">
        <v>Learning</v>
      </c>
      <c r="D234" s="19" t="str">
        <v>Sign in from Enroll and continue the enrollment action.</v>
      </c>
      <c r="E234" s="19" t="str">
        <v>The intended cohort and eligibility are rechecked before submission.</v>
      </c>
      <c r="F234" s="19" t="str">
        <v>Resume enrollment after sign-in</v>
      </c>
      <c r="G234" s="19" t="str">
        <v>P1</v>
      </c>
      <c r="H234" s="19" t="str">
        <v>Learner or organizer named in the steps</v>
      </c>
      <c r="I234" s="19" t="str">
        <v>Use prepared QA records and separate accounts. Record the actual URL and build on Run Overview. Prepare the named course state. Enrollment cases require the effective enrollment feature to be enabled.</v>
      </c>
      <c r="J234" s="19" t="str">
        <v>Regression</v>
      </c>
      <c r="K234" s="26"/>
      <c r="L234" s="26"/>
      <c r="M234" s="26"/>
      <c r="N234" s="29"/>
      <c r="O234" s="26"/>
      <c r="P234" s="26"/>
      <c r="Q234" s="26"/>
      <c r="R234" s="19" t="str">
        <v>COURSE_ENROLLMENT_ENABLED for enrollment</v>
      </c>
      <c r="S234" s="27" t="str">
        <v>Not Run</v>
      </c>
      <c r="T234" s="27"/>
      <c r="U234" s="27" t="str">
        <v>Updated</v>
      </c>
    </row>
    <row r="235" ht="64" customHeight="1">
      <c r="A235" s="25" t="str">
        <v>Not Run</v>
      </c>
      <c r="B235" s="24" t="str">
        <v>GO-MAN-234</v>
      </c>
      <c r="C235" s="24" t="str">
        <v>Learning</v>
      </c>
      <c r="D235" s="24" t="str">
        <v>Fill optional fields, trigger validation or an auth refresh and return.</v>
      </c>
      <c r="E235" s="24" t="str">
        <v>Valid supported draft fields remain. Lost fields are clearly identified before final submission.</v>
      </c>
      <c r="F235" s="24" t="str">
        <v>Enrollment input preservation</v>
      </c>
      <c r="G235" s="24" t="str">
        <v>P1</v>
      </c>
      <c r="H235" s="24" t="str">
        <v>Learner or organizer named in the steps</v>
      </c>
      <c r="I235" s="24" t="str">
        <v>Use prepared QA records and separate accounts. Record the actual URL and build on Run Overview. Prepare the named course state. Enrollment cases require the effective enrollment feature to be enabled.</v>
      </c>
      <c r="J235" s="24" t="str">
        <v>Regression</v>
      </c>
      <c r="K235" s="26"/>
      <c r="L235" s="26"/>
      <c r="M235" s="26"/>
      <c r="N235" s="29"/>
      <c r="O235" s="26"/>
      <c r="P235" s="26"/>
      <c r="Q235" s="26"/>
      <c r="R235" s="24" t="str">
        <v>COURSE_ENROLLMENT_ENABLED for enrollment</v>
      </c>
      <c r="S235" s="28" t="str">
        <v>Not Run</v>
      </c>
      <c r="T235" s="28"/>
      <c r="U235" s="28" t="str">
        <v>Updated</v>
      </c>
    </row>
    <row r="236" ht="64" customHeight="1">
      <c r="A236" s="25" t="str">
        <v>Not Run</v>
      </c>
      <c r="B236" s="19" t="str">
        <v>GO-MAN-235</v>
      </c>
      <c r="C236" s="19" t="str">
        <v>Learning</v>
      </c>
      <c r="D236" s="19" t="str">
        <v>Use an external URL in the course sign-in return parameter.</v>
      </c>
      <c r="E236" s="19" t="str">
        <v>The app stays on an allowed internal path and does not redirect externally.</v>
      </c>
      <c r="F236" s="19" t="str">
        <v>Reject external return URL</v>
      </c>
      <c r="G236" s="19" t="str">
        <v>P0</v>
      </c>
      <c r="H236" s="19" t="str">
        <v>Learner or organizer named in the steps</v>
      </c>
      <c r="I236" s="19" t="str">
        <v>Use prepared QA records and separate accounts. Record the actual URL and build on Run Overview. Prepare the named course state. Enrollment cases require the effective enrollment feature to be enabled.</v>
      </c>
      <c r="J236" s="19" t="str">
        <v>Regression</v>
      </c>
      <c r="K236" s="26"/>
      <c r="L236" s="26"/>
      <c r="M236" s="26"/>
      <c r="N236" s="29"/>
      <c r="O236" s="26"/>
      <c r="P236" s="26"/>
      <c r="Q236" s="26"/>
      <c r="R236" s="19" t="str">
        <v>COURSE_ENROLLMENT_ENABLED for enrollment</v>
      </c>
      <c r="S236" s="27" t="str">
        <v>Not Run</v>
      </c>
      <c r="T236" s="27"/>
      <c r="U236" s="27" t="str">
        <v>Updated</v>
      </c>
    </row>
    <row r="237" ht="64" customHeight="1">
      <c r="A237" s="25" t="str">
        <v>Not Run</v>
      </c>
      <c r="B237" s="24" t="str">
        <v>GO-MAN-236</v>
      </c>
      <c r="C237" s="24" t="str">
        <v>Learning</v>
      </c>
      <c r="D237" s="24" t="str">
        <v>With one physical seat left, enroll one eligible user.</v>
      </c>
      <c r="E237" s="24" t="str">
        <v>Exactly one seat is allocated and remaining places become zero.</v>
      </c>
      <c r="F237" s="24" t="str">
        <v>Last available physical seat</v>
      </c>
      <c r="G237" s="24" t="str">
        <v>P1</v>
      </c>
      <c r="H237" s="24" t="str">
        <v>Learner or organizer named in the steps</v>
      </c>
      <c r="I237" s="24" t="str">
        <v>Use prepared QA records and separate accounts. Record the actual URL and build on Run Overview. Prepare the named course state. Enrollment cases require the effective enrollment feature to be enabled.</v>
      </c>
      <c r="J237" s="24" t="str">
        <v>Regression</v>
      </c>
      <c r="K237" s="26"/>
      <c r="L237" s="26"/>
      <c r="M237" s="26"/>
      <c r="N237" s="29"/>
      <c r="O237" s="26"/>
      <c r="P237" s="26"/>
      <c r="Q237" s="26"/>
      <c r="R237" s="24" t="str">
        <v>COURSE_ENROLLMENT_ENABLED for enrollment</v>
      </c>
      <c r="S237" s="28" t="str">
        <v>Not Run</v>
      </c>
      <c r="T237" s="28"/>
      <c r="U237" s="28" t="str">
        <v>Updated</v>
      </c>
    </row>
    <row r="238" ht="64" customHeight="1">
      <c r="A238" s="25" t="str">
        <v>Not Run</v>
      </c>
      <c r="B238" s="19" t="str">
        <v>GO-MAN-237</v>
      </c>
      <c r="C238" s="19" t="str">
        <v>Learning</v>
      </c>
      <c r="D238" s="19" t="str">
        <v>In two browsers with distinct users, submit the final physical place together.</v>
      </c>
      <c r="E238" s="19" t="str">
        <v>At most one is confirmed. The other receives full or waitlist status.</v>
      </c>
      <c r="F238" s="19" t="str">
        <v>Concurrent final-seat attempts</v>
      </c>
      <c r="G238" s="19" t="str">
        <v>P0</v>
      </c>
      <c r="H238" s="19" t="str">
        <v>Learner or organizer named in the steps</v>
      </c>
      <c r="I238" s="19" t="str">
        <v>Use prepared QA records and separate accounts. Record the actual URL and build on Run Overview. Prepare the named course state. Enrollment cases require the effective enrollment feature to be enabled.</v>
      </c>
      <c r="J238" s="19" t="str">
        <v>Regression</v>
      </c>
      <c r="K238" s="26"/>
      <c r="L238" s="26"/>
      <c r="M238" s="26"/>
      <c r="N238" s="29"/>
      <c r="O238" s="26"/>
      <c r="P238" s="26"/>
      <c r="Q238" s="26"/>
      <c r="R238" s="19" t="str">
        <v>COURSE_ENROLLMENT_ENABLED for enrollment</v>
      </c>
      <c r="S238" s="27" t="str">
        <v>Not Run</v>
      </c>
      <c r="T238" s="27"/>
      <c r="U238" s="27" t="str">
        <v>Updated</v>
      </c>
    </row>
    <row r="239" ht="64" customHeight="1">
      <c r="A239" s="25" t="str">
        <v>Not Run</v>
      </c>
      <c r="B239" s="24" t="str">
        <v>GO-MAN-238</v>
      </c>
      <c r="C239" s="24" t="str">
        <v>Learning</v>
      </c>
      <c r="D239" s="24" t="str">
        <v>Repeat full-seat and cancellation attempts, then compare organizer counts.</v>
      </c>
      <c r="E239" s="24" t="str">
        <v>Confirmed physical count stays within capacity and remaining places never becomes negative.</v>
      </c>
      <c r="F239" s="24" t="str">
        <v>Non-negative course capacity</v>
      </c>
      <c r="G239" s="24" t="str">
        <v>P0</v>
      </c>
      <c r="H239" s="24" t="str">
        <v>Learner or organizer named in the steps</v>
      </c>
      <c r="I239" s="24" t="str">
        <v>Use prepared QA records and separate accounts. Record the actual URL and build on Run Overview. Prepare the named course state. Enrollment cases require the effective enrollment feature to be enabled.</v>
      </c>
      <c r="J239" s="24" t="str">
        <v>Regression</v>
      </c>
      <c r="K239" s="26"/>
      <c r="L239" s="26"/>
      <c r="M239" s="26"/>
      <c r="N239" s="29"/>
      <c r="O239" s="26"/>
      <c r="P239" s="26"/>
      <c r="Q239" s="26"/>
      <c r="R239" s="24" t="str">
        <v>COURSE_ENROLLMENT_ENABLED for enrollment</v>
      </c>
      <c r="S239" s="28" t="str">
        <v>Not Run</v>
      </c>
      <c r="T239" s="28"/>
      <c r="U239" s="28" t="str">
        <v>Updated</v>
      </c>
    </row>
    <row r="240" ht="64" customHeight="1">
      <c r="A240" s="25" t="str">
        <v>Not Run</v>
      </c>
      <c r="B240" s="19" t="str">
        <v>GO-MAN-239</v>
      </c>
      <c r="C240" s="19" t="str">
        <v>Learning</v>
      </c>
      <c r="D240" s="19" t="str">
        <v>Join the full course waitlist twice from the same account.</v>
      </c>
      <c r="E240" s="19" t="str">
        <v>Only one waiting record is present.</v>
      </c>
      <c r="F240" s="19" t="str">
        <v>Waitlist uniqueness</v>
      </c>
      <c r="G240" s="19" t="str">
        <v>P1</v>
      </c>
      <c r="H240" s="19" t="str">
        <v>Learner or organizer named in the steps</v>
      </c>
      <c r="I240" s="19" t="str">
        <v>Use prepared QA records and separate accounts. Record the actual URL and build on Run Overview. Prepare the named course state. Enrollment cases require the effective enrollment feature to be enabled.</v>
      </c>
      <c r="J240" s="19" t="str">
        <v>Regression</v>
      </c>
      <c r="K240" s="26"/>
      <c r="L240" s="26"/>
      <c r="M240" s="26"/>
      <c r="N240" s="29"/>
      <c r="O240" s="26"/>
      <c r="P240" s="26"/>
      <c r="Q240" s="26"/>
      <c r="R240" s="19" t="str">
        <v>COURSE_ENROLLMENT_ENABLED for enrollment</v>
      </c>
      <c r="S240" s="27" t="str">
        <v>Not Run</v>
      </c>
      <c r="T240" s="27"/>
      <c r="U240" s="27" t="str">
        <v>Updated</v>
      </c>
    </row>
    <row r="241" ht="64" customHeight="1">
      <c r="A241" s="25" t="str">
        <v>Not Run</v>
      </c>
      <c r="B241" s="24" t="str">
        <v>GO-MAN-240</v>
      </c>
      <c r="C241" s="24" t="str">
        <v>Learning</v>
      </c>
      <c r="D241" s="24" t="str">
        <v>Cancel a prepared confirmed enrollment and refresh both learner and organizer views.</v>
      </c>
      <c r="E241" s="24" t="str">
        <v>Cancellation persists. An occupied physical seat is released once.</v>
      </c>
      <c r="F241" s="24" t="str">
        <v>Cancel enrollment</v>
      </c>
      <c r="G241" s="24" t="str">
        <v>P1</v>
      </c>
      <c r="H241" s="24" t="str">
        <v>Learner or organizer named in the steps</v>
      </c>
      <c r="I241" s="24" t="str">
        <v>Use prepared QA records and separate accounts. Record the actual URL and build on Run Overview. Prepare the named course state. Enrollment cases require the effective enrollment feature to be enabled.</v>
      </c>
      <c r="J241" s="24" t="str">
        <v>Regression</v>
      </c>
      <c r="K241" s="26"/>
      <c r="L241" s="26"/>
      <c r="M241" s="26"/>
      <c r="N241" s="29"/>
      <c r="O241" s="26"/>
      <c r="P241" s="26"/>
      <c r="Q241" s="26"/>
      <c r="R241" s="24" t="str">
        <v>COURSE_ENROLLMENT_ENABLED for enrollment</v>
      </c>
      <c r="S241" s="28" t="str">
        <v>Not Run</v>
      </c>
      <c r="T241" s="28"/>
      <c r="U241" s="28" t="str">
        <v>Updated</v>
      </c>
    </row>
    <row r="242" ht="64" customHeight="1">
      <c r="A242" s="25" t="str">
        <v>Not Run</v>
      </c>
      <c r="B242" s="19" t="str">
        <v>GO-MAN-241</v>
      </c>
      <c r="C242" s="19" t="str">
        <v>Learning</v>
      </c>
      <c r="D242" s="19" t="str">
        <v>Cancel a physical attendee with a waiting learner present.</v>
      </c>
      <c r="E242" s="19" t="str">
        <v>The next eligible waiting learner receives a provisional place according to policy.</v>
      </c>
      <c r="F242" s="19" t="str">
        <v>Waitlist promotion</v>
      </c>
      <c r="G242" s="19" t="str">
        <v>P1</v>
      </c>
      <c r="H242" s="19" t="str">
        <v>Learner or organizer named in the steps</v>
      </c>
      <c r="I242" s="19" t="str">
        <v>Use prepared QA records and separate accounts. Record the actual URL and build on Run Overview. Prepare the named course state. Enrollment cases require the effective enrollment feature to be enabled.</v>
      </c>
      <c r="J242" s="19" t="str">
        <v>Regression</v>
      </c>
      <c r="K242" s="26"/>
      <c r="L242" s="26"/>
      <c r="M242" s="26"/>
      <c r="N242" s="29"/>
      <c r="O242" s="26"/>
      <c r="P242" s="26"/>
      <c r="Q242" s="26"/>
      <c r="R242" s="19" t="str">
        <v>COURSE_ENROLLMENT_ENABLED for enrollment</v>
      </c>
      <c r="S242" s="27" t="str">
        <v>Not Run</v>
      </c>
      <c r="T242" s="27"/>
      <c r="U242" s="27" t="str">
        <v>Updated</v>
      </c>
    </row>
    <row r="243" ht="64" customHeight="1">
      <c r="A243" s="25" t="str">
        <v>Not Run</v>
      </c>
      <c r="B243" s="24" t="str">
        <v>GO-MAN-242</v>
      </c>
      <c r="C243" s="24" t="str">
        <v>Learning</v>
      </c>
      <c r="D243" s="24" t="str">
        <v>Inspect a prepared provisional offer and confirm inside its displayed window.</v>
      </c>
      <c r="E243" s="24" t="str">
        <v>The offer deadline follows configuration, normally 48 hours and capped by enrollment cutoff. Confirmation uses one place.</v>
      </c>
      <c r="F243" s="24" t="str">
        <v>Waitlist confirmation window</v>
      </c>
      <c r="G243" s="24" t="str">
        <v>P1</v>
      </c>
      <c r="H243" s="24" t="str">
        <v>Learner or organizer named in the steps</v>
      </c>
      <c r="I243" s="24" t="str">
        <v>Use prepared QA records and separate accounts. Record the actual URL and build on Run Overview. Prepare the named course state. Enrollment cases require the effective enrollment feature to be enabled.</v>
      </c>
      <c r="J243" s="24" t="str">
        <v>Regression</v>
      </c>
      <c r="K243" s="26"/>
      <c r="L243" s="26"/>
      <c r="M243" s="26"/>
      <c r="N243" s="29"/>
      <c r="O243" s="26"/>
      <c r="P243" s="26"/>
      <c r="Q243" s="26"/>
      <c r="R243" s="24" t="str">
        <v>COURSE_ENROLLMENT_ENABLED for enrollment</v>
      </c>
      <c r="S243" s="28" t="str">
        <v>Not Run</v>
      </c>
      <c r="T243" s="28"/>
      <c r="U243" s="28" t="str">
        <v>Updated</v>
      </c>
    </row>
    <row r="244" ht="64" customHeight="1">
      <c r="A244" s="25" t="str">
        <v>Not Run</v>
      </c>
      <c r="B244" s="19" t="str">
        <v>GO-MAN-243</v>
      </c>
      <c r="C244" s="19" t="str">
        <v>Learning</v>
      </c>
      <c r="D244" s="19" t="str">
        <v>Use an expired provisional offer and try to confirm it.</v>
      </c>
      <c r="E244" s="19" t="str">
        <v>The expired offer cannot take a place. Its state changes after the configured worker processes it.</v>
      </c>
      <c r="F244" s="19" t="str">
        <v>Waitlist offer expiry</v>
      </c>
      <c r="G244" s="19" t="str">
        <v>P1</v>
      </c>
      <c r="H244" s="19" t="str">
        <v>Learner or organizer named in the steps</v>
      </c>
      <c r="I244" s="19" t="str">
        <v>Use prepared QA records and separate accounts. Record the actual URL and build on Run Overview. Prepare the named course state. Enrollment cases require the effective enrollment feature to be enabled.</v>
      </c>
      <c r="J244" s="19" t="str">
        <v>Regression</v>
      </c>
      <c r="K244" s="26"/>
      <c r="L244" s="26"/>
      <c r="M244" s="26"/>
      <c r="N244" s="29"/>
      <c r="O244" s="26"/>
      <c r="P244" s="26"/>
      <c r="Q244" s="26"/>
      <c r="R244" s="19" t="str">
        <v>COURSE_ENROLLMENT_ENABLED for enrollment</v>
      </c>
      <c r="S244" s="27" t="str">
        <v>Not Run</v>
      </c>
      <c r="T244" s="27"/>
      <c r="U244" s="27" t="str">
        <v>Updated</v>
      </c>
    </row>
    <row r="245" ht="64" customHeight="1">
      <c r="A245" s="25" t="str">
        <v>Not Run</v>
      </c>
      <c r="B245" s="24" t="str">
        <v>GO-MAN-244</v>
      </c>
      <c r="C245" s="24" t="str">
        <v>Learning</v>
      </c>
      <c r="D245" s="24" t="str">
        <v>Expire the first offer and process the QA outbox/expiry worker.</v>
      </c>
      <c r="E245" s="24" t="str">
        <v>The next eligible learner is offered the place without increasing physical capacity.</v>
      </c>
      <c r="F245" s="24" t="str">
        <v>Next waitlist learner</v>
      </c>
      <c r="G245" s="24" t="str">
        <v>P1</v>
      </c>
      <c r="H245" s="24" t="str">
        <v>Learner or organizer named in the steps</v>
      </c>
      <c r="I245" s="24" t="str">
        <v>Use prepared QA records and separate accounts. Record the actual URL and build on Run Overview. Prepare the named course state. Enrollment cases require the effective enrollment feature to be enabled.</v>
      </c>
      <c r="J245" s="24" t="str">
        <v>Regression</v>
      </c>
      <c r="K245" s="26"/>
      <c r="L245" s="26"/>
      <c r="M245" s="26"/>
      <c r="N245" s="29"/>
      <c r="O245" s="26"/>
      <c r="P245" s="26"/>
      <c r="Q245" s="26"/>
      <c r="R245" s="24" t="str">
        <v>COURSE_ENROLLMENT_ENABLED for enrollment</v>
      </c>
      <c r="S245" s="28" t="str">
        <v>Not Run</v>
      </c>
      <c r="T245" s="28"/>
      <c r="U245" s="28" t="str">
        <v>Updated</v>
      </c>
    </row>
    <row r="246" ht="64" customHeight="1">
      <c r="A246" s="25" t="str">
        <v>Not Run</v>
      </c>
      <c r="B246" s="19" t="str">
        <v>GO-MAN-245</v>
      </c>
      <c r="C246" s="19" t="str">
        <v>Learning</v>
      </c>
      <c r="D246" s="19" t="str">
        <v>Promote a controlled QA learner with email and notifications configured.</v>
      </c>
      <c r="E246" s="19" t="str">
        <v>Applicable email and in-app notification show the correct course and deadline.</v>
      </c>
      <c r="F246" s="19" t="str">
        <v>Promotion notifications</v>
      </c>
      <c r="G246" s="19" t="str">
        <v>P1</v>
      </c>
      <c r="H246" s="19" t="str">
        <v>Learner or organizer named in the steps</v>
      </c>
      <c r="I246" s="19" t="str">
        <v>Use prepared QA records and separate accounts. Record the actual URL and build on Run Overview. Prepare the named course state. Enrollment cases require the effective enrollment feature to be enabled.</v>
      </c>
      <c r="J246" s="19" t="str">
        <v>Regression</v>
      </c>
      <c r="K246" s="26"/>
      <c r="L246" s="26"/>
      <c r="M246" s="26"/>
      <c r="N246" s="29"/>
      <c r="O246" s="26"/>
      <c r="P246" s="26"/>
      <c r="Q246" s="26"/>
      <c r="R246" s="19" t="str">
        <v>COURSE_ENROLLMENT_ENABLED for enrollment</v>
      </c>
      <c r="S246" s="27" t="str">
        <v>Not Run</v>
      </c>
      <c r="T246" s="27"/>
      <c r="U246" s="27" t="str">
        <v>Updated</v>
      </c>
    </row>
    <row r="247" ht="64" customHeight="1">
      <c r="A247" s="25" t="str">
        <v>Not Run</v>
      </c>
      <c r="B247" s="24" t="str">
        <v>GO-MAN-246</v>
      </c>
      <c r="C247" s="24" t="str">
        <v>Learning</v>
      </c>
      <c r="D247" s="24" t="str">
        <v>Cancel a prepared course as organizer/admin. Refresh participant views.</v>
      </c>
      <c r="E247" s="24" t="str">
        <v>Course cancellation persists, new enrollment stops and applicable notices are queued.</v>
      </c>
      <c r="F247" s="24" t="str">
        <v>Organizer course cancellation</v>
      </c>
      <c r="G247" s="24" t="str">
        <v>P1</v>
      </c>
      <c r="H247" s="24" t="str">
        <v>Learner or organizer named in the steps</v>
      </c>
      <c r="I247" s="24" t="str">
        <v>Use prepared QA records and separate accounts. Record the actual URL and build on Run Overview. Prepare the named course state. Enrollment cases require the effective enrollment feature to be enabled.</v>
      </c>
      <c r="J247" s="24" t="str">
        <v>Regression</v>
      </c>
      <c r="K247" s="26"/>
      <c r="L247" s="26"/>
      <c r="M247" s="26"/>
      <c r="N247" s="29"/>
      <c r="O247" s="26"/>
      <c r="P247" s="26"/>
      <c r="Q247" s="26"/>
      <c r="R247" s="24" t="str">
        <v>COURSE_ENROLLMENT_ENABLED for enrollment</v>
      </c>
      <c r="S247" s="28" t="str">
        <v>Not Run</v>
      </c>
      <c r="T247" s="28"/>
      <c r="U247" s="28" t="str">
        <v>Updated</v>
      </c>
    </row>
    <row r="248" ht="64" customHeight="1">
      <c r="A248" s="25" t="str">
        <v>Not Run</v>
      </c>
      <c r="B248" s="19" t="str">
        <v>GO-MAN-247</v>
      </c>
      <c r="C248" s="19" t="str">
        <v>Learning</v>
      </c>
      <c r="D248" s="19" t="str">
        <v>Open /education/{slug}/participants as admin.</v>
      </c>
      <c r="E248" s="19" t="str">
        <v>Only the selected course’s enrollment records and authorized controls appear.</v>
      </c>
      <c r="F248" s="19" t="str">
        <v>Admin participant list</v>
      </c>
      <c r="G248" s="19" t="str">
        <v>P0</v>
      </c>
      <c r="H248" s="19" t="str">
        <v>Learner or organizer named in the steps</v>
      </c>
      <c r="I248" s="19" t="str">
        <v>Use prepared QA records and separate accounts. Record the actual URL and build on Run Overview. Prepare the named course state. Enrollment cases require the effective enrollment feature to be enabled.</v>
      </c>
      <c r="J248" s="19" t="str">
        <v>Regression</v>
      </c>
      <c r="K248" s="26"/>
      <c r="L248" s="26"/>
      <c r="M248" s="26"/>
      <c r="N248" s="29"/>
      <c r="O248" s="26"/>
      <c r="P248" s="26"/>
      <c r="Q248" s="26"/>
      <c r="R248" s="19" t="str">
        <v>COURSE_ENROLLMENT_ENABLED for enrollment</v>
      </c>
      <c r="S248" s="27" t="str">
        <v>Not Run</v>
      </c>
      <c r="T248" s="27"/>
      <c r="U248" s="27" t="str">
        <v>Updated</v>
      </c>
    </row>
    <row r="249" ht="64" customHeight="1">
      <c r="A249" s="25" t="str">
        <v>Not Run</v>
      </c>
      <c r="B249" s="24" t="str">
        <v>GO-MAN-248</v>
      </c>
      <c r="C249" s="24" t="str">
        <v>Learning</v>
      </c>
      <c r="D249" s="24" t="str">
        <v>Open the participant page as the assigned approved instructor.</v>
      </c>
      <c r="E249" s="24" t="str">
        <v>The instructor can manage the assigned course without unrelated admin access.</v>
      </c>
      <c r="F249" s="24" t="str">
        <v>Assigned instructor participants</v>
      </c>
      <c r="G249" s="24" t="str">
        <v>P1</v>
      </c>
      <c r="H249" s="24" t="str">
        <v>Learner or organizer named in the steps</v>
      </c>
      <c r="I249" s="24" t="str">
        <v>Use prepared QA records and separate accounts. Record the actual URL and build on Run Overview. Prepare the named course state. Enrollment cases require the effective enrollment feature to be enabled.</v>
      </c>
      <c r="J249" s="24" t="str">
        <v>Regression</v>
      </c>
      <c r="K249" s="26"/>
      <c r="L249" s="26"/>
      <c r="M249" s="26"/>
      <c r="N249" s="29"/>
      <c r="O249" s="26"/>
      <c r="P249" s="26"/>
      <c r="Q249" s="26"/>
      <c r="R249" s="24" t="str">
        <v>COURSE_ENROLLMENT_ENABLED for enrollment</v>
      </c>
      <c r="S249" s="28" t="str">
        <v>Not Run</v>
      </c>
      <c r="T249" s="28"/>
      <c r="U249" s="28" t="str">
        <v>Updated</v>
      </c>
    </row>
    <row r="250" ht="64" customHeight="1">
      <c r="A250" s="25" t="str">
        <v>Not Run</v>
      </c>
      <c r="B250" s="19" t="str">
        <v>GO-MAN-249</v>
      </c>
      <c r="C250" s="19" t="str">
        <v>Learning</v>
      </c>
      <c r="D250" s="19" t="str">
        <v>Open another instructor’s participant page and its direct API.</v>
      </c>
      <c r="E250" s="19" t="str">
        <v>Participant data and mutations are denied.</v>
      </c>
      <c r="F250" s="19" t="str">
        <v>Unrelated instructor denied</v>
      </c>
      <c r="G250" s="19" t="str">
        <v>P0</v>
      </c>
      <c r="H250" s="19" t="str">
        <v>Learner or organizer named in the steps</v>
      </c>
      <c r="I250" s="19" t="str">
        <v>Use prepared QA records and separate accounts. Record the actual URL and build on Run Overview. Prepare the named course state. Enrollment cases require the effective enrollment feature to be enabled.</v>
      </c>
      <c r="J250" s="19" t="str">
        <v>Regression</v>
      </c>
      <c r="K250" s="26"/>
      <c r="L250" s="26"/>
      <c r="M250" s="26"/>
      <c r="N250" s="29"/>
      <c r="O250" s="26"/>
      <c r="P250" s="26"/>
      <c r="Q250" s="26"/>
      <c r="R250" s="19" t="str">
        <v>COURSE_ENROLLMENT_ENABLED for enrollment</v>
      </c>
      <c r="S250" s="27" t="str">
        <v>Not Run</v>
      </c>
      <c r="T250" s="27"/>
      <c r="U250" s="27" t="str">
        <v>Updated</v>
      </c>
    </row>
    <row r="251" ht="64" customHeight="1">
      <c r="A251" s="25" t="str">
        <v>Not Run</v>
      </c>
      <c r="B251" s="24" t="str">
        <v>GO-MAN-250</v>
      </c>
      <c r="C251" s="24" t="str">
        <v>Learning</v>
      </c>
      <c r="D251" s="24" t="str">
        <v>Filter the organizer list by confirmed, waiting and canceled status.</v>
      </c>
      <c r="E251" s="24" t="str">
        <v>Only matching rows appear and clearing filters restores the list.</v>
      </c>
      <c r="F251" s="24" t="str">
        <v>Participant filtering</v>
      </c>
      <c r="G251" s="24" t="str">
        <v>P1</v>
      </c>
      <c r="H251" s="24" t="str">
        <v>Learner or organizer named in the steps</v>
      </c>
      <c r="I251" s="24" t="str">
        <v>Use prepared QA records and separate accounts. Record the actual URL and build on Run Overview. Prepare the named course state. Enrollment cases require the effective enrollment feature to be enabled.</v>
      </c>
      <c r="J251" s="24" t="str">
        <v>Regression</v>
      </c>
      <c r="K251" s="26"/>
      <c r="L251" s="26"/>
      <c r="M251" s="26"/>
      <c r="N251" s="29"/>
      <c r="O251" s="26"/>
      <c r="P251" s="26"/>
      <c r="Q251" s="26"/>
      <c r="R251" s="24" t="str">
        <v>COURSE_ENROLLMENT_ENABLED for enrollment</v>
      </c>
      <c r="S251" s="28" t="str">
        <v>Not Run</v>
      </c>
      <c r="T251" s="28"/>
      <c r="U251" s="28" t="str">
        <v>Updated</v>
      </c>
    </row>
    <row r="252" ht="64" customHeight="1">
      <c r="A252" s="25" t="str">
        <v>Not Run</v>
      </c>
      <c r="B252" s="19" t="str">
        <v>GO-MAN-251</v>
      </c>
      <c r="C252" s="19" t="str">
        <v>Learning</v>
      </c>
      <c r="D252" s="19" t="str">
        <v>Mark a prepared confirmed learner attended, then refresh.</v>
      </c>
      <c r="E252" s="19" t="str">
        <v>Organizer-confirmed attendance persists and is distinct from RSVP.</v>
      </c>
      <c r="F252" s="19" t="str">
        <v>Attendance confirmation</v>
      </c>
      <c r="G252" s="19" t="str">
        <v>P1</v>
      </c>
      <c r="H252" s="19" t="str">
        <v>Learner or organizer named in the steps</v>
      </c>
      <c r="I252" s="19" t="str">
        <v>Use prepared QA records and separate accounts. Record the actual URL and build on Run Overview. Prepare the named course state. Enrollment cases require the effective enrollment feature to be enabled.</v>
      </c>
      <c r="J252" s="19" t="str">
        <v>Regression</v>
      </c>
      <c r="K252" s="26"/>
      <c r="L252" s="26"/>
      <c r="M252" s="26"/>
      <c r="N252" s="29"/>
      <c r="O252" s="26"/>
      <c r="P252" s="26"/>
      <c r="Q252" s="26"/>
      <c r="R252" s="19" t="str">
        <v>COURSE_ENROLLMENT_ENABLED for enrollment</v>
      </c>
      <c r="S252" s="27" t="str">
        <v>Not Run</v>
      </c>
      <c r="T252" s="27"/>
      <c r="U252" s="27" t="str">
        <v>Updated</v>
      </c>
    </row>
    <row r="253" ht="64" customHeight="1">
      <c r="A253" s="25" t="str">
        <v>Not Run</v>
      </c>
      <c r="B253" s="24" t="str">
        <v>GO-MAN-252</v>
      </c>
      <c r="C253" s="24" t="str">
        <v>Learning</v>
      </c>
      <c r="D253" s="24" t="str">
        <v>Mark a learner did_not_attend in the organizer view.</v>
      </c>
      <c r="E253" s="24" t="str">
        <v>The recorded absence persists without awarding attendance or completion.</v>
      </c>
      <c r="F253" s="24" t="str">
        <v>Did not attend</v>
      </c>
      <c r="G253" s="24" t="str">
        <v>P1</v>
      </c>
      <c r="H253" s="24" t="str">
        <v>Learner or organizer named in the steps</v>
      </c>
      <c r="I253" s="24" t="str">
        <v>Use prepared QA records and separate accounts. Record the actual URL and build on Run Overview. Prepare the named course state. Enrollment cases require the effective enrollment feature to be enabled.</v>
      </c>
      <c r="J253" s="24" t="str">
        <v>Regression</v>
      </c>
      <c r="K253" s="26"/>
      <c r="L253" s="26"/>
      <c r="M253" s="26"/>
      <c r="N253" s="29"/>
      <c r="O253" s="26"/>
      <c r="P253" s="26"/>
      <c r="Q253" s="26"/>
      <c r="R253" s="24" t="str">
        <v>COURSE_ENROLLMENT_ENABLED for enrollment</v>
      </c>
      <c r="S253" s="28" t="str">
        <v>Not Run</v>
      </c>
      <c r="T253" s="28"/>
      <c r="U253" s="28" t="str">
        <v>Updated</v>
      </c>
    </row>
    <row r="254" ht="64" customHeight="1">
      <c r="A254" s="25" t="str">
        <v>Not Run</v>
      </c>
      <c r="B254" s="19" t="str">
        <v>GO-MAN-253</v>
      </c>
      <c r="C254" s="19" t="str">
        <v>Learning</v>
      </c>
      <c r="D254" s="19" t="str">
        <v>Record an authorized completion and refresh learner view.</v>
      </c>
      <c r="E254" s="19" t="str">
        <v>Completion changes only the selected participant and follows the course’s assessment requirements.</v>
      </c>
      <c r="F254" s="19" t="str">
        <v>Course completion update</v>
      </c>
      <c r="G254" s="19" t="str">
        <v>P1</v>
      </c>
      <c r="H254" s="19" t="str">
        <v>Learner or organizer named in the steps</v>
      </c>
      <c r="I254" s="19" t="str">
        <v>Use prepared QA records and separate accounts. Record the actual URL and build on Run Overview. Prepare the named course state. Enrollment cases require the effective enrollment feature to be enabled.</v>
      </c>
      <c r="J254" s="19" t="str">
        <v>Regression</v>
      </c>
      <c r="K254" s="26"/>
      <c r="L254" s="26"/>
      <c r="M254" s="26"/>
      <c r="N254" s="29"/>
      <c r="O254" s="26"/>
      <c r="P254" s="26"/>
      <c r="Q254" s="26"/>
      <c r="R254" s="19" t="str">
        <v>COURSE_ENROLLMENT_ENABLED for enrollment</v>
      </c>
      <c r="S254" s="27" t="str">
        <v>Not Run</v>
      </c>
      <c r="T254" s="27"/>
      <c r="U254" s="27" t="str">
        <v>Updated</v>
      </c>
    </row>
    <row r="255" ht="64" customHeight="1">
      <c r="A255" s="25" t="str">
        <v>Not Run</v>
      </c>
      <c r="B255" s="24" t="str">
        <v>GO-MAN-254</v>
      </c>
      <c r="C255" s="24" t="str">
        <v>Learning</v>
      </c>
      <c r="D255" s="24" t="str">
        <v>Cancel an own enrollment, then try the same action against another learner’s ID.</v>
      </c>
      <c r="E255" s="24" t="str">
        <v>Own cancellation works. Another learner’s record remains unchanged.</v>
      </c>
      <c r="F255" s="24" t="str">
        <v>Learner self-cancellation</v>
      </c>
      <c r="G255" s="24" t="str">
        <v>P1</v>
      </c>
      <c r="H255" s="24" t="str">
        <v>Learner or organizer named in the steps</v>
      </c>
      <c r="I255" s="24" t="str">
        <v>Use prepared QA records and separate accounts. Record the actual URL and build on Run Overview. Prepare the named course state. Enrollment cases require the effective enrollment feature to be enabled.</v>
      </c>
      <c r="J255" s="24" t="str">
        <v>Regression</v>
      </c>
      <c r="K255" s="26"/>
      <c r="L255" s="26"/>
      <c r="M255" s="26"/>
      <c r="N255" s="29"/>
      <c r="O255" s="26"/>
      <c r="P255" s="26"/>
      <c r="Q255" s="26"/>
      <c r="R255" s="24" t="str">
        <v>COURSE_ENROLLMENT_ENABLED for enrollment</v>
      </c>
      <c r="S255" s="28" t="str">
        <v>Not Run</v>
      </c>
      <c r="T255" s="28"/>
      <c r="U255" s="28" t="str">
        <v>Updated</v>
      </c>
    </row>
    <row r="256" ht="64" customHeight="1">
      <c r="A256" s="25" t="str">
        <v>Not Run</v>
      </c>
      <c r="B256" s="19" t="str">
        <v>GO-MAN-255</v>
      </c>
      <c r="C256" s="19" t="str">
        <v>Learning</v>
      </c>
      <c r="D256" s="19" t="str">
        <v>Try cancellation before and after a prepared configured cutoff.</v>
      </c>
      <c r="E256" s="19" t="str">
        <v>The allowed path follows policy and a closed action explains the restriction.</v>
      </c>
      <c r="F256" s="19" t="str">
        <v>Cancellation deadline</v>
      </c>
      <c r="G256" s="19" t="str">
        <v>P1</v>
      </c>
      <c r="H256" s="19" t="str">
        <v>Learner or organizer named in the steps</v>
      </c>
      <c r="I256" s="19" t="str">
        <v>Use prepared QA records and separate accounts. Record the actual URL and build on Run Overview. Prepare the named course state. Enrollment cases require the effective enrollment feature to be enabled.</v>
      </c>
      <c r="J256" s="19" t="str">
        <v>Regression</v>
      </c>
      <c r="K256" s="26"/>
      <c r="L256" s="26"/>
      <c r="M256" s="26"/>
      <c r="N256" s="29"/>
      <c r="O256" s="26"/>
      <c r="P256" s="26"/>
      <c r="Q256" s="26"/>
      <c r="R256" s="19" t="str">
        <v>COURSE_ENROLLMENT_ENABLED for enrollment</v>
      </c>
      <c r="S256" s="27" t="str">
        <v>Not Run</v>
      </c>
      <c r="T256" s="27"/>
      <c r="U256" s="27" t="str">
        <v>Updated</v>
      </c>
    </row>
    <row r="257" ht="64" customHeight="1">
      <c r="A257" s="25" t="str">
        <v>Not Run</v>
      </c>
      <c r="B257" s="24" t="str">
        <v>GO-MAN-256</v>
      </c>
      <c r="C257" s="24" t="str">
        <v>Learning</v>
      </c>
      <c r="D257" s="24" t="str">
        <v>Enter accommodation notes and compare learner, organizer and visitor responses.</v>
      </c>
      <c r="E257" s="24" t="str">
        <v>Only authorized reviewers receive private accommodation data.</v>
      </c>
      <c r="F257" s="24" t="str">
        <v>Accommodation privacy</v>
      </c>
      <c r="G257" s="24" t="str">
        <v>P1</v>
      </c>
      <c r="H257" s="24" t="str">
        <v>Learner or organizer named in the steps</v>
      </c>
      <c r="I257" s="24" t="str">
        <v>Use prepared QA records and separate accounts. Record the actual URL and build on Run Overview. Prepare the named course state. Enrollment cases require the effective enrollment feature to be enabled.</v>
      </c>
      <c r="J257" s="24" t="str">
        <v>Regression</v>
      </c>
      <c r="K257" s="26"/>
      <c r="L257" s="26"/>
      <c r="M257" s="26"/>
      <c r="N257" s="29"/>
      <c r="O257" s="26"/>
      <c r="P257" s="26"/>
      <c r="Q257" s="26"/>
      <c r="R257" s="24" t="str">
        <v>COURSE_ENROLLMENT_ENABLED for enrollment</v>
      </c>
      <c r="S257" s="28" t="str">
        <v>Not Run</v>
      </c>
      <c r="T257" s="28"/>
      <c r="U257" s="28" t="str">
        <v>Updated</v>
      </c>
    </row>
    <row r="258" ht="64" customHeight="1">
      <c r="A258" s="25" t="str">
        <v>Not Run</v>
      </c>
      <c r="B258" s="19" t="str">
        <v>GO-MAN-257</v>
      </c>
      <c r="C258" s="19" t="str">
        <v>Learning</v>
      </c>
      <c r="D258" s="19" t="str">
        <v>Open public course pages and network payloads as visitor and another participant.</v>
      </c>
      <c r="E258" s="19" t="str">
        <v>Other participants’ email addresses are absent.</v>
      </c>
      <c r="F258" s="19" t="str">
        <v>Participant email privacy</v>
      </c>
      <c r="G258" s="19" t="str">
        <v>P1</v>
      </c>
      <c r="H258" s="19" t="str">
        <v>Learner or organizer named in the steps</v>
      </c>
      <c r="I258" s="19" t="str">
        <v>Use prepared QA records and separate accounts. Record the actual URL and build on Run Overview. Prepare the named course state. Enrollment cases require the effective enrollment feature to be enabled.</v>
      </c>
      <c r="J258" s="19" t="str">
        <v>Regression</v>
      </c>
      <c r="K258" s="26"/>
      <c r="L258" s="26"/>
      <c r="M258" s="26"/>
      <c r="N258" s="29"/>
      <c r="O258" s="26"/>
      <c r="P258" s="26"/>
      <c r="Q258" s="26"/>
      <c r="R258" s="19" t="str">
        <v>COURSE_ENROLLMENT_ENABLED for enrollment</v>
      </c>
      <c r="S258" s="27" t="str">
        <v>Not Run</v>
      </c>
      <c r="T258" s="27"/>
      <c r="U258" s="27" t="str">
        <v>Updated</v>
      </c>
    </row>
    <row r="259" ht="64" customHeight="1">
      <c r="A259" s="25" t="str">
        <v>Not Run</v>
      </c>
      <c r="B259" s="24" t="str">
        <v>GO-MAN-258</v>
      </c>
      <c r="C259" s="24" t="str">
        <v>Notifications</v>
      </c>
      <c r="D259" s="24" t="str">
        <v>Open the notification panel as a user with prepared records.</v>
      </c>
      <c r="E259" s="24" t="str">
        <v>Only that user’s notifications appear, with clear empty/loading states.</v>
      </c>
      <c r="F259" s="24" t="str">
        <v>Notification center</v>
      </c>
      <c r="G259" s="24" t="str">
        <v>P1</v>
      </c>
      <c r="H259" s="24" t="str">
        <v>Notification recipient or authorized sender</v>
      </c>
      <c r="I259" s="24" t="str">
        <v>Use prepared QA records and separate accounts. Record the actual URL and build on Run Overview. USER_NOTIFICATIONS_ENABLED on. Use only controlled QA recipients for delivery.</v>
      </c>
      <c r="J259" s="24" t="str">
        <v>Regression</v>
      </c>
      <c r="K259" s="26"/>
      <c r="L259" s="26"/>
      <c r="M259" s="26"/>
      <c r="N259" s="29"/>
      <c r="O259" s="26"/>
      <c r="P259" s="26"/>
      <c r="Q259" s="26"/>
      <c r="R259" s="24" t="str">
        <v>USER_NOTIFICATIONS_ENABLED</v>
      </c>
      <c r="S259" s="28" t="str">
        <v>Not Run</v>
      </c>
      <c r="T259" s="28"/>
      <c r="U259" s="28" t="str">
        <v>Updated</v>
      </c>
    </row>
    <row r="260" ht="64" customHeight="1">
      <c r="A260" s="25" t="str">
        <v>Not Run</v>
      </c>
      <c r="B260" s="19" t="str">
        <v>GO-MAN-259</v>
      </c>
      <c r="C260" s="19" t="str">
        <v>Notifications</v>
      </c>
      <c r="D260" s="19" t="str">
        <v>Compare the bell count with prepared unread records.</v>
      </c>
      <c r="E260" s="19" t="str">
        <v>The displayed count matches unread items and updates after reading.</v>
      </c>
      <c r="F260" s="19" t="str">
        <v>Unread count</v>
      </c>
      <c r="G260" s="19" t="str">
        <v>P1</v>
      </c>
      <c r="H260" s="19" t="str">
        <v>Notification recipient or authorized sender</v>
      </c>
      <c r="I260" s="19" t="str">
        <v>Use prepared QA records and separate accounts. Record the actual URL and build on Run Overview. USER_NOTIFICATIONS_ENABLED on. Use only controlled QA recipients for delivery.</v>
      </c>
      <c r="J260" s="19" t="str">
        <v>Regression</v>
      </c>
      <c r="K260" s="26"/>
      <c r="L260" s="26"/>
      <c r="M260" s="26"/>
      <c r="N260" s="29"/>
      <c r="O260" s="26"/>
      <c r="P260" s="26"/>
      <c r="Q260" s="26"/>
      <c r="R260" s="19" t="str">
        <v>USER_NOTIFICATIONS_ENABLED</v>
      </c>
      <c r="S260" s="27" t="str">
        <v>Not Run</v>
      </c>
      <c r="T260" s="27"/>
      <c r="U260" s="27" t="str">
        <v>Updated</v>
      </c>
    </row>
    <row r="261" ht="64" customHeight="1">
      <c r="A261" s="25" t="str">
        <v>Not Run</v>
      </c>
      <c r="B261" s="24" t="str">
        <v>GO-MAN-260</v>
      </c>
      <c r="C261" s="24" t="str">
        <v>Notifications</v>
      </c>
      <c r="D261" s="24" t="str">
        <v>Open an unread notification and refresh.</v>
      </c>
      <c r="E261" s="24" t="str">
        <v>Only that item becomes read and the count updates once.</v>
      </c>
      <c r="F261" s="24" t="str">
        <v>Read one notification</v>
      </c>
      <c r="G261" s="24" t="str">
        <v>P1</v>
      </c>
      <c r="H261" s="24" t="str">
        <v>Notification recipient or authorized sender</v>
      </c>
      <c r="I261" s="24" t="str">
        <v>Use prepared QA records and separate accounts. Record the actual URL and build on Run Overview. USER_NOTIFICATIONS_ENABLED on. Use only controlled QA recipients for delivery.</v>
      </c>
      <c r="J261" s="24" t="str">
        <v>Regression</v>
      </c>
      <c r="K261" s="26"/>
      <c r="L261" s="26"/>
      <c r="M261" s="26"/>
      <c r="N261" s="29"/>
      <c r="O261" s="26"/>
      <c r="P261" s="26"/>
      <c r="Q261" s="26"/>
      <c r="R261" s="24" t="str">
        <v>USER_NOTIFICATIONS_ENABLED</v>
      </c>
      <c r="S261" s="28" t="str">
        <v>Not Run</v>
      </c>
      <c r="T261" s="28"/>
      <c r="U261" s="28" t="str">
        <v>Updated</v>
      </c>
    </row>
    <row r="262" ht="64" customHeight="1">
      <c r="A262" s="25" t="str">
        <v>Not Run</v>
      </c>
      <c r="B262" s="19" t="str">
        <v>GO-MAN-261</v>
      </c>
      <c r="C262" s="19" t="str">
        <v>Notifications</v>
      </c>
      <c r="D262" s="19" t="str">
        <v>Use Mark all read if offered and refresh.</v>
      </c>
      <c r="E262" s="19" t="str">
        <v>All own unread items become read. Another user’s records do not change.</v>
      </c>
      <c r="F262" s="19" t="str">
        <v>Read all notifications</v>
      </c>
      <c r="G262" s="19" t="str">
        <v>P1</v>
      </c>
      <c r="H262" s="19" t="str">
        <v>Notification recipient or authorized sender</v>
      </c>
      <c r="I262" s="19" t="str">
        <v>Use prepared QA records and separate accounts. Record the actual URL and build on Run Overview. USER_NOTIFICATIONS_ENABLED on. Use only controlled QA recipients for delivery.</v>
      </c>
      <c r="J262" s="19" t="str">
        <v>Regression</v>
      </c>
      <c r="K262" s="26"/>
      <c r="L262" s="26"/>
      <c r="M262" s="26"/>
      <c r="N262" s="29"/>
      <c r="O262" s="26"/>
      <c r="P262" s="26"/>
      <c r="Q262" s="26"/>
      <c r="R262" s="19" t="str">
        <v>USER_NOTIFICATIONS_ENABLED</v>
      </c>
      <c r="S262" s="27" t="str">
        <v>Not Run</v>
      </c>
      <c r="T262" s="27"/>
      <c r="U262" s="27" t="str">
        <v>Updated</v>
      </c>
    </row>
    <row r="263" ht="64" customHeight="1">
      <c r="A263" s="25" t="str">
        <v>Not Run</v>
      </c>
      <c r="B263" s="24" t="str">
        <v>GO-MAN-262</v>
      </c>
      <c r="C263" s="24" t="str">
        <v>Notifications</v>
      </c>
      <c r="D263" s="24" t="str">
        <v>Activate a notification linked to a course or mentorship.</v>
      </c>
      <c r="E263" s="24" t="str">
        <v>It opens the exact authorized destination and handles missing/deleted content clearly.</v>
      </c>
      <c r="F263" s="24" t="str">
        <v>Notification destination</v>
      </c>
      <c r="G263" s="24" t="str">
        <v>P1</v>
      </c>
      <c r="H263" s="24" t="str">
        <v>Notification recipient or authorized sender</v>
      </c>
      <c r="I263" s="24" t="str">
        <v>Use prepared QA records and separate accounts. Record the actual URL and build on Run Overview. USER_NOTIFICATIONS_ENABLED on. Use only controlled QA recipients for delivery.</v>
      </c>
      <c r="J263" s="24" t="str">
        <v>Regression</v>
      </c>
      <c r="K263" s="26"/>
      <c r="L263" s="26"/>
      <c r="M263" s="26"/>
      <c r="N263" s="29"/>
      <c r="O263" s="26"/>
      <c r="P263" s="26"/>
      <c r="Q263" s="26"/>
      <c r="R263" s="24" t="str">
        <v>USER_NOTIFICATIONS_ENABLED</v>
      </c>
      <c r="S263" s="28" t="str">
        <v>Not Run</v>
      </c>
      <c r="T263" s="28"/>
      <c r="U263" s="28" t="str">
        <v>Updated</v>
      </c>
    </row>
    <row r="264" ht="64" customHeight="1">
      <c r="A264" s="25" t="str">
        <v>Not Run</v>
      </c>
      <c r="B264" s="19" t="str">
        <v>GO-MAN-263</v>
      </c>
      <c r="C264" s="19" t="str">
        <v>Notifications</v>
      </c>
      <c r="D264" s="19" t="str">
        <v>Trigger one prepared course enrollment event in QA and inspect the intended recipient’s panel.</v>
      </c>
      <c r="E264" s="19" t="str">
        <v>Only the intended account receives the applicable event and correct destination. No private details reach unrelated users.</v>
      </c>
      <c r="F264" s="19" t="str">
        <v>Course enrollment notification</v>
      </c>
      <c r="G264" s="19" t="str">
        <v>P1</v>
      </c>
      <c r="H264" s="19" t="str">
        <v>Notification recipient or authorized sender</v>
      </c>
      <c r="I264" s="19" t="str">
        <v>Use prepared QA records and separate accounts. Record the actual URL and build on Run Overview. USER_NOTIFICATIONS_ENABLED on. Use only controlled QA recipients for delivery.</v>
      </c>
      <c r="J264" s="19" t="str">
        <v>Regression</v>
      </c>
      <c r="K264" s="26"/>
      <c r="L264" s="26"/>
      <c r="M264" s="26"/>
      <c r="N264" s="29"/>
      <c r="O264" s="26"/>
      <c r="P264" s="26"/>
      <c r="Q264" s="26"/>
      <c r="R264" s="19" t="str">
        <v>USER_NOTIFICATIONS_ENABLED</v>
      </c>
      <c r="S264" s="27" t="str">
        <v>Not Run</v>
      </c>
      <c r="T264" s="27"/>
      <c r="U264" s="27" t="str">
        <v>Updated</v>
      </c>
    </row>
    <row r="265" ht="64" customHeight="1">
      <c r="A265" s="25" t="str">
        <v>Not Run</v>
      </c>
      <c r="B265" s="24" t="str">
        <v>GO-MAN-264</v>
      </c>
      <c r="C265" s="24" t="str">
        <v>Notifications</v>
      </c>
      <c r="D265" s="24" t="str">
        <v>Trigger one prepared course update event in QA and inspect the intended recipient’s panel.</v>
      </c>
      <c r="E265" s="24" t="str">
        <v>Only the intended account receives the applicable event and correct destination. No private details reach unrelated users.</v>
      </c>
      <c r="F265" s="24" t="str">
        <v>Course update notification</v>
      </c>
      <c r="G265" s="24" t="str">
        <v>P1</v>
      </c>
      <c r="H265" s="24" t="str">
        <v>Notification recipient or authorized sender</v>
      </c>
      <c r="I265" s="24" t="str">
        <v>Use prepared QA records and separate accounts. Record the actual URL and build on Run Overview. USER_NOTIFICATIONS_ENABLED on. Use only controlled QA recipients for delivery.</v>
      </c>
      <c r="J265" s="24" t="str">
        <v>Regression</v>
      </c>
      <c r="K265" s="26"/>
      <c r="L265" s="26"/>
      <c r="M265" s="26"/>
      <c r="N265" s="29"/>
      <c r="O265" s="26"/>
      <c r="P265" s="26"/>
      <c r="Q265" s="26"/>
      <c r="R265" s="24" t="str">
        <v>USER_NOTIFICATIONS_ENABLED</v>
      </c>
      <c r="S265" s="28" t="str">
        <v>Not Run</v>
      </c>
      <c r="T265" s="28"/>
      <c r="U265" s="28" t="str">
        <v>Updated</v>
      </c>
    </row>
    <row r="266" ht="64" customHeight="1">
      <c r="A266" s="25" t="str">
        <v>Not Run</v>
      </c>
      <c r="B266" s="19" t="str">
        <v>GO-MAN-265</v>
      </c>
      <c r="C266" s="19" t="str">
        <v>Notifications</v>
      </c>
      <c r="D266" s="19" t="str">
        <v>Trigger one prepared waitlist promotion event in QA and inspect the intended recipient’s panel.</v>
      </c>
      <c r="E266" s="19" t="str">
        <v>Only the intended account receives the applicable event and correct destination. No private details reach unrelated users.</v>
      </c>
      <c r="F266" s="19" t="str">
        <v>Waitlist promotion notification</v>
      </c>
      <c r="G266" s="19" t="str">
        <v>P1</v>
      </c>
      <c r="H266" s="19" t="str">
        <v>Notification recipient or authorized sender</v>
      </c>
      <c r="I266" s="19" t="str">
        <v>Use prepared QA records and separate accounts. Record the actual URL and build on Run Overview. USER_NOTIFICATIONS_ENABLED on. Use only controlled QA recipients for delivery.</v>
      </c>
      <c r="J266" s="19" t="str">
        <v>Regression</v>
      </c>
      <c r="K266" s="26"/>
      <c r="L266" s="26"/>
      <c r="M266" s="26"/>
      <c r="N266" s="29"/>
      <c r="O266" s="26"/>
      <c r="P266" s="26"/>
      <c r="Q266" s="26"/>
      <c r="R266" s="19" t="str">
        <v>USER_NOTIFICATIONS_ENABLED</v>
      </c>
      <c r="S266" s="27" t="str">
        <v>Not Run</v>
      </c>
      <c r="T266" s="27"/>
      <c r="U266" s="27" t="str">
        <v>Updated</v>
      </c>
    </row>
    <row r="267" ht="64" customHeight="1">
      <c r="A267" s="25" t="str">
        <v>Not Run</v>
      </c>
      <c r="B267" s="24" t="str">
        <v>GO-MAN-266</v>
      </c>
      <c r="C267" s="24" t="str">
        <v>Notifications</v>
      </c>
      <c r="D267" s="24" t="str">
        <v>Trigger one prepared course cancellation event in QA and inspect the intended recipient’s panel.</v>
      </c>
      <c r="E267" s="24" t="str">
        <v>Only the intended account receives the applicable event and correct destination. No private details reach unrelated users.</v>
      </c>
      <c r="F267" s="24" t="str">
        <v>Course cancellation notification</v>
      </c>
      <c r="G267" s="24" t="str">
        <v>P1</v>
      </c>
      <c r="H267" s="24" t="str">
        <v>Notification recipient or authorized sender</v>
      </c>
      <c r="I267" s="24" t="str">
        <v>Use prepared QA records and separate accounts. Record the actual URL and build on Run Overview. USER_NOTIFICATIONS_ENABLED on. Use only controlled QA recipients for delivery.</v>
      </c>
      <c r="J267" s="24" t="str">
        <v>Regression</v>
      </c>
      <c r="K267" s="26"/>
      <c r="L267" s="26"/>
      <c r="M267" s="26"/>
      <c r="N267" s="29"/>
      <c r="O267" s="26"/>
      <c r="P267" s="26"/>
      <c r="Q267" s="26"/>
      <c r="R267" s="24" t="str">
        <v>USER_NOTIFICATIONS_ENABLED</v>
      </c>
      <c r="S267" s="28" t="str">
        <v>Not Run</v>
      </c>
      <c r="T267" s="28"/>
      <c r="U267" s="28" t="str">
        <v>Updated</v>
      </c>
    </row>
    <row r="268" ht="64" customHeight="1">
      <c r="A268" s="25" t="str">
        <v>Not Run</v>
      </c>
      <c r="B268" s="19" t="str">
        <v>GO-MAN-267</v>
      </c>
      <c r="C268" s="19" t="str">
        <v>Notifications</v>
      </c>
      <c r="D268" s="19" t="str">
        <v>Trigger one prepared mentor request event in QA and inspect the intended recipient’s panel.</v>
      </c>
      <c r="E268" s="19" t="str">
        <v>Only the intended account receives the applicable event and correct destination. No private details reach unrelated users.</v>
      </c>
      <c r="F268" s="19" t="str">
        <v>Mentor request notification</v>
      </c>
      <c r="G268" s="19" t="str">
        <v>P1</v>
      </c>
      <c r="H268" s="19" t="str">
        <v>Notification recipient or authorized sender</v>
      </c>
      <c r="I268" s="19" t="str">
        <v>Use prepared QA records and separate accounts. Record the actual URL and build on Run Overview. USER_NOTIFICATIONS_ENABLED on. Use only controlled QA recipients for delivery.</v>
      </c>
      <c r="J268" s="19" t="str">
        <v>Regression</v>
      </c>
      <c r="K268" s="26"/>
      <c r="L268" s="26"/>
      <c r="M268" s="26"/>
      <c r="N268" s="29"/>
      <c r="O268" s="26"/>
      <c r="P268" s="26"/>
      <c r="Q268" s="26"/>
      <c r="R268" s="19" t="str">
        <v>USER_NOTIFICATIONS_ENABLED</v>
      </c>
      <c r="S268" s="27" t="str">
        <v>Not Run</v>
      </c>
      <c r="T268" s="27"/>
      <c r="U268" s="27" t="str">
        <v>Updated</v>
      </c>
    </row>
    <row r="269" ht="64" customHeight="1">
      <c r="A269" s="25" t="str">
        <v>Not Run</v>
      </c>
      <c r="B269" s="24" t="str">
        <v>GO-MAN-268</v>
      </c>
      <c r="C269" s="24" t="str">
        <v>Notifications</v>
      </c>
      <c r="D269" s="24" t="str">
        <v>Trigger one prepared mentor response event in QA and inspect the intended recipient’s panel.</v>
      </c>
      <c r="E269" s="24" t="str">
        <v>Only the intended account receives the applicable event and correct destination. No private details reach unrelated users.</v>
      </c>
      <c r="F269" s="24" t="str">
        <v>Mentor response notification</v>
      </c>
      <c r="G269" s="24" t="str">
        <v>P1</v>
      </c>
      <c r="H269" s="24" t="str">
        <v>Notification recipient or authorized sender</v>
      </c>
      <c r="I269" s="24" t="str">
        <v>Use prepared QA records and separate accounts. Record the actual URL and build on Run Overview. USER_NOTIFICATIONS_ENABLED on. Use only controlled QA recipients for delivery.</v>
      </c>
      <c r="J269" s="24" t="str">
        <v>Regression</v>
      </c>
      <c r="K269" s="26"/>
      <c r="L269" s="26"/>
      <c r="M269" s="26"/>
      <c r="N269" s="29"/>
      <c r="O269" s="26"/>
      <c r="P269" s="26"/>
      <c r="Q269" s="26"/>
      <c r="R269" s="24" t="str">
        <v>USER_NOTIFICATIONS_ENABLED</v>
      </c>
      <c r="S269" s="28" t="str">
        <v>Not Run</v>
      </c>
      <c r="T269" s="28"/>
      <c r="U269" s="28" t="str">
        <v>Updated</v>
      </c>
    </row>
    <row r="270" ht="64" customHeight="1">
      <c r="A270" s="25" t="str">
        <v>Not Run</v>
      </c>
      <c r="B270" s="19" t="str">
        <v>GO-MAN-269</v>
      </c>
      <c r="C270" s="19" t="str">
        <v>Notifications</v>
      </c>
      <c r="D270" s="19" t="str">
        <v>Trigger one prepared mentorship scheduling event in QA and inspect the intended recipient’s panel.</v>
      </c>
      <c r="E270" s="19" t="str">
        <v>Only the intended account receives the applicable event and correct destination. No private details reach unrelated users.</v>
      </c>
      <c r="F270" s="19" t="str">
        <v>Mentorship scheduling notification</v>
      </c>
      <c r="G270" s="19" t="str">
        <v>P1</v>
      </c>
      <c r="H270" s="19" t="str">
        <v>Notification recipient or authorized sender</v>
      </c>
      <c r="I270" s="19" t="str">
        <v>Use prepared QA records and separate accounts. Record the actual URL and build on Run Overview. USER_NOTIFICATIONS_ENABLED on. Use only controlled QA recipients for delivery.</v>
      </c>
      <c r="J270" s="19" t="str">
        <v>Regression</v>
      </c>
      <c r="K270" s="26"/>
      <c r="L270" s="26"/>
      <c r="M270" s="26"/>
      <c r="N270" s="29"/>
      <c r="O270" s="26"/>
      <c r="P270" s="26"/>
      <c r="Q270" s="26"/>
      <c r="R270" s="19" t="str">
        <v>USER_NOTIFICATIONS_ENABLED</v>
      </c>
      <c r="S270" s="27" t="str">
        <v>Not Run</v>
      </c>
      <c r="T270" s="27"/>
      <c r="U270" s="27" t="str">
        <v>Updated</v>
      </c>
    </row>
    <row r="271" ht="64" customHeight="1">
      <c r="A271" s="25" t="str">
        <v>Not Run</v>
      </c>
      <c r="B271" s="24" t="str">
        <v>GO-MAN-270</v>
      </c>
      <c r="C271" s="24" t="str">
        <v>Notifications</v>
      </c>
      <c r="D271" s="24" t="str">
        <v>Trigger one prepared free training assignment event in QA and inspect the intended recipient’s panel.</v>
      </c>
      <c r="E271" s="24" t="str">
        <v>Only the intended account receives the applicable event and correct destination. No private details reach unrelated users.</v>
      </c>
      <c r="F271" s="24" t="str">
        <v>Free training assignment notification</v>
      </c>
      <c r="G271" s="24" t="str">
        <v>P1</v>
      </c>
      <c r="H271" s="24" t="str">
        <v>Notification recipient or authorized sender</v>
      </c>
      <c r="I271" s="24" t="str">
        <v>Use prepared QA records and separate accounts. Record the actual URL and build on Run Overview. USER_NOTIFICATIONS_ENABLED on. Use only controlled QA recipients for delivery.</v>
      </c>
      <c r="J271" s="24" t="str">
        <v>Regression</v>
      </c>
      <c r="K271" s="26"/>
      <c r="L271" s="26"/>
      <c r="M271" s="26"/>
      <c r="N271" s="29"/>
      <c r="O271" s="26"/>
      <c r="P271" s="26"/>
      <c r="Q271" s="26"/>
      <c r="R271" s="24" t="str">
        <v>USER_NOTIFICATIONS_ENABLED</v>
      </c>
      <c r="S271" s="28" t="str">
        <v>Not Run</v>
      </c>
      <c r="T271" s="28"/>
      <c r="U271" s="28" t="str">
        <v>Updated</v>
      </c>
    </row>
    <row r="272" ht="64" customHeight="1">
      <c r="A272" s="25" t="str">
        <v>Not Run</v>
      </c>
      <c r="B272" s="19" t="str">
        <v>GO-MAN-271</v>
      </c>
      <c r="C272" s="19" t="str">
        <v>Notifications</v>
      </c>
      <c r="D272" s="19" t="str">
        <v>Open an own notification and attempt to change a different user’s notification ID.</v>
      </c>
      <c r="E272" s="19" t="str">
        <v>Only own read-state updates are accepted.</v>
      </c>
      <c r="F272" s="19" t="str">
        <v>Notification ownership</v>
      </c>
      <c r="G272" s="19" t="str">
        <v>P0</v>
      </c>
      <c r="H272" s="19" t="str">
        <v>Notification recipient or authorized sender</v>
      </c>
      <c r="I272" s="19" t="str">
        <v>Use prepared QA records and separate accounts. Record the actual URL and build on Run Overview. USER_NOTIFICATIONS_ENABLED on. Use only controlled QA recipients for delivery.</v>
      </c>
      <c r="J272" s="19" t="str">
        <v>Regression</v>
      </c>
      <c r="K272" s="26"/>
      <c r="L272" s="26"/>
      <c r="M272" s="26"/>
      <c r="N272" s="29"/>
      <c r="O272" s="26"/>
      <c r="P272" s="26"/>
      <c r="Q272" s="26"/>
      <c r="R272" s="19" t="str">
        <v>USER_NOTIFICATIONS_ENABLED</v>
      </c>
      <c r="S272" s="27" t="str">
        <v>Not Run</v>
      </c>
      <c r="T272" s="27"/>
      <c r="U272" s="27" t="str">
        <v>Updated</v>
      </c>
    </row>
    <row r="273" ht="64" customHeight="1">
      <c r="A273" s="25" t="str">
        <v>Not Run</v>
      </c>
      <c r="B273" s="24" t="str">
        <v>GO-MAN-272</v>
      </c>
      <c r="C273" s="24" t="str">
        <v>Notifications</v>
      </c>
      <c r="D273" s="24" t="str">
        <v>Request another user’s notification while signed in as a normal user.</v>
      </c>
      <c r="E273" s="24" t="str">
        <v>No notification content or private metadata is returned.</v>
      </c>
      <c r="F273" s="24" t="str">
        <v>Cross-account notification read</v>
      </c>
      <c r="G273" s="24" t="str">
        <v>P1</v>
      </c>
      <c r="H273" s="24" t="str">
        <v>Notification recipient or authorized sender</v>
      </c>
      <c r="I273" s="24" t="str">
        <v>Use prepared QA records and separate accounts. Record the actual URL and build on Run Overview. USER_NOTIFICATIONS_ENABLED on. Use only controlled QA recipients for delivery.</v>
      </c>
      <c r="J273" s="24" t="str">
        <v>Regression</v>
      </c>
      <c r="K273" s="26"/>
      <c r="L273" s="26"/>
      <c r="M273" s="26"/>
      <c r="N273" s="29"/>
      <c r="O273" s="26"/>
      <c r="P273" s="26"/>
      <c r="Q273" s="26"/>
      <c r="R273" s="24" t="str">
        <v>USER_NOTIFICATIONS_ENABLED</v>
      </c>
      <c r="S273" s="28" t="str">
        <v>Not Run</v>
      </c>
      <c r="T273" s="28"/>
      <c r="U273" s="28" t="str">
        <v>Updated</v>
      </c>
    </row>
    <row r="274" ht="64" customHeight="1">
      <c r="A274" s="25" t="str">
        <v>Not Run</v>
      </c>
      <c r="B274" s="19" t="str">
        <v>GO-MAN-273</v>
      </c>
      <c r="C274" s="19" t="str">
        <v>Notifications</v>
      </c>
      <c r="D274" s="19" t="str">
        <v>Cause a controlled email delivery failure for an event with an in-app notification.</v>
      </c>
      <c r="E274" s="19" t="str">
        <v>The in-app notification remains available. The email failure is not reported as delivered.</v>
      </c>
      <c r="F274" s="19" t="str">
        <v>Email failure independence</v>
      </c>
      <c r="G274" s="19" t="str">
        <v>P1</v>
      </c>
      <c r="H274" s="19" t="str">
        <v>Notification recipient or authorized sender</v>
      </c>
      <c r="I274" s="19" t="str">
        <v>Use prepared QA records and separate accounts. Record the actual URL and build on Run Overview. USER_NOTIFICATIONS_ENABLED on. Use only controlled QA recipients for delivery.</v>
      </c>
      <c r="J274" s="19" t="str">
        <v>Regression</v>
      </c>
      <c r="K274" s="26"/>
      <c r="L274" s="26"/>
      <c r="M274" s="26"/>
      <c r="N274" s="29"/>
      <c r="O274" s="26"/>
      <c r="P274" s="26"/>
      <c r="Q274" s="26"/>
      <c r="R274" s="19" t="str">
        <v>USER_NOTIFICATIONS_ENABLED</v>
      </c>
      <c r="S274" s="27" t="str">
        <v>Not Run</v>
      </c>
      <c r="T274" s="27"/>
      <c r="U274" s="27" t="str">
        <v>Updated</v>
      </c>
    </row>
    <row r="275" ht="64" customHeight="1">
      <c r="A275" s="25" t="str">
        <v>Not Run</v>
      </c>
      <c r="B275" s="24" t="str">
        <v>GO-MAN-274</v>
      </c>
      <c r="C275" s="24" t="str">
        <v>Notifications</v>
      </c>
      <c r="D275" s="24" t="str">
        <v>As admin, send one QA announcement to a controlled course recipient group.</v>
      </c>
      <c r="E275" s="24" t="str">
        <v>Only selected eligible recipients receive the announcement.</v>
      </c>
      <c r="F275" s="24" t="str">
        <v>Admin course announcement</v>
      </c>
      <c r="G275" s="24" t="str">
        <v>P0</v>
      </c>
      <c r="H275" s="24" t="str">
        <v>Notification recipient or authorized sender</v>
      </c>
      <c r="I275" s="24" t="str">
        <v>Use prepared QA records and separate accounts. Record the actual URL and build on Run Overview. USER_NOTIFICATIONS_ENABLED on. Use only controlled QA recipients for delivery.</v>
      </c>
      <c r="J275" s="24" t="str">
        <v>Regression</v>
      </c>
      <c r="K275" s="26"/>
      <c r="L275" s="26"/>
      <c r="M275" s="26"/>
      <c r="N275" s="29"/>
      <c r="O275" s="26"/>
      <c r="P275" s="26"/>
      <c r="Q275" s="26"/>
      <c r="R275" s="24" t="str">
        <v>USER_NOTIFICATIONS_ENABLED</v>
      </c>
      <c r="S275" s="28" t="str">
        <v>Not Run</v>
      </c>
      <c r="T275" s="28"/>
      <c r="U275" s="28" t="str">
        <v>Updated</v>
      </c>
    </row>
    <row r="276" ht="64" customHeight="1">
      <c r="A276" s="25" t="str">
        <v>Not Run</v>
      </c>
      <c r="B276" s="19" t="str">
        <v>GO-MAN-275</v>
      </c>
      <c r="C276" s="19" t="str">
        <v>Notifications</v>
      </c>
      <c r="D276" s="19" t="str">
        <v>As assigned instructor, announce to that course’s controlled recipients.</v>
      </c>
      <c r="E276" s="19" t="str">
        <v>The action succeeds only for the assigned course.</v>
      </c>
      <c r="F276" s="19" t="str">
        <v>Assigned instructor announcement</v>
      </c>
      <c r="G276" s="19" t="str">
        <v>P1</v>
      </c>
      <c r="H276" s="19" t="str">
        <v>Notification recipient or authorized sender</v>
      </c>
      <c r="I276" s="19" t="str">
        <v>Use prepared QA records and separate accounts. Record the actual URL and build on Run Overview. USER_NOTIFICATIONS_ENABLED on. Use only controlled QA recipients for delivery.</v>
      </c>
      <c r="J276" s="19" t="str">
        <v>Regression</v>
      </c>
      <c r="K276" s="26"/>
      <c r="L276" s="26"/>
      <c r="M276" s="26"/>
      <c r="N276" s="29"/>
      <c r="O276" s="26"/>
      <c r="P276" s="26"/>
      <c r="Q276" s="26"/>
      <c r="R276" s="19" t="str">
        <v>USER_NOTIFICATIONS_ENABLED</v>
      </c>
      <c r="S276" s="27" t="str">
        <v>Not Run</v>
      </c>
      <c r="T276" s="27"/>
      <c r="U276" s="27" t="str">
        <v>Updated</v>
      </c>
    </row>
    <row r="277" ht="64" customHeight="1">
      <c r="A277" s="25" t="str">
        <v>Not Run</v>
      </c>
      <c r="B277" s="24" t="str">
        <v>GO-MAN-276</v>
      </c>
      <c r="C277" s="24" t="str">
        <v>Notifications</v>
      </c>
      <c r="D277" s="24" t="str">
        <v>Attempt a course announcement as an unrelated instructor.</v>
      </c>
      <c r="E277" s="24" t="str">
        <v>The server denies it and queues no announcement.</v>
      </c>
      <c r="F277" s="24" t="str">
        <v>Unrelated instructor announcement</v>
      </c>
      <c r="G277" s="24" t="str">
        <v>P0</v>
      </c>
      <c r="H277" s="24" t="str">
        <v>Notification recipient or authorized sender</v>
      </c>
      <c r="I277" s="24" t="str">
        <v>Use prepared QA records and separate accounts. Record the actual URL and build on Run Overview. USER_NOTIFICATIONS_ENABLED on. Use only controlled QA recipients for delivery.</v>
      </c>
      <c r="J277" s="24" t="str">
        <v>Regression</v>
      </c>
      <c r="K277" s="26"/>
      <c r="L277" s="26"/>
      <c r="M277" s="26"/>
      <c r="N277" s="29"/>
      <c r="O277" s="26"/>
      <c r="P277" s="26"/>
      <c r="Q277" s="26"/>
      <c r="R277" s="24" t="str">
        <v>USER_NOTIFICATIONS_ENABLED</v>
      </c>
      <c r="S277" s="28" t="str">
        <v>Not Run</v>
      </c>
      <c r="T277" s="28"/>
      <c r="U277" s="28" t="str">
        <v>Updated</v>
      </c>
    </row>
    <row r="278" ht="64" customHeight="1">
      <c r="A278" s="25" t="str">
        <v>Not Run</v>
      </c>
      <c r="B278" s="19" t="str">
        <v>GO-MAN-277</v>
      </c>
      <c r="C278" s="19" t="str">
        <v>Notifications</v>
      </c>
      <c r="D278" s="19" t="str">
        <v>Prepare mixed statuses and choose confirmed participants as announcement recipients.</v>
      </c>
      <c r="E278" s="19" t="str">
        <v>Recipient records match the selected group. Compare selected and excluded QA inboxes.</v>
      </c>
      <c r="F278" s="19" t="str">
        <v>Confirmed participants group</v>
      </c>
      <c r="G278" s="19" t="str">
        <v>P1</v>
      </c>
      <c r="H278" s="19" t="str">
        <v>Notification recipient or authorized sender</v>
      </c>
      <c r="I278" s="19" t="str">
        <v>Use prepared QA records and separate accounts. Record the actual URL and build on Run Overview. USER_NOTIFICATIONS_ENABLED on. Use only controlled QA recipients for delivery.</v>
      </c>
      <c r="J278" s="19" t="str">
        <v>Regression</v>
      </c>
      <c r="K278" s="26"/>
      <c r="L278" s="26"/>
      <c r="M278" s="26"/>
      <c r="N278" s="29"/>
      <c r="O278" s="26"/>
      <c r="P278" s="26"/>
      <c r="Q278" s="26"/>
      <c r="R278" s="19" t="str">
        <v>USER_NOTIFICATIONS_ENABLED</v>
      </c>
      <c r="S278" s="27" t="str">
        <v>Not Run</v>
      </c>
      <c r="T278" s="27"/>
      <c r="U278" s="27" t="str">
        <v>Updated</v>
      </c>
    </row>
    <row r="279" ht="64" customHeight="1">
      <c r="A279" s="25" t="str">
        <v>Not Run</v>
      </c>
      <c r="B279" s="24" t="str">
        <v>GO-MAN-278</v>
      </c>
      <c r="C279" s="24" t="str">
        <v>Notifications</v>
      </c>
      <c r="D279" s="24" t="str">
        <v>Prepare mixed statuses and choose waiting-list participants as announcement recipients.</v>
      </c>
      <c r="E279" s="24" t="str">
        <v>Recipient records match the selected group. Compare selected and excluded QA inboxes.</v>
      </c>
      <c r="F279" s="24" t="str">
        <v>Waiting-list participants group</v>
      </c>
      <c r="G279" s="24" t="str">
        <v>P1</v>
      </c>
      <c r="H279" s="24" t="str">
        <v>Notification recipient or authorized sender</v>
      </c>
      <c r="I279" s="24" t="str">
        <v>Use prepared QA records and separate accounts. Record the actual URL and build on Run Overview. USER_NOTIFICATIONS_ENABLED on. Use only controlled QA recipients for delivery.</v>
      </c>
      <c r="J279" s="24" t="str">
        <v>Regression</v>
      </c>
      <c r="K279" s="26"/>
      <c r="L279" s="26"/>
      <c r="M279" s="26"/>
      <c r="N279" s="29"/>
      <c r="O279" s="26"/>
      <c r="P279" s="26"/>
      <c r="Q279" s="26"/>
      <c r="R279" s="24" t="str">
        <v>USER_NOTIFICATIONS_ENABLED</v>
      </c>
      <c r="S279" s="28" t="str">
        <v>Not Run</v>
      </c>
      <c r="T279" s="28"/>
      <c r="U279" s="28" t="str">
        <v>Updated</v>
      </c>
    </row>
    <row r="280" ht="64" customHeight="1">
      <c r="A280" s="25" t="str">
        <v>Not Run</v>
      </c>
      <c r="B280" s="19" t="str">
        <v>GO-MAN-279</v>
      </c>
      <c r="C280" s="19" t="str">
        <v>Notifications</v>
      </c>
      <c r="D280" s="19" t="str">
        <v>Prepare mixed statuses and choose selected participant IDs as announcement recipients.</v>
      </c>
      <c r="E280" s="19" t="str">
        <v>Recipient records match the selected group. Compare selected and excluded QA inboxes.</v>
      </c>
      <c r="F280" s="19" t="str">
        <v>Selected participant IDs group</v>
      </c>
      <c r="G280" s="19" t="str">
        <v>P1</v>
      </c>
      <c r="H280" s="19" t="str">
        <v>Notification recipient or authorized sender</v>
      </c>
      <c r="I280" s="19" t="str">
        <v>Use prepared QA records and separate accounts. Record the actual URL and build on Run Overview. USER_NOTIFICATIONS_ENABLED on. Use only controlled QA recipients for delivery.</v>
      </c>
      <c r="J280" s="19" t="str">
        <v>Regression</v>
      </c>
      <c r="K280" s="26"/>
      <c r="L280" s="26"/>
      <c r="M280" s="26"/>
      <c r="N280" s="29"/>
      <c r="O280" s="26"/>
      <c r="P280" s="26"/>
      <c r="Q280" s="26"/>
      <c r="R280" s="19" t="str">
        <v>USER_NOTIFICATIONS_ENABLED</v>
      </c>
      <c r="S280" s="27" t="str">
        <v>Not Run</v>
      </c>
      <c r="T280" s="27"/>
      <c r="U280" s="27" t="str">
        <v>Updated</v>
      </c>
    </row>
    <row r="281" ht="64" customHeight="1">
      <c r="A281" s="25" t="str">
        <v>Not Run</v>
      </c>
      <c r="B281" s="24" t="str">
        <v>GO-MAN-280</v>
      </c>
      <c r="C281" s="24" t="str">
        <v>Notifications</v>
      </c>
      <c r="D281" s="24" t="str">
        <v>Prepare mixed statuses and choose attended participants as announcement recipients.</v>
      </c>
      <c r="E281" s="24" t="str">
        <v>Recipient records match the selected group. Compare selected and excluded QA inboxes.</v>
      </c>
      <c r="F281" s="24" t="str">
        <v>Attended participants group</v>
      </c>
      <c r="G281" s="24" t="str">
        <v>P1</v>
      </c>
      <c r="H281" s="24" t="str">
        <v>Notification recipient or authorized sender</v>
      </c>
      <c r="I281" s="24" t="str">
        <v>Use prepared QA records and separate accounts. Record the actual URL and build on Run Overview. USER_NOTIFICATIONS_ENABLED on. Use only controlled QA recipients for delivery.</v>
      </c>
      <c r="J281" s="24" t="str">
        <v>Regression</v>
      </c>
      <c r="K281" s="26"/>
      <c r="L281" s="26"/>
      <c r="M281" s="26"/>
      <c r="N281" s="29"/>
      <c r="O281" s="26"/>
      <c r="P281" s="26"/>
      <c r="Q281" s="26"/>
      <c r="R281" s="24" t="str">
        <v>USER_NOTIFICATIONS_ENABLED</v>
      </c>
      <c r="S281" s="28" t="str">
        <v>Not Run</v>
      </c>
      <c r="T281" s="28"/>
      <c r="U281" s="28" t="str">
        <v>Updated</v>
      </c>
    </row>
    <row r="282" ht="64" customHeight="1">
      <c r="A282" s="25" t="str">
        <v>Not Run</v>
      </c>
      <c r="B282" s="19" t="str">
        <v>GO-MAN-281</v>
      </c>
      <c r="C282" s="19" t="str">
        <v>Notifications</v>
      </c>
      <c r="D282" s="19" t="str">
        <v>Prepare mixed statuses and choose completed participants as announcement recipients.</v>
      </c>
      <c r="E282" s="19" t="str">
        <v>Recipient records match the selected group. Compare selected and excluded QA inboxes.</v>
      </c>
      <c r="F282" s="19" t="str">
        <v>Completed participants group</v>
      </c>
      <c r="G282" s="19" t="str">
        <v>P1</v>
      </c>
      <c r="H282" s="19" t="str">
        <v>Notification recipient or authorized sender</v>
      </c>
      <c r="I282" s="19" t="str">
        <v>Use prepared QA records and separate accounts. Record the actual URL and build on Run Overview. USER_NOTIFICATIONS_ENABLED on. Use only controlled QA recipients for delivery.</v>
      </c>
      <c r="J282" s="19" t="str">
        <v>Regression</v>
      </c>
      <c r="K282" s="26"/>
      <c r="L282" s="26"/>
      <c r="M282" s="26"/>
      <c r="N282" s="29"/>
      <c r="O282" s="26"/>
      <c r="P282" s="26"/>
      <c r="Q282" s="26"/>
      <c r="R282" s="19" t="str">
        <v>USER_NOTIFICATIONS_ENABLED</v>
      </c>
      <c r="S282" s="27" t="str">
        <v>Not Run</v>
      </c>
      <c r="T282" s="27"/>
      <c r="U282" s="27" t="str">
        <v>Updated</v>
      </c>
    </row>
    <row r="283" ht="64" customHeight="1">
      <c r="A283" s="25" t="str">
        <v>Not Run</v>
      </c>
      <c r="B283" s="24" t="str">
        <v>GO-MAN-282</v>
      </c>
      <c r="C283" s="24" t="str">
        <v>Notifications</v>
      </c>
      <c r="D283" s="24" t="str">
        <v>Send a regular confirmed-participant announcement with canceled records present.</v>
      </c>
      <c r="E283" s="24" t="str">
        <v>Canceled users are excluded unless explicitly selected for a relevant cancellation message.</v>
      </c>
      <c r="F283" s="24" t="str">
        <v>Canceled-user announcement exclusion</v>
      </c>
      <c r="G283" s="24" t="str">
        <v>P1</v>
      </c>
      <c r="H283" s="24" t="str">
        <v>Notification recipient or authorized sender</v>
      </c>
      <c r="I283" s="24" t="str">
        <v>Use prepared QA records and separate accounts. Record the actual URL and build on Run Overview. USER_NOTIFICATIONS_ENABLED on. Use only controlled QA recipients for delivery.</v>
      </c>
      <c r="J283" s="24" t="str">
        <v>Regression</v>
      </c>
      <c r="K283" s="26"/>
      <c r="L283" s="26"/>
      <c r="M283" s="26"/>
      <c r="N283" s="29"/>
      <c r="O283" s="26"/>
      <c r="P283" s="26"/>
      <c r="Q283" s="26"/>
      <c r="R283" s="24" t="str">
        <v>USER_NOTIFICATIONS_ENABLED</v>
      </c>
      <c r="S283" s="28" t="str">
        <v>Not Run</v>
      </c>
      <c r="T283" s="28"/>
      <c r="U283" s="28" t="str">
        <v>Updated</v>
      </c>
    </row>
    <row r="284" ht="64" customHeight="1">
      <c r="A284" s="25" t="str">
        <v>Not Run</v>
      </c>
      <c r="B284" s="19" t="str">
        <v>GO-MAN-283</v>
      </c>
      <c r="C284" s="19" t="str">
        <v>Notifications</v>
      </c>
      <c r="D284" s="19" t="str">
        <v>Open, scroll and follow a notification at 390px width.</v>
      </c>
      <c r="E284" s="19" t="str">
        <v>Panel and close/action controls remain usable with no page overflow.</v>
      </c>
      <c r="F284" s="19" t="str">
        <v>Mobile notifications</v>
      </c>
      <c r="G284" s="19" t="str">
        <v>P1</v>
      </c>
      <c r="H284" s="19" t="str">
        <v>Notification recipient or authorized sender</v>
      </c>
      <c r="I284" s="19" t="str">
        <v>Use prepared QA records and separate accounts. Record the actual URL and build on Run Overview. USER_NOTIFICATIONS_ENABLED on. Use only controlled QA recipients for delivery.</v>
      </c>
      <c r="J284" s="19" t="str">
        <v>Regression</v>
      </c>
      <c r="K284" s="26"/>
      <c r="L284" s="26"/>
      <c r="M284" s="26"/>
      <c r="N284" s="29"/>
      <c r="O284" s="26"/>
      <c r="P284" s="26"/>
      <c r="Q284" s="26"/>
      <c r="R284" s="19" t="str">
        <v>USER_NOTIFICATIONS_ENABLED</v>
      </c>
      <c r="S284" s="27" t="str">
        <v>Not Run</v>
      </c>
      <c r="T284" s="27"/>
      <c r="U284" s="27" t="str">
        <v>Updated</v>
      </c>
    </row>
    <row r="285" ht="64" customHeight="1">
      <c r="A285" s="25" t="str">
        <v>Not Run</v>
      </c>
      <c r="B285" s="24" t="str">
        <v>GO-MAN-284</v>
      </c>
      <c r="C285" s="24" t="str">
        <v>Notifications</v>
      </c>
      <c r="D285" s="24" t="str">
        <v>Open the bell with Enter, navigate the panel and dismiss it with the supported close control.</v>
      </c>
      <c r="E285" s="24" t="str">
        <v>Focus remains visible and returns to the bell when dismissed.</v>
      </c>
      <c r="F285" s="24" t="str">
        <v>Notification keyboard access</v>
      </c>
      <c r="G285" s="24" t="str">
        <v>P1</v>
      </c>
      <c r="H285" s="24" t="str">
        <v>Notification recipient or authorized sender</v>
      </c>
      <c r="I285" s="24" t="str">
        <v>Use prepared QA records and separate accounts. Record the actual URL and build on Run Overview. USER_NOTIFICATIONS_ENABLED on. Use only controlled QA recipients for delivery.</v>
      </c>
      <c r="J285" s="24" t="str">
        <v>Regression</v>
      </c>
      <c r="K285" s="26"/>
      <c r="L285" s="26"/>
      <c r="M285" s="26"/>
      <c r="N285" s="29"/>
      <c r="O285" s="26"/>
      <c r="P285" s="26"/>
      <c r="Q285" s="26"/>
      <c r="R285" s="24" t="str">
        <v>USER_NOTIFICATIONS_ENABLED</v>
      </c>
      <c r="S285" s="28" t="str">
        <v>Not Run</v>
      </c>
      <c r="T285" s="28"/>
      <c r="U285" s="28" t="str">
        <v>Updated</v>
      </c>
    </row>
    <row r="286" ht="64" customHeight="1">
      <c r="A286" s="25" t="str">
        <v>Not Run</v>
      </c>
      <c r="B286" s="19" t="str">
        <v>GO-MAN-285</v>
      </c>
      <c r="C286" s="19" t="str">
        <v>Notifications</v>
      </c>
      <c r="D286" s="19" t="str">
        <v>Inspect bell, unread status and read controls with a screen reader.</v>
      </c>
      <c r="E286" s="19" t="str">
        <v>Controls have useful names and state changes are understandable.</v>
      </c>
      <c r="F286" s="19" t="str">
        <v>Notification accessible labels</v>
      </c>
      <c r="G286" s="19" t="str">
        <v>P1</v>
      </c>
      <c r="H286" s="19" t="str">
        <v>Notification recipient or authorized sender</v>
      </c>
      <c r="I286" s="19" t="str">
        <v>Use prepared QA records and separate accounts. Record the actual URL and build on Run Overview. USER_NOTIFICATIONS_ENABLED on. Use only controlled QA recipients for delivery.</v>
      </c>
      <c r="J286" s="19" t="str">
        <v>Regression</v>
      </c>
      <c r="K286" s="26"/>
      <c r="L286" s="26"/>
      <c r="M286" s="26"/>
      <c r="N286" s="29"/>
      <c r="O286" s="26"/>
      <c r="P286" s="26"/>
      <c r="Q286" s="26"/>
      <c r="R286" s="19" t="str">
        <v>USER_NOTIFICATIONS_ENABLED</v>
      </c>
      <c r="S286" s="27" t="str">
        <v>Not Run</v>
      </c>
      <c r="T286" s="27"/>
      <c r="U286" s="27" t="str">
        <v>Updated</v>
      </c>
    </row>
    <row r="287" ht="64" customHeight="1">
      <c r="A287" s="25" t="str">
        <v>Not Run</v>
      </c>
      <c r="B287" s="24" t="str">
        <v>GO-MAN-286</v>
      </c>
      <c r="C287" s="24" t="str">
        <v>Video Bundles</v>
      </c>
      <c r="D287" s="24" t="str">
        <v>Open /video-bundles with published QA bundles.</v>
      </c>
      <c r="E287" s="24" t="str">
        <v>Published bundle metadata and access requirements are visible.</v>
      </c>
      <c r="F287" s="24" t="str">
        <v>Bundle listing</v>
      </c>
      <c r="G287" s="24" t="str">
        <v>P1</v>
      </c>
      <c r="H287" s="24" t="str">
        <v>Persona named in the case</v>
      </c>
      <c r="I287" s="24" t="str">
        <v>Use prepared QA records and separate accounts. Record the actual URL and build on Run Overview. Video bundles enabled. Prepare published, draft, archived and granted items.</v>
      </c>
      <c r="J287" s="24" t="str">
        <v>Regression</v>
      </c>
      <c r="K287" s="26"/>
      <c r="L287" s="26"/>
      <c r="M287" s="26"/>
      <c r="N287" s="29"/>
      <c r="O287" s="26"/>
      <c r="P287" s="26"/>
      <c r="Q287" s="26"/>
      <c r="R287" s="24" t="str">
        <v>VIDEO_BUNDLES_ENABLED</v>
      </c>
      <c r="S287" s="28" t="str">
        <v>Not Run</v>
      </c>
      <c r="T287" s="28"/>
      <c r="U287" s="28" t="str">
        <v>Updated</v>
      </c>
    </row>
    <row r="288" ht="64" customHeight="1">
      <c r="A288" s="25" t="str">
        <v>Not Run</v>
      </c>
      <c r="B288" s="19" t="str">
        <v>GO-MAN-287</v>
      </c>
      <c r="C288" s="19" t="str">
        <v>Video Bundles</v>
      </c>
      <c r="D288" s="19" t="str">
        <v>Open the catalog with no published bundles.</v>
      </c>
      <c r="E288" s="19" t="str">
        <v>An honest empty state appears without fake inventory.</v>
      </c>
      <c r="F288" s="19" t="str">
        <v>Empty bundles</v>
      </c>
      <c r="G288" s="19" t="str">
        <v>P2</v>
      </c>
      <c r="H288" s="19" t="str">
        <v>Persona named in the case</v>
      </c>
      <c r="I288" s="19" t="str">
        <v>Use prepared QA records and separate accounts. Record the actual URL and build on Run Overview. Video bundles enabled. Prepare published, draft, archived and granted items.</v>
      </c>
      <c r="J288" s="19" t="str">
        <v>Regression</v>
      </c>
      <c r="K288" s="26"/>
      <c r="L288" s="26"/>
      <c r="M288" s="26"/>
      <c r="N288" s="29"/>
      <c r="O288" s="26"/>
      <c r="P288" s="26"/>
      <c r="Q288" s="26"/>
      <c r="R288" s="19" t="str">
        <v>VIDEO_BUNDLES_ENABLED</v>
      </c>
      <c r="S288" s="27" t="str">
        <v>Not Run</v>
      </c>
      <c r="T288" s="27"/>
      <c r="U288" s="27" t="str">
        <v>Updated</v>
      </c>
    </row>
    <row r="289" ht="64" customHeight="1">
      <c r="A289" s="25" t="str">
        <v>Not Run</v>
      </c>
      <c r="B289" s="24" t="str">
        <v>GO-MAN-288</v>
      </c>
      <c r="C289" s="24" t="str">
        <v>Video Bundles</v>
      </c>
      <c r="D289" s="24" t="str">
        <v>Open /video-bundles/{slug} and refresh.</v>
      </c>
      <c r="E289" s="24" t="str">
        <v>Correct description, lesson ordering and entitlement state load.</v>
      </c>
      <c r="F289" s="24" t="str">
        <v>Bundle detail</v>
      </c>
      <c r="G289" s="24" t="str">
        <v>P1</v>
      </c>
      <c r="H289" s="24" t="str">
        <v>Persona named in the case</v>
      </c>
      <c r="I289" s="24" t="str">
        <v>Use prepared QA records and separate accounts. Record the actual URL and build on Run Overview. Video bundles enabled. Prepare published, draft, archived and granted items.</v>
      </c>
      <c r="J289" s="24" t="str">
        <v>Regression</v>
      </c>
      <c r="K289" s="26"/>
      <c r="L289" s="26"/>
      <c r="M289" s="26"/>
      <c r="N289" s="29"/>
      <c r="O289" s="26"/>
      <c r="P289" s="26"/>
      <c r="Q289" s="26"/>
      <c r="R289" s="24" t="str">
        <v>VIDEO_BUNDLES_ENABLED</v>
      </c>
      <c r="S289" s="28" t="str">
        <v>Not Run</v>
      </c>
      <c r="T289" s="28"/>
      <c r="U289" s="28" t="str">
        <v>Updated</v>
      </c>
    </row>
    <row r="290" ht="64" customHeight="1">
      <c r="A290" s="25" t="str">
        <v>Not Run</v>
      </c>
      <c r="B290" s="19" t="str">
        <v>GO-MAN-289</v>
      </c>
      <c r="C290" s="19" t="str">
        <v>Video Bundles</v>
      </c>
      <c r="D290" s="19" t="str">
        <v>Compare published and draft bundles in discovery and direct URLs.</v>
      </c>
      <c r="E290" s="19" t="str">
        <v>Normal users cannot access unpublished content or its destinations.</v>
      </c>
      <c r="F290" s="19" t="str">
        <v>Published-only bundles</v>
      </c>
      <c r="G290" s="19" t="str">
        <v>P1</v>
      </c>
      <c r="H290" s="19" t="str">
        <v>Persona named in the case</v>
      </c>
      <c r="I290" s="19" t="str">
        <v>Use prepared QA records and separate accounts. Record the actual URL and build on Run Overview. Video bundles enabled. Prepare published, draft, archived and granted items.</v>
      </c>
      <c r="J290" s="19" t="str">
        <v>Regression</v>
      </c>
      <c r="K290" s="26"/>
      <c r="L290" s="26"/>
      <c r="M290" s="26"/>
      <c r="N290" s="29"/>
      <c r="O290" s="26"/>
      <c r="P290" s="26"/>
      <c r="Q290" s="26"/>
      <c r="R290" s="19" t="str">
        <v>VIDEO_BUNDLES_ENABLED</v>
      </c>
      <c r="S290" s="27" t="str">
        <v>Not Run</v>
      </c>
      <c r="T290" s="27"/>
      <c r="U290" s="27" t="str">
        <v>Updated</v>
      </c>
    </row>
    <row r="291" ht="64" customHeight="1">
      <c r="A291" s="25" t="str">
        <v>Not Run</v>
      </c>
      <c r="B291" s="24" t="str">
        <v>GO-MAN-290</v>
      </c>
      <c r="C291" s="24" t="str">
        <v>Video Bundles</v>
      </c>
      <c r="D291" s="24" t="str">
        <v>Open a member bundle as active Community and use its Open action.</v>
      </c>
      <c r="E291" s="24" t="str">
        <v>The entitled user opens the protected destination.</v>
      </c>
      <c r="F291" s="24" t="str">
        <v>Community bundle access</v>
      </c>
      <c r="G291" s="24" t="str">
        <v>P1</v>
      </c>
      <c r="H291" s="24" t="str">
        <v>Persona named in the case</v>
      </c>
      <c r="I291" s="24" t="str">
        <v>Use prepared QA records and separate accounts. Record the actual URL and build on Run Overview. Video bundles enabled. Prepare published, draft, archived and granted items.</v>
      </c>
      <c r="J291" s="24" t="str">
        <v>Regression</v>
      </c>
      <c r="K291" s="26"/>
      <c r="L291" s="26"/>
      <c r="M291" s="26"/>
      <c r="N291" s="29"/>
      <c r="O291" s="26"/>
      <c r="P291" s="26"/>
      <c r="Q291" s="26"/>
      <c r="R291" s="24" t="str">
        <v>VIDEO_BUNDLES_ENABLED</v>
      </c>
      <c r="S291" s="28" t="str">
        <v>Not Run</v>
      </c>
      <c r="T291" s="28"/>
      <c r="U291" s="28" t="str">
        <v>Updated</v>
      </c>
    </row>
    <row r="292" ht="64" customHeight="1">
      <c r="A292" s="25" t="str">
        <v>Not Run</v>
      </c>
      <c r="B292" s="19" t="str">
        <v>GO-MAN-291</v>
      </c>
      <c r="C292" s="19" t="str">
        <v>Video Bundles</v>
      </c>
      <c r="D292" s="19" t="str">
        <v>Open a member bundle as active Business and use its Open action.</v>
      </c>
      <c r="E292" s="19" t="str">
        <v>The entitled user opens the protected destination.</v>
      </c>
      <c r="F292" s="19" t="str">
        <v>Business bundle access</v>
      </c>
      <c r="G292" s="19" t="str">
        <v>P1</v>
      </c>
      <c r="H292" s="19" t="str">
        <v>Persona named in the case</v>
      </c>
      <c r="I292" s="19" t="str">
        <v>Use prepared QA records and separate accounts. Record the actual URL and build on Run Overview. Video bundles enabled. Prepare published, draft, archived and granted items.</v>
      </c>
      <c r="J292" s="19" t="str">
        <v>Regression</v>
      </c>
      <c r="K292" s="26"/>
      <c r="L292" s="26"/>
      <c r="M292" s="26"/>
      <c r="N292" s="29"/>
      <c r="O292" s="26"/>
      <c r="P292" s="26"/>
      <c r="Q292" s="26"/>
      <c r="R292" s="19" t="str">
        <v>VIDEO_BUNDLES_ENABLED</v>
      </c>
      <c r="S292" s="27" t="str">
        <v>Not Run</v>
      </c>
      <c r="T292" s="27"/>
      <c r="U292" s="27" t="str">
        <v>Updated</v>
      </c>
    </row>
    <row r="293" ht="64" customHeight="1">
      <c r="A293" s="25" t="str">
        <v>Not Run</v>
      </c>
      <c r="B293" s="24" t="str">
        <v>GO-MAN-292</v>
      </c>
      <c r="C293" s="24" t="str">
        <v>Video Bundles</v>
      </c>
      <c r="D293" s="24" t="str">
        <v>Open a member bundle as free and use its Open action.</v>
      </c>
      <c r="E293" s="24" t="str">
        <v>Membership or sign-in guidance appears and the protected destination is withheld.</v>
      </c>
      <c r="F293" s="24" t="str">
        <v>Free-user locked bundle access</v>
      </c>
      <c r="G293" s="24" t="str">
        <v>P1</v>
      </c>
      <c r="H293" s="24" t="str">
        <v>Persona named in the case</v>
      </c>
      <c r="I293" s="24" t="str">
        <v>Use prepared QA records and separate accounts. Record the actual URL and build on Run Overview. Video bundles enabled. Prepare published, draft, archived and granted items.</v>
      </c>
      <c r="J293" s="24" t="str">
        <v>Regression</v>
      </c>
      <c r="K293" s="26"/>
      <c r="L293" s="26"/>
      <c r="M293" s="26"/>
      <c r="N293" s="29"/>
      <c r="O293" s="26"/>
      <c r="P293" s="26"/>
      <c r="Q293" s="26"/>
      <c r="R293" s="24" t="str">
        <v>VIDEO_BUNDLES_ENABLED</v>
      </c>
      <c r="S293" s="28" t="str">
        <v>Not Run</v>
      </c>
      <c r="T293" s="28"/>
      <c r="U293" s="28" t="str">
        <v>Updated</v>
      </c>
    </row>
    <row r="294" ht="64" customHeight="1">
      <c r="A294" s="25" t="str">
        <v>Not Run</v>
      </c>
      <c r="B294" s="19" t="str">
        <v>GO-MAN-293</v>
      </c>
      <c r="C294" s="19" t="str">
        <v>Video Bundles</v>
      </c>
      <c r="D294" s="19" t="str">
        <v>Open a member bundle as signed-out and use its Open action.</v>
      </c>
      <c r="E294" s="19" t="str">
        <v>Membership or sign-in guidance appears and the protected destination is withheld.</v>
      </c>
      <c r="F294" s="19" t="str">
        <v>Signed-out locked bundle access</v>
      </c>
      <c r="G294" s="19" t="str">
        <v>P1</v>
      </c>
      <c r="H294" s="19" t="str">
        <v>Persona named in the case</v>
      </c>
      <c r="I294" s="19" t="str">
        <v>Use prepared QA records and separate accounts. Record the actual URL and build on Run Overview. Video bundles enabled. Prepare published, draft, archived and granted items.</v>
      </c>
      <c r="J294" s="19" t="str">
        <v>Regression</v>
      </c>
      <c r="K294" s="26"/>
      <c r="L294" s="26"/>
      <c r="M294" s="26"/>
      <c r="N294" s="29"/>
      <c r="O294" s="26"/>
      <c r="P294" s="26"/>
      <c r="Q294" s="26"/>
      <c r="R294" s="19" t="str">
        <v>VIDEO_BUNDLES_ENABLED</v>
      </c>
      <c r="S294" s="27" t="str">
        <v>Not Run</v>
      </c>
      <c r="T294" s="27"/>
      <c r="U294" s="27" t="str">
        <v>Updated</v>
      </c>
    </row>
    <row r="295" ht="64" customHeight="1">
      <c r="A295" s="25" t="str">
        <v>Not Run</v>
      </c>
      <c r="B295" s="24" t="str">
        <v>GO-MAN-294</v>
      </c>
      <c r="C295" s="24" t="str">
        <v>Video Bundles</v>
      </c>
      <c r="D295" s="24" t="str">
        <v>Open a member bundle as approved mentor with an individual grant and use its Open action.</v>
      </c>
      <c r="E295" s="24" t="str">
        <v>The entitled user opens the protected destination.</v>
      </c>
      <c r="F295" s="24" t="str">
        <v>Assigned mentor bundle access</v>
      </c>
      <c r="G295" s="24" t="str">
        <v>P1</v>
      </c>
      <c r="H295" s="24" t="str">
        <v>Persona named in the case</v>
      </c>
      <c r="I295" s="24" t="str">
        <v>Use prepared QA records and separate accounts. Record the actual URL and build on Run Overview. Video bundles enabled. Prepare published, draft, archived and granted items.</v>
      </c>
      <c r="J295" s="24" t="str">
        <v>Regression</v>
      </c>
      <c r="K295" s="26"/>
      <c r="L295" s="26"/>
      <c r="M295" s="26"/>
      <c r="N295" s="29"/>
      <c r="O295" s="26"/>
      <c r="P295" s="26"/>
      <c r="Q295" s="26"/>
      <c r="R295" s="24" t="str">
        <v>VIDEO_BUNDLES_ENABLED</v>
      </c>
      <c r="S295" s="28" t="str">
        <v>Not Run</v>
      </c>
      <c r="T295" s="28"/>
      <c r="U295" s="28" t="str">
        <v>Updated</v>
      </c>
    </row>
    <row r="296" ht="64" customHeight="1">
      <c r="A296" s="25" t="str">
        <v>Not Run</v>
      </c>
      <c r="B296" s="19" t="str">
        <v>GO-MAN-295</v>
      </c>
      <c r="C296" s="19" t="str">
        <v>Video Bundles</v>
      </c>
      <c r="D296" s="19" t="str">
        <v>Open a member bundle as approved mentor without the required entitlement or grant and use its Open action.</v>
      </c>
      <c r="E296" s="19" t="str">
        <v>Membership or sign-in guidance appears and the protected destination is withheld.</v>
      </c>
      <c r="F296" s="19" t="str">
        <v>Unassigned mentor bundle access</v>
      </c>
      <c r="G296" s="19" t="str">
        <v>P1</v>
      </c>
      <c r="H296" s="19" t="str">
        <v>Persona named in the case</v>
      </c>
      <c r="I296" s="19" t="str">
        <v>Use prepared QA records and separate accounts. Record the actual URL and build on Run Overview. Video bundles enabled. Prepare published, draft, archived and granted items.</v>
      </c>
      <c r="J296" s="19" t="str">
        <v>Regression</v>
      </c>
      <c r="K296" s="26"/>
      <c r="L296" s="26"/>
      <c r="M296" s="26"/>
      <c r="N296" s="29"/>
      <c r="O296" s="26"/>
      <c r="P296" s="26"/>
      <c r="Q296" s="26"/>
      <c r="R296" s="19" t="str">
        <v>VIDEO_BUNDLES_ENABLED</v>
      </c>
      <c r="S296" s="27" t="str">
        <v>Not Run</v>
      </c>
      <c r="T296" s="27"/>
      <c r="U296" s="27" t="str">
        <v>Updated</v>
      </c>
    </row>
    <row r="297" ht="64" customHeight="1">
      <c r="A297" s="25" t="str">
        <v>Not Run</v>
      </c>
      <c r="B297" s="24" t="str">
        <v>GO-MAN-296</v>
      </c>
      <c r="C297" s="24" t="str">
        <v>Video Bundles</v>
      </c>
      <c r="D297" s="24" t="str">
        <v>As expired member without a training grant open a published bundle. Repeat with a valid item-specific training grant.</v>
      </c>
      <c r="E297" s="24" t="str">
        <v>Expiry removes membership access. A current explicit training assignment can authorize only its assigned bundle.</v>
      </c>
      <c r="F297" s="24" t="str">
        <v>Expired member bundle access</v>
      </c>
      <c r="G297" s="24" t="str">
        <v>P0</v>
      </c>
      <c r="H297" s="24" t="str">
        <v>Persona named in the case</v>
      </c>
      <c r="I297" s="24" t="str">
        <v>Use prepared QA records and separate accounts. Record the actual URL and build on Run Overview. Video bundles enabled. Prepare published, draft, archived and granted items.</v>
      </c>
      <c r="J297" s="24" t="str">
        <v>Regression</v>
      </c>
      <c r="K297" s="26"/>
      <c r="L297" s="26"/>
      <c r="M297" s="26"/>
      <c r="N297" s="29"/>
      <c r="O297" s="26"/>
      <c r="P297" s="26"/>
      <c r="Q297" s="26"/>
      <c r="R297" s="24" t="str">
        <v>VIDEO_BUNDLES_ENABLED</v>
      </c>
      <c r="S297" s="28" t="str">
        <v>Not Run</v>
      </c>
      <c r="T297" s="28"/>
      <c r="U297" s="28" t="str">
        <v>Updated</v>
      </c>
    </row>
    <row r="298" ht="64" customHeight="1">
      <c r="A298" s="25" t="str">
        <v>Not Run</v>
      </c>
      <c r="B298" s="19" t="str">
        <v>GO-MAN-297</v>
      </c>
      <c r="C298" s="19" t="str">
        <v>Video Bundles</v>
      </c>
      <c r="D298" s="19" t="str">
        <v>As free user inspect payloads, then use Open as an entitled user for a YouTube lesson.</v>
      </c>
      <c r="E298" s="19" t="str">
        <v>Unauthorized payloads omit the URL. Entitled open uses the server gate.</v>
      </c>
      <c r="F298" s="19" t="str">
        <v>Protected YouTube link</v>
      </c>
      <c r="G298" s="19" t="str">
        <v>P0</v>
      </c>
      <c r="H298" s="19" t="str">
        <v>Persona named in the case</v>
      </c>
      <c r="I298" s="19" t="str">
        <v>Use prepared QA records and separate accounts. Record the actual URL and build on Run Overview. Video bundles enabled. Prepare published, draft, archived and granted items.</v>
      </c>
      <c r="J298" s="19" t="str">
        <v>Regression</v>
      </c>
      <c r="K298" s="26"/>
      <c r="L298" s="26"/>
      <c r="M298" s="26"/>
      <c r="N298" s="29"/>
      <c r="O298" s="26"/>
      <c r="P298" s="26"/>
      <c r="Q298" s="26"/>
      <c r="R298" s="19" t="str">
        <v>VIDEO_BUNDLES_ENABLED</v>
      </c>
      <c r="S298" s="27" t="str">
        <v>Not Run</v>
      </c>
      <c r="T298" s="27"/>
      <c r="U298" s="27" t="str">
        <v>Updated</v>
      </c>
    </row>
    <row r="299" ht="64" customHeight="1">
      <c r="A299" s="25" t="str">
        <v>Not Run</v>
      </c>
      <c r="B299" s="24" t="str">
        <v>GO-MAN-298</v>
      </c>
      <c r="C299" s="24" t="str">
        <v>Video Bundles</v>
      </c>
      <c r="D299" s="24" t="str">
        <v>Repeat the protected-open check for a Google Drive lesson.</v>
      </c>
      <c r="E299" s="24" t="str">
        <v>Unauthorized payloads omit the URL. Entitled open reaches the configured Drive destination.</v>
      </c>
      <c r="F299" s="24" t="str">
        <v>Protected Drive link</v>
      </c>
      <c r="G299" s="24" t="str">
        <v>P0</v>
      </c>
      <c r="H299" s="24" t="str">
        <v>Persona named in the case</v>
      </c>
      <c r="I299" s="24" t="str">
        <v>Use prepared QA records and separate accounts. Record the actual URL and build on Run Overview. Video bundles enabled. Prepare published, draft, archived and granted items.</v>
      </c>
      <c r="J299" s="24" t="str">
        <v>Regression</v>
      </c>
      <c r="K299" s="26"/>
      <c r="L299" s="26"/>
      <c r="M299" s="26"/>
      <c r="N299" s="29"/>
      <c r="O299" s="26"/>
      <c r="P299" s="26"/>
      <c r="Q299" s="26"/>
      <c r="R299" s="24" t="str">
        <v>VIDEO_BUNDLES_ENABLED</v>
      </c>
      <c r="S299" s="28" t="str">
        <v>Not Run</v>
      </c>
      <c r="T299" s="28"/>
      <c r="U299" s="28" t="str">
        <v>Updated</v>
      </c>
    </row>
    <row r="300" ht="64" customHeight="1">
      <c r="A300" s="25" t="str">
        <v>Not Run</v>
      </c>
      <c r="B300" s="19" t="str">
        <v>GO-MAN-299</v>
      </c>
      <c r="C300" s="19" t="str">
        <v>Video Bundles</v>
      </c>
      <c r="D300" s="19" t="str">
        <v>Open a published bundle containing a single resource.</v>
      </c>
      <c r="E300" s="19" t="str">
        <v>One authorized open action appears with a useful label.</v>
      </c>
      <c r="F300" s="19" t="str">
        <v>One-link bundle</v>
      </c>
      <c r="G300" s="19" t="str">
        <v>P1</v>
      </c>
      <c r="H300" s="19" t="str">
        <v>Persona named in the case</v>
      </c>
      <c r="I300" s="19" t="str">
        <v>Use prepared QA records and separate accounts. Record the actual URL and build on Run Overview. Video bundles enabled. Prepare published, draft, archived and granted items.</v>
      </c>
      <c r="J300" s="19" t="str">
        <v>Regression</v>
      </c>
      <c r="K300" s="26"/>
      <c r="L300" s="26"/>
      <c r="M300" s="26"/>
      <c r="N300" s="29"/>
      <c r="O300" s="26"/>
      <c r="P300" s="26"/>
      <c r="Q300" s="26"/>
      <c r="R300" s="19" t="str">
        <v>VIDEO_BUNDLES_ENABLED</v>
      </c>
      <c r="S300" s="27" t="str">
        <v>Not Run</v>
      </c>
      <c r="T300" s="27"/>
      <c r="U300" s="27" t="str">
        <v>Updated</v>
      </c>
    </row>
    <row r="301" ht="64" customHeight="1">
      <c r="A301" s="25" t="str">
        <v>Not Run</v>
      </c>
      <c r="B301" s="24" t="str">
        <v>GO-MAN-300</v>
      </c>
      <c r="C301" s="24" t="str">
        <v>Video Bundles</v>
      </c>
      <c r="D301" s="24" t="str">
        <v>Open a bundle with several lessons and open each permitted lesson.</v>
      </c>
      <c r="E301" s="24" t="str">
        <v>Each lesson opens its own correct destination.</v>
      </c>
      <c r="F301" s="24" t="str">
        <v>Multi-lesson bundle</v>
      </c>
      <c r="G301" s="24" t="str">
        <v>P1</v>
      </c>
      <c r="H301" s="24" t="str">
        <v>Persona named in the case</v>
      </c>
      <c r="I301" s="24" t="str">
        <v>Use prepared QA records and separate accounts. Record the actual URL and build on Run Overview. Video bundles enabled. Prepare published, draft, archived and granted items.</v>
      </c>
      <c r="J301" s="24" t="str">
        <v>Regression</v>
      </c>
      <c r="K301" s="26"/>
      <c r="L301" s="26"/>
      <c r="M301" s="26"/>
      <c r="N301" s="29"/>
      <c r="O301" s="26"/>
      <c r="P301" s="26"/>
      <c r="Q301" s="26"/>
      <c r="R301" s="24" t="str">
        <v>VIDEO_BUNDLES_ENABLED</v>
      </c>
      <c r="S301" s="28" t="str">
        <v>Not Run</v>
      </c>
      <c r="T301" s="28"/>
      <c r="U301" s="28" t="str">
        <v>Updated</v>
      </c>
    </row>
    <row r="302" ht="64" customHeight="1">
      <c r="A302" s="25" t="str">
        <v>Not Run</v>
      </c>
      <c r="B302" s="19" t="str">
        <v>GO-MAN-301</v>
      </c>
      <c r="C302" s="19" t="str">
        <v>Video Bundles</v>
      </c>
      <c r="D302" s="19" t="str">
        <v>Compare displayed order with configured lesson order after refresh.</v>
      </c>
      <c r="E302" s="19" t="str">
        <v>Ordering is stable and matches the saved bundle.</v>
      </c>
      <c r="F302" s="19" t="str">
        <v>Lesson order</v>
      </c>
      <c r="G302" s="19" t="str">
        <v>P1</v>
      </c>
      <c r="H302" s="19" t="str">
        <v>Persona named in the case</v>
      </c>
      <c r="I302" s="19" t="str">
        <v>Use prepared QA records and separate accounts. Record the actual URL and build on Run Overview. Video bundles enabled. Prepare published, draft, archived and granted items.</v>
      </c>
      <c r="J302" s="19" t="str">
        <v>Regression</v>
      </c>
      <c r="K302" s="26"/>
      <c r="L302" s="26"/>
      <c r="M302" s="26"/>
      <c r="N302" s="29"/>
      <c r="O302" s="26"/>
      <c r="P302" s="26"/>
      <c r="Q302" s="26"/>
      <c r="R302" s="19" t="str">
        <v>VIDEO_BUNDLES_ENABLED</v>
      </c>
      <c r="S302" s="27" t="str">
        <v>Not Run</v>
      </c>
      <c r="T302" s="27"/>
      <c r="U302" s="27" t="str">
        <v>Updated</v>
      </c>
    </row>
    <row r="303" ht="64" customHeight="1">
      <c r="A303" s="25" t="str">
        <v>Not Run</v>
      </c>
      <c r="B303" s="24" t="str">
        <v>GO-MAN-302</v>
      </c>
      <c r="C303" s="24" t="str">
        <v>Video Bundles</v>
      </c>
      <c r="D303" s="24" t="str">
        <v>Open a bundle, then inspect own progress.</v>
      </c>
      <c r="E303" s="24" t="str">
        <v>An open action is recorded without falsely completing every lesson.</v>
      </c>
      <c r="F303" s="24" t="str">
        <v>Bundle open tracking</v>
      </c>
      <c r="G303" s="24" t="str">
        <v>P1</v>
      </c>
      <c r="H303" s="24" t="str">
        <v>Persona named in the case</v>
      </c>
      <c r="I303" s="24" t="str">
        <v>Use prepared QA records and separate accounts. Record the actual URL and build on Run Overview. Video bundles enabled. Prepare published, draft, archived and granted items.</v>
      </c>
      <c r="J303" s="24" t="str">
        <v>Regression</v>
      </c>
      <c r="K303" s="26"/>
      <c r="L303" s="26"/>
      <c r="M303" s="26"/>
      <c r="N303" s="29"/>
      <c r="O303" s="26"/>
      <c r="P303" s="26"/>
      <c r="Q303" s="26"/>
      <c r="R303" s="24" t="str">
        <v>VIDEO_BUNDLES_ENABLED</v>
      </c>
      <c r="S303" s="28" t="str">
        <v>Not Run</v>
      </c>
      <c r="T303" s="28"/>
      <c r="U303" s="28" t="str">
        <v>Updated</v>
      </c>
    </row>
    <row r="304" ht="64" customHeight="1">
      <c r="A304" s="25" t="str">
        <v>Not Run</v>
      </c>
      <c r="B304" s="19" t="str">
        <v>GO-MAN-303</v>
      </c>
      <c r="C304" s="19" t="str">
        <v>Video Bundles</v>
      </c>
      <c r="D304" s="19" t="str">
        <v>Open one lesson and refresh own progress.</v>
      </c>
      <c r="E304" s="19" t="str">
        <v>Only that lesson’s opened state changes.</v>
      </c>
      <c r="F304" s="19" t="str">
        <v>Lesson open tracking</v>
      </c>
      <c r="G304" s="19" t="str">
        <v>P1</v>
      </c>
      <c r="H304" s="19" t="str">
        <v>Persona named in the case</v>
      </c>
      <c r="I304" s="19" t="str">
        <v>Use prepared QA records and separate accounts. Record the actual URL and build on Run Overview. Video bundles enabled. Prepare published, draft, archived and granted items.</v>
      </c>
      <c r="J304" s="19" t="str">
        <v>Regression</v>
      </c>
      <c r="K304" s="26"/>
      <c r="L304" s="26"/>
      <c r="M304" s="26"/>
      <c r="N304" s="29"/>
      <c r="O304" s="26"/>
      <c r="P304" s="26"/>
      <c r="Q304" s="26"/>
      <c r="R304" s="19" t="str">
        <v>VIDEO_BUNDLES_ENABLED</v>
      </c>
      <c r="S304" s="27" t="str">
        <v>Not Run</v>
      </c>
      <c r="T304" s="27"/>
      <c r="U304" s="27" t="str">
        <v>Updated</v>
      </c>
    </row>
    <row r="305" ht="64" customHeight="1">
      <c r="A305" s="25" t="str">
        <v>Not Run</v>
      </c>
      <c r="B305" s="24" t="str">
        <v>GO-MAN-304</v>
      </c>
      <c r="C305" s="24" t="str">
        <v>Video Bundles</v>
      </c>
      <c r="D305" s="24" t="str">
        <v>Mark one lesson complete, refresh, then change the completion if supported.</v>
      </c>
      <c r="E305" s="24" t="str">
        <v>The chosen completion state persists and affects the correct lesson.</v>
      </c>
      <c r="F305" s="24" t="str">
        <v>Manual lesson completion</v>
      </c>
      <c r="G305" s="24" t="str">
        <v>P1</v>
      </c>
      <c r="H305" s="24" t="str">
        <v>Persona named in the case</v>
      </c>
      <c r="I305" s="24" t="str">
        <v>Use prepared QA records and separate accounts. Record the actual URL and build on Run Overview. Video bundles enabled. Prepare published, draft, archived and granted items.</v>
      </c>
      <c r="J305" s="24" t="str">
        <v>Regression</v>
      </c>
      <c r="K305" s="26"/>
      <c r="L305" s="26"/>
      <c r="M305" s="26"/>
      <c r="N305" s="29"/>
      <c r="O305" s="26"/>
      <c r="P305" s="26"/>
      <c r="Q305" s="26"/>
      <c r="R305" s="24" t="str">
        <v>VIDEO_BUNDLES_ENABLED</v>
      </c>
      <c r="S305" s="28" t="str">
        <v>Not Run</v>
      </c>
      <c r="T305" s="28"/>
      <c r="U305" s="28" t="str">
        <v>Updated</v>
      </c>
    </row>
    <row r="306" ht="64" customHeight="1">
      <c r="A306" s="25" t="str">
        <v>Not Run</v>
      </c>
      <c r="B306" s="19" t="str">
        <v>GO-MAN-305</v>
      </c>
      <c r="C306" s="19" t="str">
        <v>Video Bundles</v>
      </c>
      <c r="D306" s="19" t="str">
        <v>Complete one of four prepared lessons and then all four.</v>
      </c>
      <c r="E306" s="19" t="str">
        <v>Progress shows 25% then 100%, without duplicate completion counts.</v>
      </c>
      <c r="F306" s="19" t="str">
        <v>Bundle completion percentage</v>
      </c>
      <c r="G306" s="19" t="str">
        <v>P1</v>
      </c>
      <c r="H306" s="19" t="str">
        <v>Persona named in the case</v>
      </c>
      <c r="I306" s="19" t="str">
        <v>Use prepared QA records and separate accounts. Record the actual URL and build on Run Overview. Video bundles enabled. Prepare published, draft, archived and granted items.</v>
      </c>
      <c r="J306" s="19" t="str">
        <v>Regression</v>
      </c>
      <c r="K306" s="26"/>
      <c r="L306" s="26"/>
      <c r="M306" s="26"/>
      <c r="N306" s="29"/>
      <c r="O306" s="26"/>
      <c r="P306" s="26"/>
      <c r="Q306" s="26"/>
      <c r="R306" s="19" t="str">
        <v>VIDEO_BUNDLES_ENABLED</v>
      </c>
      <c r="S306" s="27" t="str">
        <v>Not Run</v>
      </c>
      <c r="T306" s="27"/>
      <c r="U306" s="27" t="str">
        <v>Updated</v>
      </c>
    </row>
    <row r="307" ht="64" customHeight="1">
      <c r="A307" s="25" t="str">
        <v>Not Run</v>
      </c>
      <c r="B307" s="24" t="str">
        <v>GO-MAN-306</v>
      </c>
      <c r="C307" s="24" t="str">
        <v>Video Bundles</v>
      </c>
      <c r="D307" s="24" t="str">
        <v>Use the bundle’s supported completion action and refresh.</v>
      </c>
      <c r="E307" s="24" t="str">
        <v>The resulting completion state is consistent with its lessons and documented policy.</v>
      </c>
      <c r="F307" s="24" t="str">
        <v>Manual bundle completion</v>
      </c>
      <c r="G307" s="24" t="str">
        <v>P1</v>
      </c>
      <c r="H307" s="24" t="str">
        <v>Persona named in the case</v>
      </c>
      <c r="I307" s="24" t="str">
        <v>Use prepared QA records and separate accounts. Record the actual URL and build on Run Overview. Video bundles enabled. Prepare published, draft, archived and granted items.</v>
      </c>
      <c r="J307" s="24" t="str">
        <v>Regression</v>
      </c>
      <c r="K307" s="26"/>
      <c r="L307" s="26"/>
      <c r="M307" s="26"/>
      <c r="N307" s="29"/>
      <c r="O307" s="26"/>
      <c r="P307" s="26"/>
      <c r="Q307" s="26"/>
      <c r="R307" s="24" t="str">
        <v>VIDEO_BUNDLES_ENABLED</v>
      </c>
      <c r="S307" s="28" t="str">
        <v>Not Run</v>
      </c>
      <c r="T307" s="28"/>
      <c r="U307" s="28" t="str">
        <v>Updated</v>
      </c>
    </row>
    <row r="308" ht="64" customHeight="1">
      <c r="A308" s="25" t="str">
        <v>Not Run</v>
      </c>
      <c r="B308" s="19" t="str">
        <v>GO-MAN-307</v>
      </c>
      <c r="C308" s="19" t="str">
        <v>Video Bundles</v>
      </c>
      <c r="D308" s="19" t="str">
        <v>Use a bundle’s external-link action.</v>
      </c>
      <c r="E308" s="19" t="str">
        <v>The control identifies the external destination without exposing locked links to unauthorized users.</v>
      </c>
      <c r="F308" s="19" t="str">
        <v>External destination notice</v>
      </c>
      <c r="G308" s="19" t="str">
        <v>P1</v>
      </c>
      <c r="H308" s="19" t="str">
        <v>Persona named in the case</v>
      </c>
      <c r="I308" s="19" t="str">
        <v>Use prepared QA records and separate accounts. Record the actual URL and build on Run Overview. Video bundles enabled. Prepare published, draft, archived and granted items.</v>
      </c>
      <c r="J308" s="19" t="str">
        <v>Regression</v>
      </c>
      <c r="K308" s="26"/>
      <c r="L308" s="26"/>
      <c r="M308" s="26"/>
      <c r="N308" s="29"/>
      <c r="O308" s="26"/>
      <c r="P308" s="26"/>
      <c r="Q308" s="26"/>
      <c r="R308" s="19" t="str">
        <v>VIDEO_BUNDLES_ENABLED</v>
      </c>
      <c r="S308" s="27" t="str">
        <v>Not Run</v>
      </c>
      <c r="T308" s="27"/>
      <c r="U308" s="27" t="str">
        <v>Updated</v>
      </c>
    </row>
    <row r="309" ht="64" customHeight="1">
      <c r="A309" s="25" t="str">
        <v>Not Run</v>
      </c>
      <c r="B309" s="24" t="str">
        <v>GO-MAN-308</v>
      </c>
      <c r="C309" s="24" t="str">
        <v>Video Bundles</v>
      </c>
      <c r="D309" s="24" t="str">
        <v>Open a QA lesson with no destination.</v>
      </c>
      <c r="E309" s="24" t="str">
        <v>A useful unavailable state appears and no undefined redirect occurs.</v>
      </c>
      <c r="F309" s="24" t="str">
        <v>Missing bundle link</v>
      </c>
      <c r="G309" s="24" t="str">
        <v>P1</v>
      </c>
      <c r="H309" s="24" t="str">
        <v>Persona named in the case</v>
      </c>
      <c r="I309" s="24" t="str">
        <v>Use prepared QA records and separate accounts. Record the actual URL and build on Run Overview. Video bundles enabled. Prepare published, draft, archived and granted items.</v>
      </c>
      <c r="J309" s="24" t="str">
        <v>Regression</v>
      </c>
      <c r="K309" s="26"/>
      <c r="L309" s="26"/>
      <c r="M309" s="26"/>
      <c r="N309" s="29"/>
      <c r="O309" s="26"/>
      <c r="P309" s="26"/>
      <c r="Q309" s="26"/>
      <c r="R309" s="24" t="str">
        <v>VIDEO_BUNDLES_ENABLED</v>
      </c>
      <c r="S309" s="28" t="str">
        <v>Not Run</v>
      </c>
      <c r="T309" s="28"/>
      <c r="U309" s="28" t="str">
        <v>Updated</v>
      </c>
    </row>
    <row r="310" ht="64" customHeight="1">
      <c r="A310" s="25" t="str">
        <v>Not Run</v>
      </c>
      <c r="B310" s="19" t="str">
        <v>GO-MAN-309</v>
      </c>
      <c r="C310" s="19" t="str">
        <v>Video Bundles</v>
      </c>
      <c r="D310" s="19" t="str">
        <v>Archive a QA bundle and open its old catalog/detail URLs as normal user.</v>
      </c>
      <c r="E310" s="19" t="str">
        <v>It is removed from discovery and no unauthorized destination is returned.</v>
      </c>
      <c r="F310" s="19" t="str">
        <v>Archived bundle</v>
      </c>
      <c r="G310" s="19" t="str">
        <v>P1</v>
      </c>
      <c r="H310" s="19" t="str">
        <v>Persona named in the case</v>
      </c>
      <c r="I310" s="19" t="str">
        <v>Use prepared QA records and separate accounts. Record the actual URL and build on Run Overview. Video bundles enabled. Prepare published, draft, archived and granted items.</v>
      </c>
      <c r="J310" s="19" t="str">
        <v>Regression</v>
      </c>
      <c r="K310" s="26"/>
      <c r="L310" s="26"/>
      <c r="M310" s="26"/>
      <c r="N310" s="29"/>
      <c r="O310" s="26"/>
      <c r="P310" s="26"/>
      <c r="Q310" s="26"/>
      <c r="R310" s="19" t="str">
        <v>VIDEO_BUNDLES_ENABLED</v>
      </c>
      <c r="S310" s="27" t="str">
        <v>Not Run</v>
      </c>
      <c r="T310" s="27"/>
      <c r="U310" s="27" t="str">
        <v>Updated</v>
      </c>
    </row>
    <row r="311" ht="64" customHeight="1">
      <c r="A311" s="25" t="str">
        <v>Not Run</v>
      </c>
      <c r="B311" s="24" t="str">
        <v>GO-MAN-310</v>
      </c>
      <c r="C311" s="24" t="str">
        <v>Video Bundles</v>
      </c>
      <c r="D311" s="24" t="str">
        <v>Use lesson controls at 390px width.</v>
      </c>
      <c r="E311" s="24" t="str">
        <v>Titles, progress and actions fit and remain tappable.</v>
      </c>
      <c r="F311" s="24" t="str">
        <v>Bundle mobile layout</v>
      </c>
      <c r="G311" s="24" t="str">
        <v>P1</v>
      </c>
      <c r="H311" s="24" t="str">
        <v>Persona named in the case</v>
      </c>
      <c r="I311" s="24" t="str">
        <v>Use prepared QA records and separate accounts. Record the actual URL and build on Run Overview. Video bundles enabled. Prepare published, draft, archived and granted items.</v>
      </c>
      <c r="J311" s="24" t="str">
        <v>Regression</v>
      </c>
      <c r="K311" s="26"/>
      <c r="L311" s="26"/>
      <c r="M311" s="26"/>
      <c r="N311" s="29"/>
      <c r="O311" s="26"/>
      <c r="P311" s="26"/>
      <c r="Q311" s="26"/>
      <c r="R311" s="24" t="str">
        <v>VIDEO_BUNDLES_ENABLED</v>
      </c>
      <c r="S311" s="28" t="str">
        <v>Not Run</v>
      </c>
      <c r="T311" s="28"/>
      <c r="U311" s="28" t="str">
        <v>Updated</v>
      </c>
    </row>
    <row r="312" ht="64" customHeight="1">
      <c r="A312" s="25" t="str">
        <v>Not Run</v>
      </c>
      <c r="B312" s="19" t="str">
        <v>GO-MAN-311</v>
      </c>
      <c r="C312" s="19" t="str">
        <v>Video Bundles</v>
      </c>
      <c r="D312" s="19" t="str">
        <v>Tab through lessons and use Open/Complete with keyboard.</v>
      </c>
      <c r="E312" s="19" t="str">
        <v>All actions are reachable with visible focus and meaningful labels.</v>
      </c>
      <c r="F312" s="19" t="str">
        <v>Bundle keyboard access</v>
      </c>
      <c r="G312" s="19" t="str">
        <v>P1</v>
      </c>
      <c r="H312" s="19" t="str">
        <v>Persona named in the case</v>
      </c>
      <c r="I312" s="19" t="str">
        <v>Use prepared QA records and separate accounts. Record the actual URL and build on Run Overview. Video bundles enabled. Prepare published, draft, archived and granted items.</v>
      </c>
      <c r="J312" s="19" t="str">
        <v>Regression</v>
      </c>
      <c r="K312" s="26"/>
      <c r="L312" s="26"/>
      <c r="M312" s="26"/>
      <c r="N312" s="29"/>
      <c r="O312" s="26"/>
      <c r="P312" s="26"/>
      <c r="Q312" s="26"/>
      <c r="R312" s="19" t="str">
        <v>VIDEO_BUNDLES_ENABLED</v>
      </c>
      <c r="S312" s="27" t="str">
        <v>Not Run</v>
      </c>
      <c r="T312" s="27"/>
      <c r="U312" s="27" t="str">
        <v>Updated</v>
      </c>
    </row>
    <row r="313" ht="64" customHeight="1">
      <c r="A313" s="25" t="str">
        <v>Not Run</v>
      </c>
      <c r="B313" s="24" t="str">
        <v>GO-MAN-312</v>
      </c>
      <c r="C313" s="24" t="str">
        <v>Video Bundles</v>
      </c>
      <c r="D313" s="24" t="str">
        <v>Open an external video and return without marking it complete.</v>
      </c>
      <c r="E313" s="24" t="str">
        <v>Playback time is not fabricated and completion follows explicit manual actions.</v>
      </c>
      <c r="F313" s="24" t="str">
        <v>No invented watch-time completion</v>
      </c>
      <c r="G313" s="24" t="str">
        <v>P1</v>
      </c>
      <c r="H313" s="24" t="str">
        <v>Persona named in the case</v>
      </c>
      <c r="I313" s="24" t="str">
        <v>Use prepared QA records and separate accounts. Record the actual URL and build on Run Overview. Video bundles enabled. Prepare published, draft, archived and granted items.</v>
      </c>
      <c r="J313" s="24" t="str">
        <v>Regression</v>
      </c>
      <c r="K313" s="26"/>
      <c r="L313" s="26"/>
      <c r="M313" s="26"/>
      <c r="N313" s="29"/>
      <c r="O313" s="26"/>
      <c r="P313" s="26"/>
      <c r="Q313" s="26"/>
      <c r="R313" s="24" t="str">
        <v>VIDEO_BUNDLES_ENABLED</v>
      </c>
      <c r="S313" s="28" t="str">
        <v>Not Run</v>
      </c>
      <c r="T313" s="28"/>
      <c r="U313" s="28" t="str">
        <v>Updated</v>
      </c>
    </row>
    <row r="314" ht="60" customHeight="1">
      <c r="A314" s="25" t="str">
        <v>Not Run</v>
      </c>
      <c r="B314" s="19" t="str">
        <v>GO-MAN-313</v>
      </c>
      <c r="C314" s="19" t="str">
        <v>Mentor Programme</v>
      </c>
      <c r="D314" s="19" t="str">
        <v>Open the Mentor membership card and its programme/application actions.</v>
      </c>
      <c r="E314" s="19" t="str">
        <v>The paid plan and internal application are available according to configuration. Interview verification is explicit.</v>
      </c>
      <c r="F314" s="19" t="str">
        <v>Mentor programme entry</v>
      </c>
      <c r="G314" s="19" t="str">
        <v>P1</v>
      </c>
      <c r="H314" s="19" t="str">
        <v>Applicant, mentor or admin named in the steps</v>
      </c>
      <c r="I314" s="19" t="str">
        <v>Use prepared QA records and separate accounts. Record the actual URL and build on Run Overview. Prepare mentor applicants and reviewer accounts.</v>
      </c>
      <c r="J314" s="19" t="str">
        <v>Regression</v>
      </c>
      <c r="K314" s="26"/>
      <c r="L314" s="26"/>
      <c r="M314" s="26"/>
      <c r="N314" s="29"/>
      <c r="O314" s="26"/>
      <c r="P314" s="26"/>
      <c r="Q314" s="26"/>
      <c r="R314" s="19" t="str">
        <v>Core</v>
      </c>
      <c r="S314" s="27" t="str">
        <v>Not Run</v>
      </c>
      <c r="T314" s="27"/>
      <c r="U314" s="27" t="str">
        <v>Updated</v>
      </c>
    </row>
    <row r="315" ht="60" customHeight="1">
      <c r="A315" s="25" t="str">
        <v>Not Run</v>
      </c>
      <c r="B315" s="24" t="str">
        <v>GO-MAN-314</v>
      </c>
      <c r="C315" s="24" t="str">
        <v>Mentor Programme</v>
      </c>
      <c r="D315" s="24" t="str">
        <v>With Mentor checkout enabled, open its sandbox checkout. Repeat with the override disabled.</v>
      </c>
      <c r="E315" s="24" t="str">
        <v>Enabled checkout maps to Mentor. Disabled checkout cannot create a session.</v>
      </c>
      <c r="F315" s="24" t="str">
        <v>Mentor checkout configuration</v>
      </c>
      <c r="G315" s="24" t="str">
        <v>P1</v>
      </c>
      <c r="H315" s="24" t="str">
        <v>Applicant, mentor or admin named in the steps</v>
      </c>
      <c r="I315" s="24" t="str">
        <v>Use prepared QA records and separate accounts. Record the actual URL and build on Run Overview. Prepare mentor applicants and reviewer accounts.</v>
      </c>
      <c r="J315" s="24" t="str">
        <v>Regression</v>
      </c>
      <c r="K315" s="26"/>
      <c r="L315" s="26"/>
      <c r="M315" s="26"/>
      <c r="N315" s="29"/>
      <c r="O315" s="26"/>
      <c r="P315" s="26"/>
      <c r="Q315" s="26"/>
      <c r="R315" s="24" t="str">
        <v>Core</v>
      </c>
      <c r="S315" s="28" t="str">
        <v>Not Run</v>
      </c>
      <c r="T315" s="28"/>
      <c r="U315" s="28" t="str">
        <v>Updated</v>
      </c>
    </row>
    <row r="316" ht="60" customHeight="1">
      <c r="A316" s="25" t="str">
        <v>Not Run</v>
      </c>
      <c r="B316" s="19" t="str">
        <v>GO-MAN-315</v>
      </c>
      <c r="C316" s="19" t="str">
        <v>Mentor Programme</v>
      </c>
      <c r="D316" s="19" t="str">
        <v>Toggle Mentor monthly/annual and compare the sandbox checkout.</v>
      </c>
      <c r="E316" s="19" t="str">
        <v>Configured price and recurrence match. No stale Coming Soon claim replaces the current plan.</v>
      </c>
      <c r="F316" s="19" t="str">
        <v>Mentor price and recurrence</v>
      </c>
      <c r="G316" s="19" t="str">
        <v>P1</v>
      </c>
      <c r="H316" s="19" t="str">
        <v>Applicant, mentor or admin named in the steps</v>
      </c>
      <c r="I316" s="19" t="str">
        <v>Use prepared QA records and separate accounts. Record the actual URL and build on Run Overview. Prepare mentor applicants and reviewer accounts.</v>
      </c>
      <c r="J316" s="19" t="str">
        <v>Regression</v>
      </c>
      <c r="K316" s="26"/>
      <c r="L316" s="26"/>
      <c r="M316" s="26"/>
      <c r="N316" s="29"/>
      <c r="O316" s="26"/>
      <c r="P316" s="26"/>
      <c r="Q316" s="26"/>
      <c r="R316" s="19" t="str">
        <v>Core</v>
      </c>
      <c r="S316" s="27" t="str">
        <v>Not Run</v>
      </c>
      <c r="T316" s="27"/>
      <c r="U316" s="27" t="str">
        <v>Updated</v>
      </c>
    </row>
    <row r="317" ht="60" customHeight="1">
      <c r="A317" s="25" t="str">
        <v>Not Run</v>
      </c>
      <c r="B317" s="24" t="str">
        <v>GO-MAN-316</v>
      </c>
      <c r="C317" s="24" t="str">
        <v>Mentor Programme</v>
      </c>
      <c r="D317" s="24" t="str">
        <v>Open the mentor application from /membership and /profile.</v>
      </c>
      <c r="E317" s="24" t="str">
        <v>The same internal draft/application state loads.</v>
      </c>
      <c r="F317" s="24" t="str">
        <v>Internal mentor application entry</v>
      </c>
      <c r="G317" s="24" t="str">
        <v>P1</v>
      </c>
      <c r="H317" s="24" t="str">
        <v>Applicant, mentor or admin named in the steps</v>
      </c>
      <c r="I317" s="24" t="str">
        <v>Use prepared QA records and separate accounts. Record the actual URL and build on Run Overview. Prepare mentor applicants and reviewer accounts.</v>
      </c>
      <c r="J317" s="24" t="str">
        <v>Regression</v>
      </c>
      <c r="K317" s="26"/>
      <c r="L317" s="26"/>
      <c r="M317" s="26"/>
      <c r="N317" s="29"/>
      <c r="O317" s="26"/>
      <c r="P317" s="26"/>
      <c r="Q317" s="26"/>
      <c r="R317" s="24" t="str">
        <v>Core</v>
      </c>
      <c r="S317" s="28" t="str">
        <v>Not Run</v>
      </c>
      <c r="T317" s="28"/>
      <c r="U317" s="28" t="str">
        <v>Updated</v>
      </c>
    </row>
    <row r="318" ht="60" customHeight="1">
      <c r="A318" s="25" t="str">
        <v>Not Run</v>
      </c>
      <c r="B318" s="19" t="str">
        <v>GO-MAN-317</v>
      </c>
      <c r="C318" s="19" t="str">
        <v>Mentor Programme</v>
      </c>
      <c r="D318" s="19" t="str">
        <v>Open the internal mentor application with no legacy external application URL.</v>
      </c>
      <c r="E318" s="19" t="str">
        <v>The internal workflow remains usable without redirecting to an unconfigured external form.</v>
      </c>
      <c r="F318" s="19" t="str">
        <v>No external form dependency</v>
      </c>
      <c r="G318" s="19" t="str">
        <v>P1</v>
      </c>
      <c r="H318" s="19" t="str">
        <v>Applicant, mentor or admin named in the steps</v>
      </c>
      <c r="I318" s="19" t="str">
        <v>Use prepared QA records and separate accounts. Record the actual URL and build on Run Overview. Prepare mentor applicants and reviewer accounts.</v>
      </c>
      <c r="J318" s="19" t="str">
        <v>Regression</v>
      </c>
      <c r="K318" s="26"/>
      <c r="L318" s="26"/>
      <c r="M318" s="26"/>
      <c r="N318" s="29"/>
      <c r="O318" s="26"/>
      <c r="P318" s="26"/>
      <c r="Q318" s="26"/>
      <c r="R318" s="19" t="str">
        <v>Core</v>
      </c>
      <c r="S318" s="27" t="str">
        <v>Not Run</v>
      </c>
      <c r="T318" s="27"/>
      <c r="U318" s="27" t="str">
        <v>Updated</v>
      </c>
    </row>
    <row r="319" ht="60" customHeight="1">
      <c r="A319" s="25" t="str">
        <v>Not Run</v>
      </c>
      <c r="B319" s="24" t="str">
        <v>GO-MAN-318</v>
      </c>
      <c r="C319" s="24" t="str">
        <v>Mentor Programme</v>
      </c>
      <c r="D319" s="24" t="str">
        <v>Save a valid mentor draft and submit with required consents while applications are open.</v>
      </c>
      <c r="E319" s="24" t="str">
        <v>Status becomes submitted once. Payment alone does not approve the mentor.</v>
      </c>
      <c r="F319" s="24" t="str">
        <v>Applications open</v>
      </c>
      <c r="G319" s="24" t="str">
        <v>P1</v>
      </c>
      <c r="H319" s="24" t="str">
        <v>Applicant, mentor or admin named in the steps</v>
      </c>
      <c r="I319" s="24" t="str">
        <v>Use prepared QA records and separate accounts. Record the actual URL and build on Run Overview. Prepare mentor applicants and reviewer accounts.</v>
      </c>
      <c r="J319" s="24" t="str">
        <v>Regression</v>
      </c>
      <c r="K319" s="26"/>
      <c r="L319" s="26"/>
      <c r="M319" s="26"/>
      <c r="N319" s="29"/>
      <c r="O319" s="26"/>
      <c r="P319" s="26"/>
      <c r="Q319" s="26"/>
      <c r="R319" s="24" t="str">
        <v>Core</v>
      </c>
      <c r="S319" s="28" t="str">
        <v>Not Run</v>
      </c>
      <c r="T319" s="28"/>
      <c r="U319" s="28" t="str">
        <v>Updated</v>
      </c>
    </row>
    <row r="320" ht="60" customHeight="1">
      <c r="A320" s="25" t="str">
        <v>Not Run</v>
      </c>
      <c r="B320" s="19" t="str">
        <v>GO-MAN-319</v>
      </c>
      <c r="C320" s="19" t="str">
        <v>Mentor Programme</v>
      </c>
      <c r="D320" s="19" t="str">
        <v>Close new applications in QA settings and submit a prepared new draft.</v>
      </c>
      <c r="E320" s="19" t="str">
        <v>The server rejects submission with a clear applications-closed state.</v>
      </c>
      <c r="F320" s="19" t="str">
        <v>Applications closed</v>
      </c>
      <c r="G320" s="19" t="str">
        <v>P1</v>
      </c>
      <c r="H320" s="19" t="str">
        <v>Applicant, mentor or admin named in the steps</v>
      </c>
      <c r="I320" s="19" t="str">
        <v>Use prepared QA records and separate accounts. Record the actual URL and build on Run Overview. Prepare mentor applicants and reviewer accounts.</v>
      </c>
      <c r="J320" s="19" t="str">
        <v>Regression</v>
      </c>
      <c r="K320" s="26"/>
      <c r="L320" s="26"/>
      <c r="M320" s="26"/>
      <c r="N320" s="29"/>
      <c r="O320" s="26"/>
      <c r="P320" s="26"/>
      <c r="Q320" s="26"/>
      <c r="R320" s="19" t="str">
        <v>Core</v>
      </c>
      <c r="S320" s="27" t="str">
        <v>Not Run</v>
      </c>
      <c r="T320" s="27"/>
      <c r="U320" s="27" t="str">
        <v>Updated</v>
      </c>
    </row>
    <row r="321" ht="60" customHeight="1">
      <c r="A321" s="25" t="str">
        <v>Not Run</v>
      </c>
      <c r="B321" s="24" t="str">
        <v>GO-MAN-320</v>
      </c>
      <c r="C321" s="24" t="str">
        <v>Mentor Programme</v>
      </c>
      <c r="D321" s="24" t="str">
        <v>Start application signed out, sign in and continue.</v>
      </c>
      <c r="E321" s="24" t="str">
        <v>The private application workspace opens for the authenticated account.</v>
      </c>
      <c r="F321" s="24" t="str">
        <v>Mentor signup/sign-in return</v>
      </c>
      <c r="G321" s="24" t="str">
        <v>P1</v>
      </c>
      <c r="H321" s="24" t="str">
        <v>Applicant, mentor or admin named in the steps</v>
      </c>
      <c r="I321" s="24" t="str">
        <v>Use prepared QA records and separate accounts. Record the actual URL and build on Run Overview. Prepare mentor applicants and reviewer accounts.</v>
      </c>
      <c r="J321" s="24" t="str">
        <v>Regression</v>
      </c>
      <c r="K321" s="26"/>
      <c r="L321" s="26"/>
      <c r="M321" s="26"/>
      <c r="N321" s="29"/>
      <c r="O321" s="26"/>
      <c r="P321" s="26"/>
      <c r="Q321" s="26"/>
      <c r="R321" s="24" t="str">
        <v>Core</v>
      </c>
      <c r="S321" s="28" t="str">
        <v>Not Run</v>
      </c>
      <c r="T321" s="28"/>
      <c r="U321" s="28" t="str">
        <v>Updated</v>
      </c>
    </row>
    <row r="322" ht="60" customHeight="1">
      <c r="A322" s="25" t="str">
        <v>Not Run</v>
      </c>
      <c r="B322" s="19" t="str">
        <v>GO-MAN-321</v>
      </c>
      <c r="C322" s="19" t="str">
        <v>Mentor Programme</v>
      </c>
      <c r="D322" s="19" t="str">
        <v>Complete required fields, accept current conduct/terms and submit.</v>
      </c>
      <c r="E322" s="19" t="str">
        <v>The app saves a submitted application for GO review without opening an external Jira form.</v>
      </c>
      <c r="F322" s="19" t="str">
        <v>Internal application submission</v>
      </c>
      <c r="G322" s="19" t="str">
        <v>P1</v>
      </c>
      <c r="H322" s="19" t="str">
        <v>Applicant, mentor or admin named in the steps</v>
      </c>
      <c r="I322" s="19" t="str">
        <v>Use prepared QA records and separate accounts. Record the actual URL and build on Run Overview. Prepare mentor applicants and reviewer accounts.</v>
      </c>
      <c r="J322" s="19" t="str">
        <v>Regression</v>
      </c>
      <c r="K322" s="26"/>
      <c r="L322" s="26"/>
      <c r="M322" s="26"/>
      <c r="N322" s="29"/>
      <c r="O322" s="26"/>
      <c r="P322" s="26"/>
      <c r="Q322" s="26"/>
      <c r="R322" s="19" t="str">
        <v>Core</v>
      </c>
      <c r="S322" s="27" t="str">
        <v>Not Run</v>
      </c>
      <c r="T322" s="27"/>
      <c r="U322" s="27" t="str">
        <v>Updated</v>
      </c>
    </row>
    <row r="323" ht="60" customHeight="1">
      <c r="A323" s="25" t="str">
        <v>Not Run</v>
      </c>
      <c r="B323" s="24" t="str">
        <v>GO-MAN-322</v>
      </c>
      <c r="C323" s="24" t="str">
        <v>Mentor Programme</v>
      </c>
      <c r="D323" s="24" t="str">
        <v>Inspect applicant, public and unrelated-user payloads for a submitted application.</v>
      </c>
      <c r="E323" s="24" t="str">
        <v>Internal reviewer notes, integration identifiers and other applicants’ records stay private.</v>
      </c>
      <c r="F323" s="24" t="str">
        <v>Private review integration</v>
      </c>
      <c r="G323" s="24" t="str">
        <v>P1</v>
      </c>
      <c r="H323" s="24" t="str">
        <v>Applicant, mentor or admin named in the steps</v>
      </c>
      <c r="I323" s="24" t="str">
        <v>Use prepared QA records and separate accounts. Record the actual URL and build on Run Overview. Prepare mentor applicants and reviewer accounts.</v>
      </c>
      <c r="J323" s="24" t="str">
        <v>Regression</v>
      </c>
      <c r="K323" s="26"/>
      <c r="L323" s="26"/>
      <c r="M323" s="26"/>
      <c r="N323" s="29"/>
      <c r="O323" s="26"/>
      <c r="P323" s="26"/>
      <c r="Q323" s="26"/>
      <c r="R323" s="24" t="str">
        <v>Core</v>
      </c>
      <c r="S323" s="28" t="str">
        <v>Not Run</v>
      </c>
      <c r="T323" s="28"/>
      <c r="U323" s="28" t="str">
        <v>Updated</v>
      </c>
    </row>
    <row r="324" ht="60" customHeight="1">
      <c r="A324" s="25" t="str">
        <v>Not Run</v>
      </c>
      <c r="B324" s="19" t="str">
        <v>GO-MAN-323</v>
      </c>
      <c r="C324" s="19" t="str">
        <v>Mentor Programme</v>
      </c>
      <c r="D324" s="19" t="str">
        <v>As submitted applicant, refresh profile and application status.</v>
      </c>
      <c r="E324" s="19" t="str">
        <v>The correct pending-review state appears without approved mentor powers.</v>
      </c>
      <c r="F324" s="19" t="str">
        <v>Applicant status</v>
      </c>
      <c r="G324" s="19" t="str">
        <v>P1</v>
      </c>
      <c r="H324" s="19" t="str">
        <v>Applicant, mentor or admin named in the steps</v>
      </c>
      <c r="I324" s="19" t="str">
        <v>Use prepared QA records and separate accounts. Record the actual URL and build on Run Overview. Prepare mentor applicants and reviewer accounts.</v>
      </c>
      <c r="J324" s="19" t="str">
        <v>Regression</v>
      </c>
      <c r="K324" s="26"/>
      <c r="L324" s="26"/>
      <c r="M324" s="26"/>
      <c r="N324" s="29"/>
      <c r="O324" s="26"/>
      <c r="P324" s="26"/>
      <c r="Q324" s="26"/>
      <c r="R324" s="19" t="str">
        <v>Core</v>
      </c>
      <c r="S324" s="27" t="str">
        <v>Not Run</v>
      </c>
      <c r="T324" s="27"/>
      <c r="U324" s="27" t="str">
        <v>Updated</v>
      </c>
    </row>
    <row r="325" ht="60" customHeight="1">
      <c r="A325" s="25" t="str">
        <v>Not Run</v>
      </c>
      <c r="B325" s="24" t="str">
        <v>GO-MAN-324</v>
      </c>
      <c r="C325" s="24" t="str">
        <v>Mentor Programme</v>
      </c>
      <c r="D325" s="24" t="str">
        <v>Approve a prepared application after review and compare profile and directory.</v>
      </c>
      <c r="E325" s="24" t="str">
        <v>Approved status is consistent. Public display still requires consent and an enabled profile.</v>
      </c>
      <c r="F325" s="24" t="str">
        <v>Approved mentor status</v>
      </c>
      <c r="G325" s="24" t="str">
        <v>P1</v>
      </c>
      <c r="H325" s="24" t="str">
        <v>Applicant, mentor or admin named in the steps</v>
      </c>
      <c r="I325" s="24" t="str">
        <v>Use prepared QA records and separate accounts. Record the actual URL and build on Run Overview. Prepare mentor applicants and reviewer accounts.</v>
      </c>
      <c r="J325" s="24" t="str">
        <v>Regression</v>
      </c>
      <c r="K325" s="26"/>
      <c r="L325" s="26"/>
      <c r="M325" s="26"/>
      <c r="N325" s="29"/>
      <c r="O325" s="26"/>
      <c r="P325" s="26"/>
      <c r="Q325" s="26"/>
      <c r="R325" s="24" t="str">
        <v>Core</v>
      </c>
      <c r="S325" s="28" t="str">
        <v>Not Run</v>
      </c>
      <c r="T325" s="28"/>
      <c r="U325" s="28" t="str">
        <v>Updated</v>
      </c>
    </row>
    <row r="326" ht="60" customHeight="1">
      <c r="A326" s="25" t="str">
        <v>Not Run</v>
      </c>
      <c r="B326" s="19" t="str">
        <v>GO-MAN-325</v>
      </c>
      <c r="C326" s="19" t="str">
        <v>Mentor Programme</v>
      </c>
      <c r="D326" s="19" t="str">
        <v>Pause an approved mentor and view directory/request actions.</v>
      </c>
      <c r="E326" s="19" t="str">
        <v>New work is unavailable while the pause is active.</v>
      </c>
      <c r="F326" s="19" t="str">
        <v>Paused mentor status</v>
      </c>
      <c r="G326" s="19" t="str">
        <v>P1</v>
      </c>
      <c r="H326" s="19" t="str">
        <v>Applicant, mentor or admin named in the steps</v>
      </c>
      <c r="I326" s="19" t="str">
        <v>Use prepared QA records and separate accounts. Record the actual URL and build on Run Overview. Prepare mentor applicants and reviewer accounts.</v>
      </c>
      <c r="J326" s="19" t="str">
        <v>Regression</v>
      </c>
      <c r="K326" s="26"/>
      <c r="L326" s="26"/>
      <c r="M326" s="26"/>
      <c r="N326" s="29"/>
      <c r="O326" s="26"/>
      <c r="P326" s="26"/>
      <c r="Q326" s="26"/>
      <c r="R326" s="19" t="str">
        <v>Core</v>
      </c>
      <c r="S326" s="27" t="str">
        <v>Not Run</v>
      </c>
      <c r="T326" s="27"/>
      <c r="U326" s="27" t="str">
        <v>Updated</v>
      </c>
    </row>
    <row r="327" ht="60" customHeight="1">
      <c r="A327" s="25" t="str">
        <v>Not Run</v>
      </c>
      <c r="B327" s="24" t="str">
        <v>GO-MAN-326</v>
      </c>
      <c r="C327" s="24" t="str">
        <v>Mentor Programme</v>
      </c>
      <c r="D327" s="24" t="str">
        <v>Suspend a prepared mentor, then attempt new acceptance and public browsing.</v>
      </c>
      <c r="E327" s="24" t="str">
        <v>Suspension blocks mentor actions and removes public availability.</v>
      </c>
      <c r="F327" s="24" t="str">
        <v>Suspended mentor status</v>
      </c>
      <c r="G327" s="24" t="str">
        <v>P0</v>
      </c>
      <c r="H327" s="24" t="str">
        <v>Applicant, mentor or admin named in the steps</v>
      </c>
      <c r="I327" s="24" t="str">
        <v>Use prepared QA records and separate accounts. Record the actual URL and build on Run Overview. Prepare mentor applicants and reviewer accounts.</v>
      </c>
      <c r="J327" s="24" t="str">
        <v>Regression</v>
      </c>
      <c r="K327" s="26"/>
      <c r="L327" s="26"/>
      <c r="M327" s="26"/>
      <c r="N327" s="29"/>
      <c r="O327" s="26"/>
      <c r="P327" s="26"/>
      <c r="Q327" s="26"/>
      <c r="R327" s="24" t="str">
        <v>Core</v>
      </c>
      <c r="S327" s="28" t="str">
        <v>Not Run</v>
      </c>
      <c r="T327" s="28"/>
      <c r="U327" s="28" t="str">
        <v>Updated</v>
      </c>
    </row>
    <row r="328" ht="60" customHeight="1">
      <c r="A328" s="25" t="str">
        <v>Not Run</v>
      </c>
      <c r="B328" s="19" t="str">
        <v>GO-MAN-327</v>
      </c>
      <c r="C328" s="19" t="str">
        <v>Mentor Programme</v>
      </c>
      <c r="D328" s="19" t="str">
        <v>Archive an inactive mentor in QA and revisit old URLs.</v>
      </c>
      <c r="E328" s="19" t="str">
        <v>The profile is not offered for new matches and private records stay protected.</v>
      </c>
      <c r="F328" s="19" t="str">
        <v>Inactive mentor status</v>
      </c>
      <c r="G328" s="19" t="str">
        <v>P1</v>
      </c>
      <c r="H328" s="19" t="str">
        <v>Applicant, mentor or admin named in the steps</v>
      </c>
      <c r="I328" s="19" t="str">
        <v>Use prepared QA records and separate accounts. Record the actual URL and build on Run Overview. Prepare mentor applicants and reviewer accounts.</v>
      </c>
      <c r="J328" s="19" t="str">
        <v>Regression</v>
      </c>
      <c r="K328" s="26"/>
      <c r="L328" s="26"/>
      <c r="M328" s="26"/>
      <c r="N328" s="29"/>
      <c r="O328" s="26"/>
      <c r="P328" s="26"/>
      <c r="Q328" s="26"/>
      <c r="R328" s="19" t="str">
        <v>Core</v>
      </c>
      <c r="S328" s="27" t="str">
        <v>Not Run</v>
      </c>
      <c r="T328" s="27"/>
      <c r="U328" s="27" t="str">
        <v>Updated</v>
      </c>
    </row>
    <row r="329" ht="60" customHeight="1">
      <c r="A329" s="25" t="str">
        <v>Not Run</v>
      </c>
      <c r="B329" s="24" t="str">
        <v>GO-MAN-328</v>
      </c>
      <c r="C329" s="24" t="str">
        <v>Mentor Programme</v>
      </c>
      <c r="D329" s="24" t="str">
        <v>Reject a prepared application and view its owner status.</v>
      </c>
      <c r="E329" s="24" t="str">
        <v>Rejection is clear and does not grant mentor powers or public directory visibility.</v>
      </c>
      <c r="F329" s="24" t="str">
        <v>Rejected applicant status</v>
      </c>
      <c r="G329" s="24" t="str">
        <v>P1</v>
      </c>
      <c r="H329" s="24" t="str">
        <v>Applicant, mentor or admin named in the steps</v>
      </c>
      <c r="I329" s="24" t="str">
        <v>Use prepared QA records and separate accounts. Record the actual URL and build on Run Overview. Prepare mentor applicants and reviewer accounts.</v>
      </c>
      <c r="J329" s="24" t="str">
        <v>Regression</v>
      </c>
      <c r="K329" s="26"/>
      <c r="L329" s="26"/>
      <c r="M329" s="26"/>
      <c r="N329" s="29"/>
      <c r="O329" s="26"/>
      <c r="P329" s="26"/>
      <c r="Q329" s="26"/>
      <c r="R329" s="24" t="str">
        <v>Core</v>
      </c>
      <c r="S329" s="28" t="str">
        <v>Not Run</v>
      </c>
      <c r="T329" s="28"/>
      <c r="U329" s="28" t="str">
        <v>Updated</v>
      </c>
    </row>
    <row r="330" ht="60" customHeight="1">
      <c r="A330" s="25" t="str">
        <v>Not Run</v>
      </c>
      <c r="B330" s="19" t="str">
        <v>GO-MAN-329</v>
      </c>
      <c r="C330" s="19" t="str">
        <v>Mentor Programme</v>
      </c>
      <c r="D330" s="19" t="str">
        <v>As admin, change one prepared mentor’s status with the required reason.</v>
      </c>
      <c r="E330" s="19" t="str">
        <v>The selected account changes and the audit history records the action.</v>
      </c>
      <c r="F330" s="19" t="str">
        <v>Admin mentor status change</v>
      </c>
      <c r="G330" s="19" t="str">
        <v>P0</v>
      </c>
      <c r="H330" s="19" t="str">
        <v>Applicant, mentor or admin named in the steps</v>
      </c>
      <c r="I330" s="19" t="str">
        <v>Use prepared QA records and separate accounts. Record the actual URL and build on Run Overview. Prepare mentor applicants and reviewer accounts.</v>
      </c>
      <c r="J330" s="19" t="str">
        <v>Regression</v>
      </c>
      <c r="K330" s="26"/>
      <c r="L330" s="26"/>
      <c r="M330" s="26"/>
      <c r="N330" s="29"/>
      <c r="O330" s="26"/>
      <c r="P330" s="26"/>
      <c r="Q330" s="26"/>
      <c r="R330" s="19" t="str">
        <v>Core</v>
      </c>
      <c r="S330" s="27" t="str">
        <v>Not Run</v>
      </c>
      <c r="T330" s="27"/>
      <c r="U330" s="27" t="str">
        <v>Updated</v>
      </c>
    </row>
    <row r="331" ht="60" customHeight="1">
      <c r="A331" s="25" t="str">
        <v>Not Run</v>
      </c>
      <c r="B331" s="24" t="str">
        <v>GO-MAN-330</v>
      </c>
      <c r="C331" s="24" t="str">
        <v>Mentor Programme</v>
      </c>
      <c r="D331" s="24" t="str">
        <v>As normal user, attempt mentor approval through direct API request.</v>
      </c>
      <c r="E331" s="24" t="str">
        <v>The server denies it and mentor status does not change.</v>
      </c>
      <c r="F331" s="24" t="str">
        <v>Unauthorized status change</v>
      </c>
      <c r="G331" s="24" t="str">
        <v>P0</v>
      </c>
      <c r="H331" s="24" t="str">
        <v>Applicant, mentor or admin named in the steps</v>
      </c>
      <c r="I331" s="24" t="str">
        <v>Use prepared QA records and separate accounts. Record the actual URL and build on Run Overview. Prepare mentor applicants and reviewer accounts.</v>
      </c>
      <c r="J331" s="24" t="str">
        <v>Regression</v>
      </c>
      <c r="K331" s="26"/>
      <c r="L331" s="26"/>
      <c r="M331" s="26"/>
      <c r="N331" s="29"/>
      <c r="O331" s="26"/>
      <c r="P331" s="26"/>
      <c r="Q331" s="26"/>
      <c r="R331" s="24" t="str">
        <v>Core</v>
      </c>
      <c r="S331" s="28" t="str">
        <v>Not Run</v>
      </c>
      <c r="T331" s="28"/>
      <c r="U331" s="28" t="str">
        <v>Updated</v>
      </c>
    </row>
    <row r="332" ht="60" customHeight="1">
      <c r="A332" s="25" t="str">
        <v>Not Run</v>
      </c>
      <c r="B332" s="19" t="str">
        <v>GO-MAN-331</v>
      </c>
      <c r="C332" s="19" t="str">
        <v>Mentor Programme</v>
      </c>
      <c r="D332" s="19" t="str">
        <v>Inspect the review history after an authorized approval and pause.</v>
      </c>
      <c r="E332" s="19" t="str">
        <v>Actor, target, timestamp and state changes are recorded for authorized reviewers.</v>
      </c>
      <c r="F332" s="19" t="str">
        <v>Mentor status audit</v>
      </c>
      <c r="G332" s="19" t="str">
        <v>P1</v>
      </c>
      <c r="H332" s="19" t="str">
        <v>Applicant, mentor or admin named in the steps</v>
      </c>
      <c r="I332" s="19" t="str">
        <v>Use prepared QA records and separate accounts. Record the actual URL and build on Run Overview. Prepare mentor applicants and reviewer accounts.</v>
      </c>
      <c r="J332" s="19" t="str">
        <v>Regression</v>
      </c>
      <c r="K332" s="26"/>
      <c r="L332" s="26"/>
      <c r="M332" s="26"/>
      <c r="N332" s="29"/>
      <c r="O332" s="26"/>
      <c r="P332" s="26"/>
      <c r="Q332" s="26"/>
      <c r="R332" s="19" t="str">
        <v>Core</v>
      </c>
      <c r="S332" s="27" t="str">
        <v>Not Run</v>
      </c>
      <c r="T332" s="27"/>
      <c r="U332" s="27" t="str">
        <v>Updated</v>
      </c>
    </row>
    <row r="333" ht="64" customHeight="1">
      <c r="A333" s="25" t="str">
        <v>Not Run</v>
      </c>
      <c r="B333" s="24" t="str">
        <v>GO-MAN-332</v>
      </c>
      <c r="C333" s="24" t="str">
        <v>Mentor Directory</v>
      </c>
      <c r="D333" s="24" t="str">
        <v>Open /mentorship as visitor with one approved, public, available mentor.</v>
      </c>
      <c r="E333" s="24" t="str">
        <v>The mentor appears with allowed public fields and a working detail link.</v>
      </c>
      <c r="F333" s="24" t="str">
        <v>Approved public mentor</v>
      </c>
      <c r="G333" s="24" t="str">
        <v>P1</v>
      </c>
      <c r="H333" s="24" t="str">
        <v>Visitor, mentor owner or reviewer as stated</v>
      </c>
      <c r="I333" s="24" t="str">
        <v>Use prepared QA records and separate accounts. Record the actual URL and build on Run Overview. Directory enabled. Prepare approved public/private, paused, suspended and rejected profiles.</v>
      </c>
      <c r="J333" s="24" t="str">
        <v>Regression</v>
      </c>
      <c r="K333" s="26"/>
      <c r="L333" s="26"/>
      <c r="M333" s="26"/>
      <c r="N333" s="29"/>
      <c r="O333" s="26"/>
      <c r="P333" s="26"/>
      <c r="Q333" s="26"/>
      <c r="R333" s="24" t="str">
        <v>MENTOR_DIRECTORY_ENABLED</v>
      </c>
      <c r="S333" s="28" t="str">
        <v>Not Run</v>
      </c>
      <c r="T333" s="28"/>
      <c r="U333" s="28" t="str">
        <v>Updated</v>
      </c>
    </row>
    <row r="334" ht="64" customHeight="1">
      <c r="A334" s="25" t="str">
        <v>Not Run</v>
      </c>
      <c r="B334" s="19" t="str">
        <v>GO-MAN-333</v>
      </c>
      <c r="C334" s="19" t="str">
        <v>Mentor Directory</v>
      </c>
      <c r="D334" s="19" t="str">
        <v>Turn off mentor public consent/profile visibility and visit its old URL as visitor.</v>
      </c>
      <c r="E334" s="19" t="str">
        <v>The mentor is excluded from public discovery and private fields are not returned.</v>
      </c>
      <c r="F334" s="19" t="str">
        <v>Approved private mentor</v>
      </c>
      <c r="G334" s="19" t="str">
        <v>P0</v>
      </c>
      <c r="H334" s="19" t="str">
        <v>Visitor, mentor owner or reviewer as stated</v>
      </c>
      <c r="I334" s="19" t="str">
        <v>Use prepared QA records and separate accounts. Record the actual URL and build on Run Overview. Directory enabled. Prepare approved public/private, paused, suspended and rejected profiles.</v>
      </c>
      <c r="J334" s="19" t="str">
        <v>Regression</v>
      </c>
      <c r="K334" s="26"/>
      <c r="L334" s="26"/>
      <c r="M334" s="26"/>
      <c r="N334" s="29"/>
      <c r="O334" s="26"/>
      <c r="P334" s="26"/>
      <c r="Q334" s="26"/>
      <c r="R334" s="19" t="str">
        <v>MENTOR_DIRECTORY_ENABLED</v>
      </c>
      <c r="S334" s="27" t="str">
        <v>Not Run</v>
      </c>
      <c r="T334" s="27"/>
      <c r="U334" s="27" t="str">
        <v>Updated</v>
      </c>
    </row>
    <row r="335" ht="64" customHeight="1">
      <c r="A335" s="25" t="str">
        <v>Not Run</v>
      </c>
      <c r="B335" s="24" t="str">
        <v>GO-MAN-334</v>
      </c>
      <c r="C335" s="24" t="str">
        <v>Mentor Directory</v>
      </c>
      <c r="D335" s="24" t="str">
        <v>Pause a prepared mentor and attempt a new request.</v>
      </c>
      <c r="E335" s="24" t="str">
        <v>New requests are unavailable. Any retained detail clearly shows paused status.</v>
      </c>
      <c r="F335" s="24" t="str">
        <v>Paused mentor display</v>
      </c>
      <c r="G335" s="24" t="str">
        <v>P1</v>
      </c>
      <c r="H335" s="24" t="str">
        <v>Visitor, mentor owner or reviewer as stated</v>
      </c>
      <c r="I335" s="24" t="str">
        <v>Use prepared QA records and separate accounts. Record the actual URL and build on Run Overview. Directory enabled. Prepare approved public/private, paused, suspended and rejected profiles.</v>
      </c>
      <c r="J335" s="24" t="str">
        <v>Regression</v>
      </c>
      <c r="K335" s="26"/>
      <c r="L335" s="26"/>
      <c r="M335" s="26"/>
      <c r="N335" s="29"/>
      <c r="O335" s="26"/>
      <c r="P335" s="26"/>
      <c r="Q335" s="26"/>
      <c r="R335" s="24" t="str">
        <v>MENTOR_DIRECTORY_ENABLED</v>
      </c>
      <c r="S335" s="28" t="str">
        <v>Not Run</v>
      </c>
      <c r="T335" s="28"/>
      <c r="U335" s="28" t="str">
        <v>Updated</v>
      </c>
    </row>
    <row r="336" ht="64" customHeight="1">
      <c r="A336" s="25" t="str">
        <v>Not Run</v>
      </c>
      <c r="B336" s="19" t="str">
        <v>GO-MAN-335</v>
      </c>
      <c r="C336" s="19" t="str">
        <v>Mentor Directory</v>
      </c>
      <c r="D336" s="19" t="str">
        <v>Suspend a prepared mentor and visit directory and detail.</v>
      </c>
      <c r="E336" s="19" t="str">
        <v>The mentor is not offered for new requests or public matching.</v>
      </c>
      <c r="F336" s="19" t="str">
        <v>Suspended mentor hidden</v>
      </c>
      <c r="G336" s="19" t="str">
        <v>P0</v>
      </c>
      <c r="H336" s="19" t="str">
        <v>Visitor, mentor owner or reviewer as stated</v>
      </c>
      <c r="I336" s="19" t="str">
        <v>Use prepared QA records and separate accounts. Record the actual URL and build on Run Overview. Directory enabled. Prepare approved public/private, paused, suspended and rejected profiles.</v>
      </c>
      <c r="J336" s="19" t="str">
        <v>Regression</v>
      </c>
      <c r="K336" s="26"/>
      <c r="L336" s="26"/>
      <c r="M336" s="26"/>
      <c r="N336" s="29"/>
      <c r="O336" s="26"/>
      <c r="P336" s="26"/>
      <c r="Q336" s="26"/>
      <c r="R336" s="19" t="str">
        <v>MENTOR_DIRECTORY_ENABLED</v>
      </c>
      <c r="S336" s="27" t="str">
        <v>Not Run</v>
      </c>
      <c r="T336" s="27"/>
      <c r="U336" s="27" t="str">
        <v>Updated</v>
      </c>
    </row>
    <row r="337" ht="64" customHeight="1">
      <c r="A337" s="25" t="str">
        <v>Not Run</v>
      </c>
      <c r="B337" s="24" t="str">
        <v>GO-MAN-336</v>
      </c>
      <c r="C337" s="24" t="str">
        <v>Mentor Directory</v>
      </c>
      <c r="D337" s="24" t="str">
        <v>Use an inactive/archived mentor in the public directory.</v>
      </c>
      <c r="E337" s="24" t="str">
        <v>The account is excluded from available mentor results.</v>
      </c>
      <c r="F337" s="24" t="str">
        <v>Inactive mentor hidden</v>
      </c>
      <c r="G337" s="24" t="str">
        <v>P1</v>
      </c>
      <c r="H337" s="24" t="str">
        <v>Visitor, mentor owner or reviewer as stated</v>
      </c>
      <c r="I337" s="24" t="str">
        <v>Use prepared QA records and separate accounts. Record the actual URL and build on Run Overview. Directory enabled. Prepare approved public/private, paused, suspended and rejected profiles.</v>
      </c>
      <c r="J337" s="24" t="str">
        <v>Regression</v>
      </c>
      <c r="K337" s="26"/>
      <c r="L337" s="26"/>
      <c r="M337" s="26"/>
      <c r="N337" s="29"/>
      <c r="O337" s="26"/>
      <c r="P337" s="26"/>
      <c r="Q337" s="26"/>
      <c r="R337" s="24" t="str">
        <v>MENTOR_DIRECTORY_ENABLED</v>
      </c>
      <c r="S337" s="28" t="str">
        <v>Not Run</v>
      </c>
      <c r="T337" s="28"/>
      <c r="U337" s="28" t="str">
        <v>Updated</v>
      </c>
    </row>
    <row r="338" ht="64" customHeight="1">
      <c r="A338" s="25" t="str">
        <v>Not Run</v>
      </c>
      <c r="B338" s="19" t="str">
        <v>GO-MAN-337</v>
      </c>
      <c r="C338" s="19" t="str">
        <v>Mentor Directory</v>
      </c>
      <c r="D338" s="19" t="str">
        <v>Open a rejected applicant’s guessed mentor URL.</v>
      </c>
      <c r="E338" s="19" t="str">
        <v>No public mentor profile or private application details are disclosed.</v>
      </c>
      <c r="F338" s="19" t="str">
        <v>Rejected applicant hidden</v>
      </c>
      <c r="G338" s="19" t="str">
        <v>P1</v>
      </c>
      <c r="H338" s="19" t="str">
        <v>Visitor, mentor owner or reviewer as stated</v>
      </c>
      <c r="I338" s="19" t="str">
        <v>Use prepared QA records and separate accounts. Record the actual URL and build on Run Overview. Directory enabled. Prepare approved public/private, paused, suspended and rejected profiles.</v>
      </c>
      <c r="J338" s="19" t="str">
        <v>Regression</v>
      </c>
      <c r="K338" s="26"/>
      <c r="L338" s="26"/>
      <c r="M338" s="26"/>
      <c r="N338" s="29"/>
      <c r="O338" s="26"/>
      <c r="P338" s="26"/>
      <c r="Q338" s="26"/>
      <c r="R338" s="19" t="str">
        <v>MENTOR_DIRECTORY_ENABLED</v>
      </c>
      <c r="S338" s="27" t="str">
        <v>Not Run</v>
      </c>
      <c r="T338" s="27"/>
      <c r="U338" s="27" t="str">
        <v>Updated</v>
      </c>
    </row>
    <row r="339" ht="64" customHeight="1">
      <c r="A339" s="25" t="str">
        <v>Not Run</v>
      </c>
      <c r="B339" s="24" t="str">
        <v>GO-MAN-338</v>
      </c>
      <c r="C339" s="24" t="str">
        <v>Mentor Directory</v>
      </c>
      <c r="D339" s="24" t="str">
        <v>Save a valid mentor profile draft with expertise and evidence links.</v>
      </c>
      <c r="E339" s="24" t="str">
        <v>The owner can reload the draft. It is not automatically published or approved.</v>
      </c>
      <c r="F339" s="24" t="str">
        <v>Mentor profile creation</v>
      </c>
      <c r="G339" s="24" t="str">
        <v>P1</v>
      </c>
      <c r="H339" s="24" t="str">
        <v>Visitor, mentor owner or reviewer as stated</v>
      </c>
      <c r="I339" s="24" t="str">
        <v>Use prepared QA records and separate accounts. Record the actual URL and build on Run Overview. Directory enabled. Prepare approved public/private, paused, suspended and rejected profiles.</v>
      </c>
      <c r="J339" s="24" t="str">
        <v>Regression</v>
      </c>
      <c r="K339" s="26"/>
      <c r="L339" s="26"/>
      <c r="M339" s="26"/>
      <c r="N339" s="29"/>
      <c r="O339" s="26"/>
      <c r="P339" s="26"/>
      <c r="Q339" s="26"/>
      <c r="R339" s="24" t="str">
        <v>MENTOR_DIRECTORY_ENABLED</v>
      </c>
      <c r="S339" s="28" t="str">
        <v>Not Run</v>
      </c>
      <c r="T339" s="28"/>
      <c r="U339" s="28" t="str">
        <v>Updated</v>
      </c>
    </row>
    <row r="340" ht="64" customHeight="1">
      <c r="A340" s="25" t="str">
        <v>Not Run</v>
      </c>
      <c r="B340" s="19" t="str">
        <v>GO-MAN-339</v>
      </c>
      <c r="C340" s="19" t="str">
        <v>Mentor Directory</v>
      </c>
      <c r="D340" s="19" t="str">
        <v>Edit a permitted field and save, then refresh the owner and allowed public views.</v>
      </c>
      <c r="E340" s="19" t="str">
        <v>Saved fields persist and public projection follows consent and approval rules.</v>
      </c>
      <c r="F340" s="19" t="str">
        <v>Mentor profile editing</v>
      </c>
      <c r="G340" s="19" t="str">
        <v>P1</v>
      </c>
      <c r="H340" s="19" t="str">
        <v>Visitor, mentor owner or reviewer as stated</v>
      </c>
      <c r="I340" s="19" t="str">
        <v>Use prepared QA records and separate accounts. Record the actual URL and build on Run Overview. Directory enabled. Prepare approved public/private, paused, suspended and rejected profiles.</v>
      </c>
      <c r="J340" s="19" t="str">
        <v>Regression</v>
      </c>
      <c r="K340" s="26"/>
      <c r="L340" s="26"/>
      <c r="M340" s="26"/>
      <c r="N340" s="29"/>
      <c r="O340" s="26"/>
      <c r="P340" s="26"/>
      <c r="Q340" s="26"/>
      <c r="R340" s="19" t="str">
        <v>MENTOR_DIRECTORY_ENABLED</v>
      </c>
      <c r="S340" s="27" t="str">
        <v>Not Run</v>
      </c>
      <c r="T340" s="27"/>
      <c r="U340" s="27" t="str">
        <v>Updated</v>
      </c>
    </row>
    <row r="341" ht="64" customHeight="1">
      <c r="A341" s="25" t="str">
        <v>Not Run</v>
      </c>
      <c r="B341" s="24" t="str">
        <v>GO-MAN-340</v>
      </c>
      <c r="C341" s="24" t="str">
        <v>Mentor Directory</v>
      </c>
      <c r="D341" s="24" t="str">
        <v>Omit biography, expertise or required consent and attempt submission.</v>
      </c>
      <c r="E341" s="24" t="str">
        <v>Specific validation blocks submission without losing valid fields.</v>
      </c>
      <c r="F341" s="24" t="str">
        <v>Required mentor fields</v>
      </c>
      <c r="G341" s="24" t="str">
        <v>P1</v>
      </c>
      <c r="H341" s="24" t="str">
        <v>Visitor, mentor owner or reviewer as stated</v>
      </c>
      <c r="I341" s="24" t="str">
        <v>Use prepared QA records and separate accounts. Record the actual URL and build on Run Overview. Directory enabled. Prepare approved public/private, paused, suspended and rejected profiles.</v>
      </c>
      <c r="J341" s="24" t="str">
        <v>Regression</v>
      </c>
      <c r="K341" s="26"/>
      <c r="L341" s="26"/>
      <c r="M341" s="26"/>
      <c r="N341" s="29"/>
      <c r="O341" s="26"/>
      <c r="P341" s="26"/>
      <c r="Q341" s="26"/>
      <c r="R341" s="24" t="str">
        <v>MENTOR_DIRECTORY_ENABLED</v>
      </c>
      <c r="S341" s="28" t="str">
        <v>Not Run</v>
      </c>
      <c r="T341" s="28"/>
      <c r="U341" s="28" t="str">
        <v>Updated</v>
      </c>
    </row>
    <row r="342" ht="64" customHeight="1">
      <c r="A342" s="25" t="str">
        <v>Not Run</v>
      </c>
      <c r="B342" s="19" t="str">
        <v>GO-MAN-341</v>
      </c>
      <c r="C342" s="19" t="str">
        <v>Mentor Directory</v>
      </c>
      <c r="D342" s="19" t="str">
        <v>Submit a script URL or non-HTTPS evidence link.</v>
      </c>
      <c r="E342" s="19" t="str">
        <v>The invalid link is rejected and never becomes an executable public link.</v>
      </c>
      <c r="F342" s="19" t="str">
        <v>Mentor evidence URL validation</v>
      </c>
      <c r="G342" s="19" t="str">
        <v>P1</v>
      </c>
      <c r="H342" s="19" t="str">
        <v>Visitor, mentor owner or reviewer as stated</v>
      </c>
      <c r="I342" s="19" t="str">
        <v>Use prepared QA records and separate accounts. Record the actual URL and build on Run Overview. Directory enabled. Prepare approved public/private, paused, suspended and rejected profiles.</v>
      </c>
      <c r="J342" s="19" t="str">
        <v>Regression</v>
      </c>
      <c r="K342" s="26"/>
      <c r="L342" s="26"/>
      <c r="M342" s="26"/>
      <c r="N342" s="29"/>
      <c r="O342" s="26"/>
      <c r="P342" s="26"/>
      <c r="Q342" s="26"/>
      <c r="R342" s="19" t="str">
        <v>MENTOR_DIRECTORY_ENABLED</v>
      </c>
      <c r="S342" s="27" t="str">
        <v>Not Run</v>
      </c>
      <c r="T342" s="27"/>
      <c r="U342" s="27" t="str">
        <v>Updated</v>
      </c>
    </row>
    <row r="343" ht="64" customHeight="1">
      <c r="A343" s="25" t="str">
        <v>Not Run</v>
      </c>
      <c r="B343" s="24" t="str">
        <v>GO-MAN-342</v>
      </c>
      <c r="C343" s="24" t="str">
        <v>Mentor Directory</v>
      </c>
      <c r="D343" s="24" t="str">
        <v>Save selected evidence links under the mentor’s public-consent controls.</v>
      </c>
      <c r="E343" s="24" t="str">
        <v>Only permitted portfolio fields appear publicly.</v>
      </c>
      <c r="F343" s="24" t="str">
        <v>Selected public portfolio</v>
      </c>
      <c r="G343" s="24" t="str">
        <v>P1</v>
      </c>
      <c r="H343" s="24" t="str">
        <v>Visitor, mentor owner or reviewer as stated</v>
      </c>
      <c r="I343" s="24" t="str">
        <v>Use prepared QA records and separate accounts. Record the actual URL and build on Run Overview. Directory enabled. Prepare approved public/private, paused, suspended and rejected profiles.</v>
      </c>
      <c r="J343" s="24" t="str">
        <v>Regression</v>
      </c>
      <c r="K343" s="26"/>
      <c r="L343" s="26"/>
      <c r="M343" s="26"/>
      <c r="N343" s="29"/>
      <c r="O343" s="26"/>
      <c r="P343" s="26"/>
      <c r="Q343" s="26"/>
      <c r="R343" s="24" t="str">
        <v>MENTOR_DIRECTORY_ENABLED</v>
      </c>
      <c r="S343" s="28" t="str">
        <v>Not Run</v>
      </c>
      <c r="T343" s="28"/>
      <c r="U343" s="28" t="str">
        <v>Updated</v>
      </c>
    </row>
    <row r="344" ht="64" customHeight="1">
      <c r="A344" s="25" t="str">
        <v>Not Run</v>
      </c>
      <c r="B344" s="19" t="str">
        <v>GO-MAN-343</v>
      </c>
      <c r="C344" s="19" t="str">
        <v>Mentor Directory</v>
      </c>
      <c r="D344" s="19" t="str">
        <v>As visitor and unrelated member inspect mentor detail and network payloads for email.</v>
      </c>
      <c r="E344" s="19" t="str">
        <v>The mentor’s email is absent unless separately and explicitly authorized for that audience.</v>
      </c>
      <c r="F344" s="19" t="str">
        <v>Mentor email privacy</v>
      </c>
      <c r="G344" s="19" t="str">
        <v>P0</v>
      </c>
      <c r="H344" s="19" t="str">
        <v>Visitor, mentor owner or reviewer as stated</v>
      </c>
      <c r="I344" s="19" t="str">
        <v>Use prepared QA records and separate accounts. Record the actual URL and build on Run Overview. Directory enabled. Prepare approved public/private, paused, suspended and rejected profiles.</v>
      </c>
      <c r="J344" s="19" t="str">
        <v>Regression</v>
      </c>
      <c r="K344" s="26"/>
      <c r="L344" s="26"/>
      <c r="M344" s="26"/>
      <c r="N344" s="29"/>
      <c r="O344" s="26"/>
      <c r="P344" s="26"/>
      <c r="Q344" s="26"/>
      <c r="R344" s="19" t="str">
        <v>MENTOR_DIRECTORY_ENABLED</v>
      </c>
      <c r="S344" s="27" t="str">
        <v>Not Run</v>
      </c>
      <c r="T344" s="27"/>
      <c r="U344" s="27" t="str">
        <v>Updated</v>
      </c>
    </row>
    <row r="345" ht="64" customHeight="1">
      <c r="A345" s="25" t="str">
        <v>Not Run</v>
      </c>
      <c r="B345" s="24" t="str">
        <v>GO-MAN-344</v>
      </c>
      <c r="C345" s="24" t="str">
        <v>Mentor Directory</v>
      </c>
      <c r="D345" s="24" t="str">
        <v>As visitor and unrelated member inspect mentor detail and network payloads for telephone.</v>
      </c>
      <c r="E345" s="24" t="str">
        <v>The mentor’s telephone is absent unless separately and explicitly authorized for that audience.</v>
      </c>
      <c r="F345" s="24" t="str">
        <v>Mentor phone privacy</v>
      </c>
      <c r="G345" s="24" t="str">
        <v>P0</v>
      </c>
      <c r="H345" s="24" t="str">
        <v>Visitor, mentor owner or reviewer as stated</v>
      </c>
      <c r="I345" s="24" t="str">
        <v>Use prepared QA records and separate accounts. Record the actual URL and build on Run Overview. Directory enabled. Prepare approved public/private, paused, suspended and rejected profiles.</v>
      </c>
      <c r="J345" s="24" t="str">
        <v>Regression</v>
      </c>
      <c r="K345" s="26"/>
      <c r="L345" s="26"/>
      <c r="M345" s="26"/>
      <c r="N345" s="29"/>
      <c r="O345" s="26"/>
      <c r="P345" s="26"/>
      <c r="Q345" s="26"/>
      <c r="R345" s="24" t="str">
        <v>MENTOR_DIRECTORY_ENABLED</v>
      </c>
      <c r="S345" s="28" t="str">
        <v>Not Run</v>
      </c>
      <c r="T345" s="28"/>
      <c r="U345" s="28" t="str">
        <v>Updated</v>
      </c>
    </row>
    <row r="346" ht="64" customHeight="1">
      <c r="A346" s="25" t="str">
        <v>Not Run</v>
      </c>
      <c r="B346" s="19" t="str">
        <v>GO-MAN-345</v>
      </c>
      <c r="C346" s="19" t="str">
        <v>Mentor Directory</v>
      </c>
      <c r="D346" s="19" t="str">
        <v>As visitor and unrelated member inspect mentor detail and network payloads for private CV.</v>
      </c>
      <c r="E346" s="19" t="str">
        <v>The mentor’s private CV is absent unless separately and explicitly authorized for that audience.</v>
      </c>
      <c r="F346" s="19" t="str">
        <v>Mentor CV privacy</v>
      </c>
      <c r="G346" s="19" t="str">
        <v>P0</v>
      </c>
      <c r="H346" s="19" t="str">
        <v>Visitor, mentor owner or reviewer as stated</v>
      </c>
      <c r="I346" s="19" t="str">
        <v>Use prepared QA records and separate accounts. Record the actual URL and build on Run Overview. Directory enabled. Prepare approved public/private, paused, suspended and rejected profiles.</v>
      </c>
      <c r="J346" s="19" t="str">
        <v>Regression</v>
      </c>
      <c r="K346" s="26"/>
      <c r="L346" s="26"/>
      <c r="M346" s="26"/>
      <c r="N346" s="29"/>
      <c r="O346" s="26"/>
      <c r="P346" s="26"/>
      <c r="Q346" s="26"/>
      <c r="R346" s="19" t="str">
        <v>MENTOR_DIRECTORY_ENABLED</v>
      </c>
      <c r="S346" s="27" t="str">
        <v>Not Run</v>
      </c>
      <c r="T346" s="27"/>
      <c r="U346" s="27" t="str">
        <v>Updated</v>
      </c>
    </row>
    <row r="347" ht="64" customHeight="1">
      <c r="A347" s="25" t="str">
        <v>Not Run</v>
      </c>
      <c r="B347" s="24" t="str">
        <v>GO-MAN-346</v>
      </c>
      <c r="C347" s="24" t="str">
        <v>Mentor Directory</v>
      </c>
      <c r="D347" s="24" t="str">
        <v>As visitor and unrelated member inspect mentor detail and network payloads for reviewer notes.</v>
      </c>
      <c r="E347" s="24" t="str">
        <v>The mentor’s reviewer notes is absent unless separately and explicitly authorized for that audience.</v>
      </c>
      <c r="F347" s="24" t="str">
        <v>Mentor notes privacy</v>
      </c>
      <c r="G347" s="24" t="str">
        <v>P0</v>
      </c>
      <c r="H347" s="24" t="str">
        <v>Visitor, mentor owner or reviewer as stated</v>
      </c>
      <c r="I347" s="24" t="str">
        <v>Use prepared QA records and separate accounts. Record the actual URL and build on Run Overview. Directory enabled. Prepare approved public/private, paused, suspended and rejected profiles.</v>
      </c>
      <c r="J347" s="24" t="str">
        <v>Regression</v>
      </c>
      <c r="K347" s="26"/>
      <c r="L347" s="26"/>
      <c r="M347" s="26"/>
      <c r="N347" s="29"/>
      <c r="O347" s="26"/>
      <c r="P347" s="26"/>
      <c r="Q347" s="26"/>
      <c r="R347" s="24" t="str">
        <v>MENTOR_DIRECTORY_ENABLED</v>
      </c>
      <c r="S347" s="28" t="str">
        <v>Not Run</v>
      </c>
      <c r="T347" s="28"/>
      <c r="U347" s="28" t="str">
        <v>Updated</v>
      </c>
    </row>
    <row r="348" ht="64" customHeight="1">
      <c r="A348" s="25" t="str">
        <v>Not Run</v>
      </c>
      <c r="B348" s="19" t="str">
        <v>GO-MAN-347</v>
      </c>
      <c r="C348" s="19" t="str">
        <v>Mentor Directory</v>
      </c>
      <c r="D348" s="19" t="str">
        <v>Apply two compatible mentor filters, then clear them.</v>
      </c>
      <c r="E348" s="19" t="str">
        <v>Results satisfy both selected criteria and clearing restores available results.</v>
      </c>
      <c r="F348" s="19" t="str">
        <v>Combined directory filters</v>
      </c>
      <c r="G348" s="19" t="str">
        <v>P1</v>
      </c>
      <c r="H348" s="19" t="str">
        <v>Visitor, mentor owner or reviewer as stated</v>
      </c>
      <c r="I348" s="19" t="str">
        <v>Use prepared QA records and separate accounts. Record the actual URL and build on Run Overview. Directory enabled. Prepare approved public/private, paused, suspended and rejected profiles.</v>
      </c>
      <c r="J348" s="19" t="str">
        <v>Regression</v>
      </c>
      <c r="K348" s="26"/>
      <c r="L348" s="26"/>
      <c r="M348" s="26"/>
      <c r="N348" s="29"/>
      <c r="O348" s="26"/>
      <c r="P348" s="26"/>
      <c r="Q348" s="26"/>
      <c r="R348" s="19" t="str">
        <v>MENTOR_DIRECTORY_ENABLED</v>
      </c>
      <c r="S348" s="27" t="str">
        <v>Not Run</v>
      </c>
      <c r="T348" s="27"/>
      <c r="U348" s="27" t="str">
        <v>Updated</v>
      </c>
    </row>
    <row r="349" ht="64" customHeight="1">
      <c r="A349" s="25" t="str">
        <v>Not Run</v>
      </c>
      <c r="B349" s="24" t="str">
        <v>GO-MAN-348</v>
      </c>
      <c r="C349" s="24" t="str">
        <v>Mentor Directory</v>
      </c>
      <c r="D349" s="24" t="str">
        <v>In /mentorship select one discipline represented by prepared matching and nonmatching mentors.</v>
      </c>
      <c r="E349" s="24" t="str">
        <v>Only approved public mentors satisfying the selected criterion appear.</v>
      </c>
      <c r="F349" s="24" t="str">
        <v>Discipline filter</v>
      </c>
      <c r="G349" s="24" t="str">
        <v>P1</v>
      </c>
      <c r="H349" s="24" t="str">
        <v>Visitor, mentor owner or reviewer as stated</v>
      </c>
      <c r="I349" s="24" t="str">
        <v>Use prepared QA records and separate accounts. Record the actual URL and build on Run Overview. Directory enabled. Prepare approved public/private, paused, suspended and rejected profiles.</v>
      </c>
      <c r="J349" s="24" t="str">
        <v>Regression</v>
      </c>
      <c r="K349" s="26"/>
      <c r="L349" s="26"/>
      <c r="M349" s="26"/>
      <c r="N349" s="29"/>
      <c r="O349" s="26"/>
      <c r="P349" s="26"/>
      <c r="Q349" s="26"/>
      <c r="R349" s="24" t="str">
        <v>MENTOR_DIRECTORY_ENABLED</v>
      </c>
      <c r="S349" s="28" t="str">
        <v>Not Run</v>
      </c>
      <c r="T349" s="28"/>
      <c r="U349" s="28" t="str">
        <v>Updated</v>
      </c>
    </row>
    <row r="350" ht="64" customHeight="1">
      <c r="A350" s="25" t="str">
        <v>Not Run</v>
      </c>
      <c r="B350" s="19" t="str">
        <v>GO-MAN-349</v>
      </c>
      <c r="C350" s="19" t="str">
        <v>Mentor Directory</v>
      </c>
      <c r="D350" s="19" t="str">
        <v>In /mentorship select one skill represented by prepared matching and nonmatching mentors.</v>
      </c>
      <c r="E350" s="19" t="str">
        <v>Only approved public mentors satisfying the selected criterion appear.</v>
      </c>
      <c r="F350" s="19" t="str">
        <v>Skill filter</v>
      </c>
      <c r="G350" s="19" t="str">
        <v>P1</v>
      </c>
      <c r="H350" s="19" t="str">
        <v>Visitor, mentor owner or reviewer as stated</v>
      </c>
      <c r="I350" s="19" t="str">
        <v>Use prepared QA records and separate accounts. Record the actual URL and build on Run Overview. Directory enabled. Prepare approved public/private, paused, suspended and rejected profiles.</v>
      </c>
      <c r="J350" s="19" t="str">
        <v>Regression</v>
      </c>
      <c r="K350" s="26"/>
      <c r="L350" s="26"/>
      <c r="M350" s="26"/>
      <c r="N350" s="29"/>
      <c r="O350" s="26"/>
      <c r="P350" s="26"/>
      <c r="Q350" s="26"/>
      <c r="R350" s="19" t="str">
        <v>MENTOR_DIRECTORY_ENABLED</v>
      </c>
      <c r="S350" s="27" t="str">
        <v>Not Run</v>
      </c>
      <c r="T350" s="27"/>
      <c r="U350" s="27" t="str">
        <v>Updated</v>
      </c>
    </row>
    <row r="351" ht="64" customHeight="1">
      <c r="A351" s="25" t="str">
        <v>Not Run</v>
      </c>
      <c r="B351" s="24" t="str">
        <v>GO-MAN-350</v>
      </c>
      <c r="C351" s="24" t="str">
        <v>Mentor Directory</v>
      </c>
      <c r="D351" s="24" t="str">
        <v>In /mentorship select one learner level represented by prepared matching and nonmatching mentors.</v>
      </c>
      <c r="E351" s="24" t="str">
        <v>Only approved public mentors satisfying the selected criterion appear.</v>
      </c>
      <c r="F351" s="24" t="str">
        <v>Supported level filter</v>
      </c>
      <c r="G351" s="24" t="str">
        <v>P1</v>
      </c>
      <c r="H351" s="24" t="str">
        <v>Visitor, mentor owner or reviewer as stated</v>
      </c>
      <c r="I351" s="24" t="str">
        <v>Use prepared QA records and separate accounts. Record the actual URL and build on Run Overview. Directory enabled. Prepare approved public/private, paused, suspended and rejected profiles.</v>
      </c>
      <c r="J351" s="24" t="str">
        <v>Regression</v>
      </c>
      <c r="K351" s="26"/>
      <c r="L351" s="26"/>
      <c r="M351" s="26"/>
      <c r="N351" s="29"/>
      <c r="O351" s="26"/>
      <c r="P351" s="26"/>
      <c r="Q351" s="26"/>
      <c r="R351" s="24" t="str">
        <v>MENTOR_DIRECTORY_ENABLED</v>
      </c>
      <c r="S351" s="28" t="str">
        <v>Not Run</v>
      </c>
      <c r="T351" s="28"/>
      <c r="U351" s="28" t="str">
        <v>Updated</v>
      </c>
    </row>
    <row r="352" ht="64" customHeight="1">
      <c r="A352" s="25" t="str">
        <v>Not Run</v>
      </c>
      <c r="B352" s="19" t="str">
        <v>GO-MAN-351</v>
      </c>
      <c r="C352" s="19" t="str">
        <v>Mentor Directory</v>
      </c>
      <c r="D352" s="19" t="str">
        <v>In /mentorship select one language represented by prepared matching and nonmatching mentors.</v>
      </c>
      <c r="E352" s="19" t="str">
        <v>Only approved public mentors satisfying the selected criterion appear.</v>
      </c>
      <c r="F352" s="19" t="str">
        <v>Language filter</v>
      </c>
      <c r="G352" s="19" t="str">
        <v>P1</v>
      </c>
      <c r="H352" s="19" t="str">
        <v>Visitor, mentor owner or reviewer as stated</v>
      </c>
      <c r="I352" s="19" t="str">
        <v>Use prepared QA records and separate accounts. Record the actual URL and build on Run Overview. Directory enabled. Prepare approved public/private, paused, suspended and rejected profiles.</v>
      </c>
      <c r="J352" s="19" t="str">
        <v>Regression</v>
      </c>
      <c r="K352" s="26"/>
      <c r="L352" s="26"/>
      <c r="M352" s="26"/>
      <c r="N352" s="29"/>
      <c r="O352" s="26"/>
      <c r="P352" s="26"/>
      <c r="Q352" s="26"/>
      <c r="R352" s="19" t="str">
        <v>MENTOR_DIRECTORY_ENABLED</v>
      </c>
      <c r="S352" s="27" t="str">
        <v>Not Run</v>
      </c>
      <c r="T352" s="27"/>
      <c r="U352" s="27" t="str">
        <v>Updated</v>
      </c>
    </row>
    <row r="353" ht="64" customHeight="1">
      <c r="A353" s="25" t="str">
        <v>Not Run</v>
      </c>
      <c r="B353" s="24" t="str">
        <v>GO-MAN-352</v>
      </c>
      <c r="C353" s="24" t="str">
        <v>Mentor Directory</v>
      </c>
      <c r="D353" s="24" t="str">
        <v>In /mentorship select one online/GOHQ/hybrid format represented by prepared matching and nonmatching mentors.</v>
      </c>
      <c r="E353" s="24" t="str">
        <v>Only approved public mentors satisfying the selected criterion appear.</v>
      </c>
      <c r="F353" s="24" t="str">
        <v>Format filter</v>
      </c>
      <c r="G353" s="24" t="str">
        <v>P1</v>
      </c>
      <c r="H353" s="24" t="str">
        <v>Visitor, mentor owner or reviewer as stated</v>
      </c>
      <c r="I353" s="24" t="str">
        <v>Use prepared QA records and separate accounts. Record the actual URL and build on Run Overview. Directory enabled. Prepare approved public/private, paused, suspended and rejected profiles.</v>
      </c>
      <c r="J353" s="24" t="str">
        <v>Regression</v>
      </c>
      <c r="K353" s="26"/>
      <c r="L353" s="26"/>
      <c r="M353" s="26"/>
      <c r="N353" s="29"/>
      <c r="O353" s="26"/>
      <c r="P353" s="26"/>
      <c r="Q353" s="26"/>
      <c r="R353" s="24" t="str">
        <v>MENTOR_DIRECTORY_ENABLED</v>
      </c>
      <c r="S353" s="28" t="str">
        <v>Not Run</v>
      </c>
      <c r="T353" s="28"/>
      <c r="U353" s="28" t="str">
        <v>Updated</v>
      </c>
    </row>
    <row r="354" ht="64" customHeight="1">
      <c r="A354" s="25" t="str">
        <v>Not Run</v>
      </c>
      <c r="B354" s="19" t="str">
        <v>GO-MAN-353</v>
      </c>
      <c r="C354" s="19" t="str">
        <v>Mentor Directory</v>
      </c>
      <c r="D354" s="19" t="str">
        <v>In /mentorship select one current capacity and accepting status represented by prepared matching and nonmatching mentors.</v>
      </c>
      <c r="E354" s="19" t="str">
        <v>Only approved public mentors satisfying the selected criterion appear.</v>
      </c>
      <c r="F354" s="19" t="str">
        <v>Accepting learners filter</v>
      </c>
      <c r="G354" s="19" t="str">
        <v>P1</v>
      </c>
      <c r="H354" s="19" t="str">
        <v>Visitor, mentor owner or reviewer as stated</v>
      </c>
      <c r="I354" s="19" t="str">
        <v>Use prepared QA records and separate accounts. Record the actual URL and build on Run Overview. Directory enabled. Prepare approved public/private, paused, suspended and rejected profiles.</v>
      </c>
      <c r="J354" s="19" t="str">
        <v>Regression</v>
      </c>
      <c r="K354" s="26"/>
      <c r="L354" s="26"/>
      <c r="M354" s="26"/>
      <c r="N354" s="29"/>
      <c r="O354" s="26"/>
      <c r="P354" s="26"/>
      <c r="Q354" s="26"/>
      <c r="R354" s="19" t="str">
        <v>MENTOR_DIRECTORY_ENABLED</v>
      </c>
      <c r="S354" s="27" t="str">
        <v>Not Run</v>
      </c>
      <c r="T354" s="27"/>
      <c r="U354" s="27" t="str">
        <v>Updated</v>
      </c>
    </row>
    <row r="355" ht="64" customHeight="1">
      <c r="A355" s="25" t="str">
        <v>Not Run</v>
      </c>
      <c r="B355" s="24" t="str">
        <v>GO-MAN-354</v>
      </c>
      <c r="C355" s="24" t="str">
        <v>Mentor Directory</v>
      </c>
      <c r="D355" s="24" t="str">
        <v>Filter to no results or use an empty published directory.</v>
      </c>
      <c r="E355" s="24" t="str">
        <v>A useful empty state appears without fake profiles or a broken spinner.</v>
      </c>
      <c r="F355" s="24" t="str">
        <v>Empty mentor directory</v>
      </c>
      <c r="G355" s="24" t="str">
        <v>P2</v>
      </c>
      <c r="H355" s="24" t="str">
        <v>Visitor, mentor owner or reviewer as stated</v>
      </c>
      <c r="I355" s="24" t="str">
        <v>Use prepared QA records and separate accounts. Record the actual URL and build on Run Overview. Directory enabled. Prepare approved public/private, paused, suspended and rejected profiles.</v>
      </c>
      <c r="J355" s="24" t="str">
        <v>Regression</v>
      </c>
      <c r="K355" s="26"/>
      <c r="L355" s="26"/>
      <c r="M355" s="26"/>
      <c r="N355" s="29"/>
      <c r="O355" s="26"/>
      <c r="P355" s="26"/>
      <c r="Q355" s="26"/>
      <c r="R355" s="24" t="str">
        <v>MENTOR_DIRECTORY_ENABLED</v>
      </c>
      <c r="S355" s="28" t="str">
        <v>Not Run</v>
      </c>
      <c r="T355" s="28"/>
      <c r="U355" s="28" t="str">
        <v>Updated</v>
      </c>
    </row>
    <row r="356" ht="64" customHeight="1">
      <c r="A356" s="25" t="str">
        <v>Not Run</v>
      </c>
      <c r="B356" s="19" t="str">
        <v>GO-MAN-355</v>
      </c>
      <c r="C356" s="19" t="str">
        <v>Mentor Directory</v>
      </c>
      <c r="D356" s="19" t="str">
        <v>Use the mentorship entry when no public mentors are available.</v>
      </c>
      <c r="E356" s="19" t="str">
        <v>The destination explains unavailability and offers a useful next step. Navigation does not promise immediate matching.</v>
      </c>
      <c r="F356" s="19" t="str">
        <v>Empty-directory navigation</v>
      </c>
      <c r="G356" s="19" t="str">
        <v>P2</v>
      </c>
      <c r="H356" s="19" t="str">
        <v>Visitor, mentor owner or reviewer as stated</v>
      </c>
      <c r="I356" s="19" t="str">
        <v>Use prepared QA records and separate accounts. Record the actual URL and build on Run Overview. Directory enabled. Prepare approved public/private, paused, suspended and rejected profiles.</v>
      </c>
      <c r="J356" s="19" t="str">
        <v>Regression</v>
      </c>
      <c r="K356" s="26"/>
      <c r="L356" s="26"/>
      <c r="M356" s="26"/>
      <c r="N356" s="29"/>
      <c r="O356" s="26"/>
      <c r="P356" s="26"/>
      <c r="Q356" s="26"/>
      <c r="R356" s="19" t="str">
        <v>MENTOR_DIRECTORY_ENABLED</v>
      </c>
      <c r="S356" s="27" t="str">
        <v>Not Run</v>
      </c>
      <c r="T356" s="27"/>
      <c r="U356" s="27" t="str">
        <v>Updated</v>
      </c>
    </row>
    <row r="357" ht="64" customHeight="1">
      <c r="A357" s="25" t="str">
        <v>Not Run</v>
      </c>
      <c r="B357" s="24" t="str">
        <v>GO-MAN-356</v>
      </c>
      <c r="C357" s="24" t="str">
        <v>Mentor Directory</v>
      </c>
      <c r="D357" s="24" t="str">
        <v>Inspect filtered mentor cards at 390px.</v>
      </c>
      <c r="E357" s="24" t="str">
        <v>Name, headline, availability and actions fit without overlap.</v>
      </c>
      <c r="F357" s="24" t="str">
        <v>Mobile mentor cards</v>
      </c>
      <c r="G357" s="24" t="str">
        <v>P1</v>
      </c>
      <c r="H357" s="24" t="str">
        <v>Visitor, mentor owner or reviewer as stated</v>
      </c>
      <c r="I357" s="24" t="str">
        <v>Use prepared QA records and separate accounts. Record the actual URL and build on Run Overview. Directory enabled. Prepare approved public/private, paused, suspended and rejected profiles.</v>
      </c>
      <c r="J357" s="24" t="str">
        <v>Regression</v>
      </c>
      <c r="K357" s="26"/>
      <c r="L357" s="26"/>
      <c r="M357" s="26"/>
      <c r="N357" s="29"/>
      <c r="O357" s="26"/>
      <c r="P357" s="26"/>
      <c r="Q357" s="26"/>
      <c r="R357" s="24" t="str">
        <v>MENTOR_DIRECTORY_ENABLED</v>
      </c>
      <c r="S357" s="28" t="str">
        <v>Not Run</v>
      </c>
      <c r="T357" s="28"/>
      <c r="U357" s="28" t="str">
        <v>Updated</v>
      </c>
    </row>
    <row r="358" ht="64" customHeight="1">
      <c r="A358" s="25" t="str">
        <v>Not Run</v>
      </c>
      <c r="B358" s="19" t="str">
        <v>GO-MAN-357</v>
      </c>
      <c r="C358" s="19" t="str">
        <v>Mentor Directory</v>
      </c>
      <c r="D358" s="19" t="str">
        <v>Open a long mentor profile at mobile/tablet/desktop widths.</v>
      </c>
      <c r="E358" s="19" t="str">
        <v>Content and actions remain readable without horizontal overflow.</v>
      </c>
      <c r="F358" s="19" t="str">
        <v>Mentor detail responsive</v>
      </c>
      <c r="G358" s="19" t="str">
        <v>P2</v>
      </c>
      <c r="H358" s="19" t="str">
        <v>Visitor, mentor owner or reviewer as stated</v>
      </c>
      <c r="I358" s="19" t="str">
        <v>Use prepared QA records and separate accounts. Record the actual URL and build on Run Overview. Directory enabled. Prepare approved public/private, paused, suspended and rejected profiles.</v>
      </c>
      <c r="J358" s="19" t="str">
        <v>Regression</v>
      </c>
      <c r="K358" s="26"/>
      <c r="L358" s="26"/>
      <c r="M358" s="26"/>
      <c r="N358" s="29"/>
      <c r="O358" s="26"/>
      <c r="P358" s="26"/>
      <c r="Q358" s="26"/>
      <c r="R358" s="19" t="str">
        <v>MENTOR_DIRECTORY_ENABLED</v>
      </c>
      <c r="S358" s="27" t="str">
        <v>Not Run</v>
      </c>
      <c r="T358" s="27"/>
      <c r="U358" s="27" t="str">
        <v>Updated</v>
      </c>
    </row>
    <row r="359" ht="64" customHeight="1">
      <c r="A359" s="25" t="str">
        <v>Not Run</v>
      </c>
      <c r="B359" s="24" t="str">
        <v>GO-MAN-358</v>
      </c>
      <c r="C359" s="24" t="str">
        <v>Mentor Directory</v>
      </c>
      <c r="D359" s="24" t="str">
        <v>Filter and open a mentor using only keyboard.</v>
      </c>
      <c r="E359" s="24" t="str">
        <v>All controls work and focus follows a logical order.</v>
      </c>
      <c r="F359" s="24" t="str">
        <v>Mentor keyboard navigation</v>
      </c>
      <c r="G359" s="24" t="str">
        <v>P1</v>
      </c>
      <c r="H359" s="24" t="str">
        <v>Visitor, mentor owner or reviewer as stated</v>
      </c>
      <c r="I359" s="24" t="str">
        <v>Use prepared QA records and separate accounts. Record the actual URL and build on Run Overview. Directory enabled. Prepare approved public/private, paused, suspended and rejected profiles.</v>
      </c>
      <c r="J359" s="24" t="str">
        <v>Regression</v>
      </c>
      <c r="K359" s="26"/>
      <c r="L359" s="26"/>
      <c r="M359" s="26"/>
      <c r="N359" s="29"/>
      <c r="O359" s="26"/>
      <c r="P359" s="26"/>
      <c r="Q359" s="26"/>
      <c r="R359" s="24" t="str">
        <v>MENTOR_DIRECTORY_ENABLED</v>
      </c>
      <c r="S359" s="28" t="str">
        <v>Not Run</v>
      </c>
      <c r="T359" s="28"/>
      <c r="U359" s="28" t="str">
        <v>Updated</v>
      </c>
    </row>
    <row r="360" ht="64" customHeight="1">
      <c r="A360" s="25" t="str">
        <v>Not Run</v>
      </c>
      <c r="B360" s="19" t="str">
        <v>GO-MAN-359</v>
      </c>
      <c r="C360" s="19" t="str">
        <v>Mentor Directory</v>
      </c>
      <c r="D360" s="19" t="str">
        <v>Tab to each mentor card link and request action.</v>
      </c>
      <c r="E360" s="19" t="str">
        <v>The focused item is visible and not obscured by overlays.</v>
      </c>
      <c r="F360" s="19" t="str">
        <v>Mentor focus state</v>
      </c>
      <c r="G360" s="19" t="str">
        <v>P1</v>
      </c>
      <c r="H360" s="19" t="str">
        <v>Visitor, mentor owner or reviewer as stated</v>
      </c>
      <c r="I360" s="19" t="str">
        <v>Use prepared QA records and separate accounts. Record the actual URL and build on Run Overview. Directory enabled. Prepare approved public/private, paused, suspended and rejected profiles.</v>
      </c>
      <c r="J360" s="19" t="str">
        <v>Regression</v>
      </c>
      <c r="K360" s="26"/>
      <c r="L360" s="26"/>
      <c r="M360" s="26"/>
      <c r="N360" s="29"/>
      <c r="O360" s="26"/>
      <c r="P360" s="26"/>
      <c r="Q360" s="26"/>
      <c r="R360" s="19" t="str">
        <v>MENTOR_DIRECTORY_ENABLED</v>
      </c>
      <c r="S360" s="27" t="str">
        <v>Not Run</v>
      </c>
      <c r="T360" s="27"/>
      <c r="U360" s="27" t="str">
        <v>Updated</v>
      </c>
    </row>
    <row r="361" ht="64" customHeight="1">
      <c r="A361" s="25" t="str">
        <v>Not Run</v>
      </c>
      <c r="B361" s="24" t="str">
        <v>GO-MAN-360</v>
      </c>
      <c r="C361" s="24" t="str">
        <v>Mentor Directory</v>
      </c>
      <c r="D361" s="24" t="str">
        <v>Inspect directory and detail in supported themes, including disabled and muted text.</v>
      </c>
      <c r="E361" s="24" t="str">
        <v>Text and action states remain readable. Record cosmetic refinements in UX Backlog.</v>
      </c>
      <c r="F361" s="24" t="str">
        <v>Mentor contrast</v>
      </c>
      <c r="G361" s="24" t="str">
        <v>P2</v>
      </c>
      <c r="H361" s="24" t="str">
        <v>Visitor, mentor owner or reviewer as stated</v>
      </c>
      <c r="I361" s="24" t="str">
        <v>Use prepared QA records and separate accounts. Record the actual URL and build on Run Overview. Directory enabled. Prepare approved public/private, paused, suspended and rejected profiles.</v>
      </c>
      <c r="J361" s="24" t="str">
        <v>Regression</v>
      </c>
      <c r="K361" s="26"/>
      <c r="L361" s="26"/>
      <c r="M361" s="26"/>
      <c r="N361" s="29"/>
      <c r="O361" s="26"/>
      <c r="P361" s="26"/>
      <c r="Q361" s="26"/>
      <c r="R361" s="24" t="str">
        <v>MENTOR_DIRECTORY_ENABLED</v>
      </c>
      <c r="S361" s="28" t="str">
        <v>Not Run</v>
      </c>
      <c r="T361" s="28"/>
      <c r="U361" s="28" t="str">
        <v>Updated</v>
      </c>
    </row>
    <row r="362" ht="64" customHeight="1">
      <c r="A362" s="25" t="str">
        <v>Not Run</v>
      </c>
      <c r="B362" s="19" t="str">
        <v>GO-MAN-361</v>
      </c>
      <c r="C362" s="19" t="str">
        <v>Mentor Directory</v>
      </c>
      <c r="D362" s="19" t="str">
        <v>Compare a public mentor detail with its private availability workspace.</v>
      </c>
      <c r="E362" s="19" t="str">
        <v>Only general availability and slots are public. Exact schedule and meeting URLs remain private.</v>
      </c>
      <c r="F362" s="19" t="str">
        <v>Public general availability</v>
      </c>
      <c r="G362" s="19" t="str">
        <v>P1</v>
      </c>
      <c r="H362" s="19" t="str">
        <v>Visitor, mentor owner or reviewer as stated</v>
      </c>
      <c r="I362" s="19" t="str">
        <v>Use prepared QA records and separate accounts. Record the actual URL and build on Run Overview. Directory enabled. Prepare approved public/private, paused, suspended and rejected profiles.</v>
      </c>
      <c r="J362" s="19" t="str">
        <v>Regression</v>
      </c>
      <c r="K362" s="26"/>
      <c r="L362" s="26"/>
      <c r="M362" s="26"/>
      <c r="N362" s="29"/>
      <c r="O362" s="26"/>
      <c r="P362" s="26"/>
      <c r="Q362" s="26"/>
      <c r="R362" s="19" t="str">
        <v>MENTOR_DIRECTORY_ENABLED</v>
      </c>
      <c r="S362" s="27" t="str">
        <v>Not Run</v>
      </c>
      <c r="T362" s="27"/>
      <c r="U362" s="27" t="str">
        <v>Updated</v>
      </c>
    </row>
    <row r="363" ht="60" customHeight="1">
      <c r="A363" s="25" t="str">
        <v>Not Run</v>
      </c>
      <c r="B363" s="24" t="str">
        <v>GO-MAN-362</v>
      </c>
      <c r="C363" s="24" t="str">
        <v>Mentor Availability &amp; Training</v>
      </c>
      <c r="D363" s="24" t="str">
        <v>Save two recurring availability windows and reload the mentor workspace.</v>
      </c>
      <c r="E363" s="24" t="str">
        <v>Windows persist with their timezone and do not become public meeting links.</v>
      </c>
      <c r="F363" s="24" t="str">
        <v>Recurring mentor availability</v>
      </c>
      <c r="G363" s="24" t="str">
        <v>P1</v>
      </c>
      <c r="H363" s="24" t="str">
        <v>Mentor, learner or admin named in the steps</v>
      </c>
      <c r="I363" s="24" t="str">
        <v>Use prepared QA records and separate accounts. Record the actual URL and build on Run Overview. Availability enabled. Use QA-only mentor and grant records.</v>
      </c>
      <c r="J363" s="24" t="str">
        <v>Regression</v>
      </c>
      <c r="K363" s="26"/>
      <c r="L363" s="26"/>
      <c r="M363" s="26"/>
      <c r="N363" s="29"/>
      <c r="O363" s="26"/>
      <c r="P363" s="26"/>
      <c r="Q363" s="26"/>
      <c r="R363" s="24" t="str">
        <v>MENTOR_AVAILABILITY_ENABLED for availability</v>
      </c>
      <c r="S363" s="28" t="str">
        <v>Not Run</v>
      </c>
      <c r="T363" s="28"/>
      <c r="U363" s="28" t="str">
        <v>Updated</v>
      </c>
    </row>
    <row r="364" ht="60" customHeight="1">
      <c r="A364" s="25" t="str">
        <v>Not Run</v>
      </c>
      <c r="B364" s="19" t="str">
        <v>GO-MAN-363</v>
      </c>
      <c r="C364" s="19" t="str">
        <v>Mentor Availability &amp; Training</v>
      </c>
      <c r="D364" s="19" t="str">
        <v>Add a future individual date and reload.</v>
      </c>
      <c r="E364" s="19" t="str">
        <v>The date and intended local time persist without replacing unrelated availability.</v>
      </c>
      <c r="F364" s="19" t="str">
        <v>Specific-date availability</v>
      </c>
      <c r="G364" s="19" t="str">
        <v>P1</v>
      </c>
      <c r="H364" s="19" t="str">
        <v>Mentor, learner or admin named in the steps</v>
      </c>
      <c r="I364" s="19" t="str">
        <v>Use prepared QA records and separate accounts. Record the actual URL and build on Run Overview. Availability enabled. Use QA-only mentor and grant records.</v>
      </c>
      <c r="J364" s="19" t="str">
        <v>Regression</v>
      </c>
      <c r="K364" s="26"/>
      <c r="L364" s="26"/>
      <c r="M364" s="26"/>
      <c r="N364" s="29"/>
      <c r="O364" s="26"/>
      <c r="P364" s="26"/>
      <c r="Q364" s="26"/>
      <c r="R364" s="19" t="str">
        <v>MENTOR_AVAILABILITY_ENABLED for availability</v>
      </c>
      <c r="S364" s="27" t="str">
        <v>Not Run</v>
      </c>
      <c r="T364" s="27"/>
      <c r="U364" s="27" t="str">
        <v>Updated</v>
      </c>
    </row>
    <row r="365" ht="60" customHeight="1">
      <c r="A365" s="25" t="str">
        <v>Not Run</v>
      </c>
      <c r="B365" s="24" t="str">
        <v>GO-MAN-364</v>
      </c>
      <c r="C365" s="24" t="str">
        <v>Mentor Availability &amp; Training</v>
      </c>
      <c r="D365" s="24" t="str">
        <v>Save a window in Europe/Skopje and compare from a learner in another zone.</v>
      </c>
      <c r="E365" s="24" t="str">
        <v>The same instant is displayed with an explicit timezone.</v>
      </c>
      <c r="F365" s="24" t="str">
        <v>Mentor timezone conversion</v>
      </c>
      <c r="G365" s="24" t="str">
        <v>P1</v>
      </c>
      <c r="H365" s="24" t="str">
        <v>Mentor, learner or admin named in the steps</v>
      </c>
      <c r="I365" s="24" t="str">
        <v>Use prepared QA records and separate accounts. Record the actual URL and build on Run Overview. Availability enabled. Use QA-only mentor and grant records.</v>
      </c>
      <c r="J365" s="24" t="str">
        <v>Regression</v>
      </c>
      <c r="K365" s="26"/>
      <c r="L365" s="26"/>
      <c r="M365" s="26"/>
      <c r="N365" s="29"/>
      <c r="O365" s="26"/>
      <c r="P365" s="26"/>
      <c r="Q365" s="26"/>
      <c r="R365" s="24" t="str">
        <v>MENTOR_AVAILABILITY_ENABLED for availability</v>
      </c>
      <c r="S365" s="28" t="str">
        <v>Not Run</v>
      </c>
      <c r="T365" s="28"/>
      <c r="U365" s="28" t="str">
        <v>Updated</v>
      </c>
    </row>
    <row r="366" ht="60" customHeight="1">
      <c r="A366" s="25" t="str">
        <v>Not Run</v>
      </c>
      <c r="B366" s="19" t="str">
        <v>GO-MAN-365</v>
      </c>
      <c r="C366" s="19" t="str">
        <v>Mentor Availability &amp; Training</v>
      </c>
      <c r="D366" s="19" t="str">
        <v>Save online as a supported mentorship format and inspect permitted request options.</v>
      </c>
      <c r="E366" s="19" t="str">
        <v>The selected format persists and is offered only where the mentor supports it.</v>
      </c>
      <c r="F366" s="19" t="str">
        <v>Online format</v>
      </c>
      <c r="G366" s="19" t="str">
        <v>P1</v>
      </c>
      <c r="H366" s="19" t="str">
        <v>Mentor, learner or admin named in the steps</v>
      </c>
      <c r="I366" s="19" t="str">
        <v>Use prepared QA records and separate accounts. Record the actual URL and build on Run Overview. Availability enabled. Use QA-only mentor and grant records.</v>
      </c>
      <c r="J366" s="19" t="str">
        <v>Regression</v>
      </c>
      <c r="K366" s="26"/>
      <c r="L366" s="26"/>
      <c r="M366" s="26"/>
      <c r="N366" s="29"/>
      <c r="O366" s="26"/>
      <c r="P366" s="26"/>
      <c r="Q366" s="26"/>
      <c r="R366" s="19" t="str">
        <v>MENTOR_AVAILABILITY_ENABLED for availability</v>
      </c>
      <c r="S366" s="27" t="str">
        <v>Not Run</v>
      </c>
      <c r="T366" s="27"/>
      <c r="U366" s="27" t="str">
        <v>Updated</v>
      </c>
    </row>
    <row r="367" ht="60" customHeight="1">
      <c r="A367" s="25" t="str">
        <v>Not Run</v>
      </c>
      <c r="B367" s="24" t="str">
        <v>GO-MAN-366</v>
      </c>
      <c r="C367" s="24" t="str">
        <v>Mentor Availability &amp; Training</v>
      </c>
      <c r="D367" s="24" t="str">
        <v>Save gohq as a supported mentorship format and inspect permitted request options.</v>
      </c>
      <c r="E367" s="24" t="str">
        <v>The selected format persists and is offered only where the mentor supports it.</v>
      </c>
      <c r="F367" s="24" t="str">
        <v>GOHQ format</v>
      </c>
      <c r="G367" s="24" t="str">
        <v>P1</v>
      </c>
      <c r="H367" s="24" t="str">
        <v>Mentor, learner or admin named in the steps</v>
      </c>
      <c r="I367" s="24" t="str">
        <v>Use prepared QA records and separate accounts. Record the actual URL and build on Run Overview. Availability enabled. Use QA-only mentor and grant records.</v>
      </c>
      <c r="J367" s="24" t="str">
        <v>Regression</v>
      </c>
      <c r="K367" s="26"/>
      <c r="L367" s="26"/>
      <c r="M367" s="26"/>
      <c r="N367" s="29"/>
      <c r="O367" s="26"/>
      <c r="P367" s="26"/>
      <c r="Q367" s="26"/>
      <c r="R367" s="24" t="str">
        <v>MENTOR_AVAILABILITY_ENABLED for availability</v>
      </c>
      <c r="S367" s="28" t="str">
        <v>Not Run</v>
      </c>
      <c r="T367" s="28"/>
      <c r="U367" s="28" t="str">
        <v>Updated</v>
      </c>
    </row>
    <row r="368" ht="60" customHeight="1">
      <c r="A368" s="25" t="str">
        <v>Not Run</v>
      </c>
      <c r="B368" s="19" t="str">
        <v>GO-MAN-367</v>
      </c>
      <c r="C368" s="19" t="str">
        <v>Mentor Availability &amp; Training</v>
      </c>
      <c r="D368" s="19" t="str">
        <v>Save hybrid as a supported mentorship format and inspect permitted request options.</v>
      </c>
      <c r="E368" s="19" t="str">
        <v>The selected format persists and is offered only where the mentor supports it.</v>
      </c>
      <c r="F368" s="19" t="str">
        <v>Hybrid format</v>
      </c>
      <c r="G368" s="19" t="str">
        <v>P1</v>
      </c>
      <c r="H368" s="19" t="str">
        <v>Mentor, learner or admin named in the steps</v>
      </c>
      <c r="I368" s="19" t="str">
        <v>Use prepared QA records and separate accounts. Record the actual URL and build on Run Overview. Availability enabled. Use QA-only mentor and grant records.</v>
      </c>
      <c r="J368" s="19" t="str">
        <v>Regression</v>
      </c>
      <c r="K368" s="26"/>
      <c r="L368" s="26"/>
      <c r="M368" s="26"/>
      <c r="N368" s="29"/>
      <c r="O368" s="26"/>
      <c r="P368" s="26"/>
      <c r="Q368" s="26"/>
      <c r="R368" s="19" t="str">
        <v>MENTOR_AVAILABILITY_ENABLED for availability</v>
      </c>
      <c r="S368" s="27" t="str">
        <v>Not Run</v>
      </c>
      <c r="T368" s="27"/>
      <c r="U368" s="27" t="str">
        <v>Updated</v>
      </c>
    </row>
    <row r="369" ht="60" customHeight="1">
      <c r="A369" s="25" t="str">
        <v>Not Run</v>
      </c>
      <c r="B369" s="24" t="str">
        <v>GO-MAN-368</v>
      </c>
      <c r="C369" s="24" t="str">
        <v>Mentor Availability &amp; Training</v>
      </c>
      <c r="D369" s="24" t="str">
        <v>Inspect a mentor configured for supported group work and attempt an applicable request.</v>
      </c>
      <c r="E369" s="24" t="str">
        <v>Available format follows saved configuration. No unsupported group scheduling is invented.</v>
      </c>
      <c r="F369" s="24" t="str">
        <v>Group mentoring configuration</v>
      </c>
      <c r="G369" s="24" t="str">
        <v>P1</v>
      </c>
      <c r="H369" s="24" t="str">
        <v>Mentor, learner or admin named in the steps</v>
      </c>
      <c r="I369" s="24" t="str">
        <v>Use prepared QA records and separate accounts. Record the actual URL and build on Run Overview. Availability enabled. Use QA-only mentor and grant records.</v>
      </c>
      <c r="J369" s="24" t="str">
        <v>Regression</v>
      </c>
      <c r="K369" s="26"/>
      <c r="L369" s="26"/>
      <c r="M369" s="26"/>
      <c r="N369" s="29"/>
      <c r="O369" s="26"/>
      <c r="P369" s="26"/>
      <c r="Q369" s="26"/>
      <c r="R369" s="24" t="str">
        <v>MENTOR_AVAILABILITY_ENABLED for availability</v>
      </c>
      <c r="S369" s="28" t="str">
        <v>Not Run</v>
      </c>
      <c r="T369" s="28"/>
      <c r="U369" s="28" t="str">
        <v>Updated</v>
      </c>
    </row>
    <row r="370" ht="60" customHeight="1">
      <c r="A370" s="25" t="str">
        <v>Not Run</v>
      </c>
      <c r="B370" s="19" t="str">
        <v>GO-MAN-369</v>
      </c>
      <c r="C370" s="19" t="str">
        <v>Mentor Availability &amp; Training</v>
      </c>
      <c r="D370" s="19" t="str">
        <v>Request a supported individual mentorship.</v>
      </c>
      <c r="E370" s="19" t="str">
        <v>The individual format is preserved through review and agreement.</v>
      </c>
      <c r="F370" s="19" t="str">
        <v>Individual mentoring</v>
      </c>
      <c r="G370" s="19" t="str">
        <v>P1</v>
      </c>
      <c r="H370" s="19" t="str">
        <v>Mentor, learner or admin named in the steps</v>
      </c>
      <c r="I370" s="19" t="str">
        <v>Use prepared QA records and separate accounts. Record the actual URL and build on Run Overview. Availability enabled. Use QA-only mentor and grant records.</v>
      </c>
      <c r="J370" s="19" t="str">
        <v>Regression</v>
      </c>
      <c r="K370" s="26"/>
      <c r="L370" s="26"/>
      <c r="M370" s="26"/>
      <c r="N370" s="29"/>
      <c r="O370" s="26"/>
      <c r="P370" s="26"/>
      <c r="Q370" s="26"/>
      <c r="R370" s="19" t="str">
        <v>MENTOR_AVAILABILITY_ENABLED for availability</v>
      </c>
      <c r="S370" s="27" t="str">
        <v>Not Run</v>
      </c>
      <c r="T370" s="27"/>
      <c r="U370" s="27" t="str">
        <v>Updated</v>
      </c>
    </row>
    <row r="371" ht="60" customHeight="1">
      <c r="A371" s="25" t="str">
        <v>Not Run</v>
      </c>
      <c r="B371" s="24" t="str">
        <v>GO-MAN-370</v>
      </c>
      <c r="C371" s="24" t="str">
        <v>Mentor Availability &amp; Training</v>
      </c>
      <c r="D371" s="24" t="str">
        <v>Use a mentor at its configured active-mentee limit and attempt another acceptance.</v>
      </c>
      <c r="E371" s="24" t="str">
        <v>The server prevents exceeding current capacity. Pending engagements that occupy capacity are included.</v>
      </c>
      <c r="F371" s="24" t="str">
        <v>Mentor capacity</v>
      </c>
      <c r="G371" s="24" t="str">
        <v>P1</v>
      </c>
      <c r="H371" s="24" t="str">
        <v>Mentor, learner or admin named in the steps</v>
      </c>
      <c r="I371" s="24" t="str">
        <v>Use prepared QA records and separate accounts. Record the actual URL and build on Run Overview. Availability enabled. Use QA-only mentor and grant records.</v>
      </c>
      <c r="J371" s="24" t="str">
        <v>Regression</v>
      </c>
      <c r="K371" s="26"/>
      <c r="L371" s="26"/>
      <c r="M371" s="26"/>
      <c r="N371" s="29"/>
      <c r="O371" s="26"/>
      <c r="P371" s="26"/>
      <c r="Q371" s="26"/>
      <c r="R371" s="24" t="str">
        <v>MENTOR_AVAILABILITY_ENABLED for availability</v>
      </c>
      <c r="S371" s="28" t="str">
        <v>Not Run</v>
      </c>
      <c r="T371" s="28"/>
      <c r="U371" s="28" t="str">
        <v>Updated</v>
      </c>
    </row>
    <row r="372" ht="60" customHeight="1">
      <c r="A372" s="25" t="str">
        <v>Not Run</v>
      </c>
      <c r="B372" s="19" t="str">
        <v>GO-MAN-371</v>
      </c>
      <c r="C372" s="19" t="str">
        <v>Mentor Availability &amp; Training</v>
      </c>
      <c r="D372" s="19" t="str">
        <v>Pause new requests in the mentor workspace and reload the directory.</v>
      </c>
      <c r="E372" s="19" t="str">
        <v>Pause persists and new selections are blocked.</v>
      </c>
      <c r="F372" s="19" t="str">
        <v>Mentor temporary pause</v>
      </c>
      <c r="G372" s="19" t="str">
        <v>P1</v>
      </c>
      <c r="H372" s="19" t="str">
        <v>Mentor, learner or admin named in the steps</v>
      </c>
      <c r="I372" s="19" t="str">
        <v>Use prepared QA records and separate accounts. Record the actual URL and build on Run Overview. Availability enabled. Use QA-only mentor and grant records.</v>
      </c>
      <c r="J372" s="19" t="str">
        <v>Regression</v>
      </c>
      <c r="K372" s="26"/>
      <c r="L372" s="26"/>
      <c r="M372" s="26"/>
      <c r="N372" s="29"/>
      <c r="O372" s="26"/>
      <c r="P372" s="26"/>
      <c r="Q372" s="26"/>
      <c r="R372" s="19" t="str">
        <v>MENTOR_AVAILABILITY_ENABLED for availability</v>
      </c>
      <c r="S372" s="27" t="str">
        <v>Not Run</v>
      </c>
      <c r="T372" s="27"/>
      <c r="U372" s="27" t="str">
        <v>Updated</v>
      </c>
    </row>
    <row r="373" ht="60" customHeight="1">
      <c r="A373" s="25" t="str">
        <v>Not Run</v>
      </c>
      <c r="B373" s="24" t="str">
        <v>GO-MAN-372</v>
      </c>
      <c r="C373" s="24" t="str">
        <v>Mentor Availability &amp; Training</v>
      </c>
      <c r="D373" s="24" t="str">
        <v>Inspect public mentor payloads as visitor and unrelated member.</v>
      </c>
      <c r="E373" s="24" t="str">
        <v>Exact schedule, private session links and contact details are absent.</v>
      </c>
      <c r="F373" s="24" t="str">
        <v>Private exact schedule</v>
      </c>
      <c r="G373" s="24" t="str">
        <v>P1</v>
      </c>
      <c r="H373" s="24" t="str">
        <v>Mentor, learner or admin named in the steps</v>
      </c>
      <c r="I373" s="24" t="str">
        <v>Use prepared QA records and separate accounts. Record the actual URL and build on Run Overview. Availability enabled. Use QA-only mentor and grant records.</v>
      </c>
      <c r="J373" s="24" t="str">
        <v>Regression</v>
      </c>
      <c r="K373" s="26"/>
      <c r="L373" s="26"/>
      <c r="M373" s="26"/>
      <c r="N373" s="29"/>
      <c r="O373" s="26"/>
      <c r="P373" s="26"/>
      <c r="Q373" s="26"/>
      <c r="R373" s="24" t="str">
        <v>MENTOR_AVAILABILITY_ENABLED for availability</v>
      </c>
      <c r="S373" s="28" t="str">
        <v>Not Run</v>
      </c>
      <c r="T373" s="28"/>
      <c r="U373" s="28" t="str">
        <v>Updated</v>
      </c>
    </row>
    <row r="374" ht="60" customHeight="1">
      <c r="A374" s="25" t="str">
        <v>Not Run</v>
      </c>
      <c r="B374" s="19" t="str">
        <v>GO-MAN-373</v>
      </c>
      <c r="C374" s="19" t="str">
        <v>Mentor Availability &amp; Training</v>
      </c>
      <c r="D374" s="19" t="str">
        <v>Compare the public availability label to the saved private settings.</v>
      </c>
      <c r="E374" s="19" t="str">
        <v>The label is accurate without disclosing exact private windows.</v>
      </c>
      <c r="F374" s="19" t="str">
        <v>General availability label</v>
      </c>
      <c r="G374" s="19" t="str">
        <v>P1</v>
      </c>
      <c r="H374" s="19" t="str">
        <v>Mentor, learner or admin named in the steps</v>
      </c>
      <c r="I374" s="19" t="str">
        <v>Use prepared QA records and separate accounts. Record the actual URL and build on Run Overview. Availability enabled. Use QA-only mentor and grant records.</v>
      </c>
      <c r="J374" s="19" t="str">
        <v>Regression</v>
      </c>
      <c r="K374" s="26"/>
      <c r="L374" s="26"/>
      <c r="M374" s="26"/>
      <c r="N374" s="29"/>
      <c r="O374" s="26"/>
      <c r="P374" s="26"/>
      <c r="Q374" s="26"/>
      <c r="R374" s="19" t="str">
        <v>MENTOR_AVAILABILITY_ENABLED for availability</v>
      </c>
      <c r="S374" s="27" t="str">
        <v>Not Run</v>
      </c>
      <c r="T374" s="27"/>
      <c r="U374" s="27" t="str">
        <v>Updated</v>
      </c>
    </row>
    <row r="375" ht="60" customHeight="1">
      <c r="A375" s="25" t="str">
        <v>Not Run</v>
      </c>
      <c r="B375" s="24" t="str">
        <v>GO-MAN-374</v>
      </c>
      <c r="C375" s="24" t="str">
        <v>Mentor Availability &amp; Training</v>
      </c>
      <c r="D375" s="24" t="str">
        <v>Use paused, suspended and full-capacity profiles for suggestion generation.</v>
      </c>
      <c r="E375" s="24" t="str">
        <v>Unavailable mentors are not offered as new actionable choices.</v>
      </c>
      <c r="F375" s="24" t="str">
        <v>Unavailable mentor exclusion</v>
      </c>
      <c r="G375" s="24" t="str">
        <v>P1</v>
      </c>
      <c r="H375" s="24" t="str">
        <v>Mentor, learner or admin named in the steps</v>
      </c>
      <c r="I375" s="24" t="str">
        <v>Use prepared QA records and separate accounts. Record the actual URL and build on Run Overview. Availability enabled. Use QA-only mentor and grant records.</v>
      </c>
      <c r="J375" s="24" t="str">
        <v>Regression</v>
      </c>
      <c r="K375" s="26"/>
      <c r="L375" s="26"/>
      <c r="M375" s="26"/>
      <c r="N375" s="29"/>
      <c r="O375" s="26"/>
      <c r="P375" s="26"/>
      <c r="Q375" s="26"/>
      <c r="R375" s="24" t="str">
        <v>MENTOR_AVAILABILITY_ENABLED for availability</v>
      </c>
      <c r="S375" s="28" t="str">
        <v>Not Run</v>
      </c>
      <c r="T375" s="28"/>
      <c r="U375" s="28" t="str">
        <v>Updated</v>
      </c>
    </row>
    <row r="376" ht="60" customHeight="1">
      <c r="A376" s="25" t="str">
        <v>Not Run</v>
      </c>
      <c r="B376" s="19" t="str">
        <v>GO-MAN-375</v>
      </c>
      <c r="C376" s="19" t="str">
        <v>Mentor Availability &amp; Training</v>
      </c>
      <c r="D376" s="19" t="str">
        <v>As admin, grant one controlled mentor access to a specific course, then open it as the recipient.</v>
      </c>
      <c r="E376" s="19" t="str">
        <v>The grant permits only the assigned item, without a billing transaction.</v>
      </c>
      <c r="F376" s="19" t="str">
        <v>Free course assignment</v>
      </c>
      <c r="G376" s="19" t="str">
        <v>P0</v>
      </c>
      <c r="H376" s="19" t="str">
        <v>Mentor, learner or admin named in the steps</v>
      </c>
      <c r="I376" s="19" t="str">
        <v>Use prepared QA records and separate accounts. Record the actual URL and build on Run Overview. Availability enabled. Use QA-only mentor and grant records.</v>
      </c>
      <c r="J376" s="19" t="str">
        <v>Regression</v>
      </c>
      <c r="K376" s="26"/>
      <c r="L376" s="26"/>
      <c r="M376" s="26"/>
      <c r="N376" s="29"/>
      <c r="O376" s="26"/>
      <c r="P376" s="26"/>
      <c r="Q376" s="26"/>
      <c r="R376" s="19" t="str">
        <v>MENTOR_AVAILABILITY_ENABLED for availability</v>
      </c>
      <c r="S376" s="27" t="str">
        <v>Not Run</v>
      </c>
      <c r="T376" s="27"/>
      <c r="U376" s="27" t="str">
        <v>Updated</v>
      </c>
    </row>
    <row r="377" ht="60" customHeight="1">
      <c r="A377" s="25" t="str">
        <v>Not Run</v>
      </c>
      <c r="B377" s="24" t="str">
        <v>GO-MAN-376</v>
      </c>
      <c r="C377" s="24" t="str">
        <v>Mentor Availability &amp; Training</v>
      </c>
      <c r="D377" s="24" t="str">
        <v>As admin, grant one controlled mentor access to a specific workshop, then open it as the recipient.</v>
      </c>
      <c r="E377" s="24" t="str">
        <v>The grant permits only the assigned item, without a billing transaction.</v>
      </c>
      <c r="F377" s="24" t="str">
        <v>Free workshop assignment</v>
      </c>
      <c r="G377" s="24" t="str">
        <v>P0</v>
      </c>
      <c r="H377" s="24" t="str">
        <v>Mentor, learner or admin named in the steps</v>
      </c>
      <c r="I377" s="24" t="str">
        <v>Use prepared QA records and separate accounts. Record the actual URL and build on Run Overview. Availability enabled. Use QA-only mentor and grant records.</v>
      </c>
      <c r="J377" s="24" t="str">
        <v>Regression</v>
      </c>
      <c r="K377" s="26"/>
      <c r="L377" s="26"/>
      <c r="M377" s="26"/>
      <c r="N377" s="29"/>
      <c r="O377" s="26"/>
      <c r="P377" s="26"/>
      <c r="Q377" s="26"/>
      <c r="R377" s="24" t="str">
        <v>MENTOR_AVAILABILITY_ENABLED for availability</v>
      </c>
      <c r="S377" s="28" t="str">
        <v>Not Run</v>
      </c>
      <c r="T377" s="28"/>
      <c r="U377" s="28" t="str">
        <v>Updated</v>
      </c>
    </row>
    <row r="378" ht="60" customHeight="1">
      <c r="A378" s="25" t="str">
        <v>Not Run</v>
      </c>
      <c r="B378" s="19" t="str">
        <v>GO-MAN-377</v>
      </c>
      <c r="C378" s="19" t="str">
        <v>Mentor Availability &amp; Training</v>
      </c>
      <c r="D378" s="19" t="str">
        <v>As admin, grant one controlled mentor access to a specific video bundle, then open it as the recipient.</v>
      </c>
      <c r="E378" s="19" t="str">
        <v>The grant permits only the assigned item, without a billing transaction.</v>
      </c>
      <c r="F378" s="19" t="str">
        <v>Free video assignment</v>
      </c>
      <c r="G378" s="19" t="str">
        <v>P0</v>
      </c>
      <c r="H378" s="19" t="str">
        <v>Mentor, learner or admin named in the steps</v>
      </c>
      <c r="I378" s="19" t="str">
        <v>Use prepared QA records and separate accounts. Record the actual URL and build on Run Overview. Availability enabled. Use QA-only mentor and grant records.</v>
      </c>
      <c r="J378" s="19" t="str">
        <v>Regression</v>
      </c>
      <c r="K378" s="26"/>
      <c r="L378" s="26"/>
      <c r="M378" s="26"/>
      <c r="N378" s="29"/>
      <c r="O378" s="26"/>
      <c r="P378" s="26"/>
      <c r="Q378" s="26"/>
      <c r="R378" s="19" t="str">
        <v>MENTOR_AVAILABILITY_ENABLED for availability</v>
      </c>
      <c r="S378" s="27" t="str">
        <v>Not Run</v>
      </c>
      <c r="T378" s="27"/>
      <c r="U378" s="27" t="str">
        <v>Updated</v>
      </c>
    </row>
    <row r="379" ht="60" customHeight="1">
      <c r="A379" s="25" t="str">
        <v>Not Run</v>
      </c>
      <c r="B379" s="24" t="str">
        <v>GO-MAN-378</v>
      </c>
      <c r="C379" s="24" t="str">
        <v>Mentor Availability &amp; Training</v>
      </c>
      <c r="D379" s="24" t="str">
        <v>Save an assignment with its required reason, then inspect reviewer history.</v>
      </c>
      <c r="E379" s="24" t="str">
        <v>The reason is stored for reviewers and does not leak into public profiles.</v>
      </c>
      <c r="F379" s="24" t="str">
        <v>Training assignment reason</v>
      </c>
      <c r="G379" s="24" t="str">
        <v>P1</v>
      </c>
      <c r="H379" s="24" t="str">
        <v>Mentor, learner or admin named in the steps</v>
      </c>
      <c r="I379" s="24" t="str">
        <v>Use prepared QA records and separate accounts. Record the actual URL and build on Run Overview. Availability enabled. Use QA-only mentor and grant records.</v>
      </c>
      <c r="J379" s="24" t="str">
        <v>Regression</v>
      </c>
      <c r="K379" s="26"/>
      <c r="L379" s="26"/>
      <c r="M379" s="26"/>
      <c r="N379" s="29"/>
      <c r="O379" s="26"/>
      <c r="P379" s="26"/>
      <c r="Q379" s="26"/>
      <c r="R379" s="24" t="str">
        <v>MENTOR_AVAILABILITY_ENABLED for availability</v>
      </c>
      <c r="S379" s="28" t="str">
        <v>Not Run</v>
      </c>
      <c r="T379" s="28"/>
      <c r="U379" s="28" t="str">
        <v>Updated</v>
      </c>
    </row>
    <row r="380" ht="60" customHeight="1">
      <c r="A380" s="25" t="str">
        <v>Not Run</v>
      </c>
      <c r="B380" s="19" t="str">
        <v>GO-MAN-379</v>
      </c>
      <c r="C380" s="19" t="str">
        <v>Mentor Availability &amp; Training</v>
      </c>
      <c r="D380" s="19" t="str">
        <v>Use a prepared expired training grant and open the item.</v>
      </c>
      <c r="E380" s="19" t="str">
        <v>Expired grant no longer supplies access. Another valid entitlement still works if present.</v>
      </c>
      <c r="F380" s="19" t="str">
        <v>Training grant expiry</v>
      </c>
      <c r="G380" s="19" t="str">
        <v>P1</v>
      </c>
      <c r="H380" s="19" t="str">
        <v>Mentor, learner or admin named in the steps</v>
      </c>
      <c r="I380" s="19" t="str">
        <v>Use prepared QA records and separate accounts. Record the actual URL and build on Run Overview. Availability enabled. Use QA-only mentor and grant records.</v>
      </c>
      <c r="J380" s="19" t="str">
        <v>Regression</v>
      </c>
      <c r="K380" s="26"/>
      <c r="L380" s="26"/>
      <c r="M380" s="26"/>
      <c r="N380" s="29"/>
      <c r="O380" s="26"/>
      <c r="P380" s="26"/>
      <c r="Q380" s="26"/>
      <c r="R380" s="19" t="str">
        <v>MENTOR_AVAILABILITY_ENABLED for availability</v>
      </c>
      <c r="S380" s="27" t="str">
        <v>Not Run</v>
      </c>
      <c r="T380" s="27"/>
      <c r="U380" s="27" t="str">
        <v>Updated</v>
      </c>
    </row>
    <row r="381" ht="60" customHeight="1">
      <c r="A381" s="25" t="str">
        <v>Not Run</v>
      </c>
      <c r="B381" s="24" t="str">
        <v>GO-MAN-380</v>
      </c>
      <c r="C381" s="24" t="str">
        <v>Mentor Availability &amp; Training</v>
      </c>
      <c r="D381" s="24" t="str">
        <v>Revoke one grant and retry its item as the recipient.</v>
      </c>
      <c r="E381" s="24" t="str">
        <v>The revoked grant cannot authorize a new open request.</v>
      </c>
      <c r="F381" s="24" t="str">
        <v>Training grant revocation</v>
      </c>
      <c r="G381" s="24" t="str">
        <v>P1</v>
      </c>
      <c r="H381" s="24" t="str">
        <v>Mentor, learner or admin named in the steps</v>
      </c>
      <c r="I381" s="24" t="str">
        <v>Use prepared QA records and separate accounts. Record the actual URL and build on Run Overview. Availability enabled. Use QA-only mentor and grant records.</v>
      </c>
      <c r="J381" s="24" t="str">
        <v>Regression</v>
      </c>
      <c r="K381" s="26"/>
      <c r="L381" s="26"/>
      <c r="M381" s="26"/>
      <c r="N381" s="29"/>
      <c r="O381" s="26"/>
      <c r="P381" s="26"/>
      <c r="Q381" s="26"/>
      <c r="R381" s="24" t="str">
        <v>MENTOR_AVAILABILITY_ENABLED for availability</v>
      </c>
      <c r="S381" s="28" t="str">
        <v>Not Run</v>
      </c>
      <c r="T381" s="28"/>
      <c r="U381" s="28" t="str">
        <v>Updated</v>
      </c>
    </row>
    <row r="382" ht="60" customHeight="1">
      <c r="A382" s="25" t="str">
        <v>Not Run</v>
      </c>
      <c r="B382" s="19" t="str">
        <v>GO-MAN-381</v>
      </c>
      <c r="C382" s="19" t="str">
        <v>Mentor Availability &amp; Training</v>
      </c>
      <c r="D382" s="19" t="str">
        <v>Assign a training item and open the recipient’s Learning workspace.</v>
      </c>
      <c r="E382" s="19" t="str">
        <v>The assigned preparation is visible with the correct destination and state.</v>
      </c>
      <c r="F382" s="19" t="str">
        <v>Assigned preparation dashboard</v>
      </c>
      <c r="G382" s="19" t="str">
        <v>P1</v>
      </c>
      <c r="H382" s="19" t="str">
        <v>Mentor, learner or admin named in the steps</v>
      </c>
      <c r="I382" s="19" t="str">
        <v>Use prepared QA records and separate accounts. Record the actual URL and build on Run Overview. Availability enabled. Use QA-only mentor and grant records.</v>
      </c>
      <c r="J382" s="19" t="str">
        <v>Regression</v>
      </c>
      <c r="K382" s="26"/>
      <c r="L382" s="26"/>
      <c r="M382" s="26"/>
      <c r="N382" s="29"/>
      <c r="O382" s="26"/>
      <c r="P382" s="26"/>
      <c r="Q382" s="26"/>
      <c r="R382" s="19" t="str">
        <v>MENTOR_AVAILABILITY_ENABLED for availability</v>
      </c>
      <c r="S382" s="27" t="str">
        <v>Not Run</v>
      </c>
      <c r="T382" s="27"/>
      <c r="U382" s="27" t="str">
        <v>Updated</v>
      </c>
    </row>
    <row r="383" ht="60" customHeight="1">
      <c r="A383" s="25" t="str">
        <v>Not Run</v>
      </c>
      <c r="B383" s="24" t="str">
        <v>GO-MAN-382</v>
      </c>
      <c r="C383" s="24" t="str">
        <v>Mentor Availability &amp; Training</v>
      </c>
      <c r="D383" s="24" t="str">
        <v>Grant an otherwise unentitled recipient training access. Inspect billing and content.</v>
      </c>
      <c r="E383" s="24" t="str">
        <v>The specific grant works without creating orders or changing membership.</v>
      </c>
      <c r="F383" s="24" t="str">
        <v>Training independent of billing</v>
      </c>
      <c r="G383" s="24" t="str">
        <v>P1</v>
      </c>
      <c r="H383" s="24" t="str">
        <v>Mentor, learner or admin named in the steps</v>
      </c>
      <c r="I383" s="24" t="str">
        <v>Use prepared QA records and separate accounts. Record the actual URL and build on Run Overview. Availability enabled. Use QA-only mentor and grant records.</v>
      </c>
      <c r="J383" s="24" t="str">
        <v>Regression</v>
      </c>
      <c r="K383" s="26"/>
      <c r="L383" s="26"/>
      <c r="M383" s="26"/>
      <c r="N383" s="29"/>
      <c r="O383" s="26"/>
      <c r="P383" s="26"/>
      <c r="Q383" s="26"/>
      <c r="R383" s="24" t="str">
        <v>MENTOR_AVAILABILITY_ENABLED for availability</v>
      </c>
      <c r="S383" s="28" t="str">
        <v>Not Run</v>
      </c>
      <c r="T383" s="28"/>
      <c r="U383" s="28" t="str">
        <v>Updated</v>
      </c>
    </row>
    <row r="384" ht="60" customHeight="1">
      <c r="A384" s="25" t="str">
        <v>Not Run</v>
      </c>
      <c r="B384" s="19" t="str">
        <v>GO-MAN-383</v>
      </c>
      <c r="C384" s="19" t="str">
        <v>Mentor Availability &amp; Training</v>
      </c>
      <c r="D384" s="19" t="str">
        <v>Use a grant for item A to request item B directly.</v>
      </c>
      <c r="E384" s="19" t="str">
        <v>Item B remains locked without its own entitlement.</v>
      </c>
      <c r="F384" s="19" t="str">
        <v>No unrelated training access</v>
      </c>
      <c r="G384" s="19" t="str">
        <v>P1</v>
      </c>
      <c r="H384" s="19" t="str">
        <v>Mentor, learner or admin named in the steps</v>
      </c>
      <c r="I384" s="19" t="str">
        <v>Use prepared QA records and separate accounts. Record the actual URL and build on Run Overview. Availability enabled. Use QA-only mentor and grant records.</v>
      </c>
      <c r="J384" s="19" t="str">
        <v>Regression</v>
      </c>
      <c r="K384" s="26"/>
      <c r="L384" s="26"/>
      <c r="M384" s="26"/>
      <c r="N384" s="29"/>
      <c r="O384" s="26"/>
      <c r="P384" s="26"/>
      <c r="Q384" s="26"/>
      <c r="R384" s="19" t="str">
        <v>MENTOR_AVAILABILITY_ENABLED for availability</v>
      </c>
      <c r="S384" s="27" t="str">
        <v>Not Run</v>
      </c>
      <c r="T384" s="27"/>
      <c r="U384" s="27" t="str">
        <v>Updated</v>
      </c>
    </row>
    <row r="385" ht="64" customHeight="1">
      <c r="A385" s="25" t="str">
        <v>Not Run</v>
      </c>
      <c r="B385" s="24" t="str">
        <v>GO-MAN-384</v>
      </c>
      <c r="C385" s="24" t="str">
        <v>Mentorship Requests</v>
      </c>
      <c r="D385" s="24" t="str">
        <v>As active Community, open /profile?tab=mentorships&amp;view=request and save a valid request.</v>
      </c>
      <c r="E385" s="24" t="str">
        <v>The request workspace is available. Submission goes to GO review, not directly to a mentor.</v>
      </c>
      <c r="F385" s="24" t="str">
        <v>Community mentorship request eligibility</v>
      </c>
      <c r="G385" s="24" t="str">
        <v>P1</v>
      </c>
      <c r="H385" s="24" t="str">
        <v>Role named in the steps</v>
      </c>
      <c r="I385" s="24" t="str">
        <v>Use prepared QA records and separate accounts. Record the actual URL and build on Run Overview. Mentorship system and requests enabled. Use prepared adult learner, mentor and GO-reviewer accounts.</v>
      </c>
      <c r="J385" s="24" t="str">
        <v>Smoke</v>
      </c>
      <c r="K385" s="26"/>
      <c r="L385" s="26"/>
      <c r="M385" s="26"/>
      <c r="N385" s="29"/>
      <c r="O385" s="26"/>
      <c r="P385" s="26"/>
      <c r="Q385" s="26"/>
      <c r="R385" s="24" t="str">
        <v>MENTORSHIP_SYSTEM_ENABLED and MENTORSHIP_REQUESTS_ENABLED</v>
      </c>
      <c r="S385" s="28" t="str">
        <v>Not Run</v>
      </c>
      <c r="T385" s="28"/>
      <c r="U385" s="28" t="str">
        <v>Updated</v>
      </c>
    </row>
    <row r="386" ht="64" customHeight="1">
      <c r="A386" s="25" t="str">
        <v>Not Run</v>
      </c>
      <c r="B386" s="19" t="str">
        <v>GO-MAN-385</v>
      </c>
      <c r="C386" s="19" t="str">
        <v>Mentorship Requests</v>
      </c>
      <c r="D386" s="19" t="str">
        <v>Repeat as active Business.</v>
      </c>
      <c r="E386" s="19" t="str">
        <v>Inherited membership allows the request, subject to configured limits and review.</v>
      </c>
      <c r="F386" s="19" t="str">
        <v>Business mentorship request eligibility</v>
      </c>
      <c r="G386" s="19" t="str">
        <v>P1</v>
      </c>
      <c r="H386" s="19" t="str">
        <v>Role named in the steps</v>
      </c>
      <c r="I386" s="19" t="str">
        <v>Use prepared QA records and separate accounts. Record the actual URL and build on Run Overview. Mentorship system and requests enabled. Use prepared adult learner, mentor and GO-reviewer accounts.</v>
      </c>
      <c r="J386" s="19" t="str">
        <v>Regression</v>
      </c>
      <c r="K386" s="26"/>
      <c r="L386" s="26"/>
      <c r="M386" s="26"/>
      <c r="N386" s="29"/>
      <c r="O386" s="26"/>
      <c r="P386" s="26"/>
      <c r="Q386" s="26"/>
      <c r="R386" s="19" t="str">
        <v>MENTORSHIP_SYSTEM_ENABLED and MENTORSHIP_REQUESTS_ENABLED</v>
      </c>
      <c r="S386" s="27" t="str">
        <v>Not Run</v>
      </c>
      <c r="T386" s="27"/>
      <c r="U386" s="27" t="str">
        <v>Updated</v>
      </c>
    </row>
    <row r="387" ht="64" customHeight="1">
      <c r="A387" s="25" t="str">
        <v>Not Run</v>
      </c>
      <c r="B387" s="24" t="str">
        <v>GO-MAN-386</v>
      </c>
      <c r="C387" s="24" t="str">
        <v>Mentorship Requests</v>
      </c>
      <c r="D387" s="24" t="str">
        <v>As free user, open the request workspace and submit through the direct API.</v>
      </c>
      <c r="E387" s="24" t="str">
        <v>Membership guidance appears and the server rejects submission.</v>
      </c>
      <c r="F387" s="24" t="str">
        <v>Free mentorship request gate</v>
      </c>
      <c r="G387" s="24" t="str">
        <v>P0</v>
      </c>
      <c r="H387" s="24" t="str">
        <v>Role named in the steps</v>
      </c>
      <c r="I387" s="24" t="str">
        <v>Use prepared QA records and separate accounts. Record the actual URL and build on Run Overview. Mentorship system and requests enabled. Use prepared adult learner, mentor and GO-reviewer accounts.</v>
      </c>
      <c r="J387" s="24" t="str">
        <v>Regression</v>
      </c>
      <c r="K387" s="26"/>
      <c r="L387" s="26"/>
      <c r="M387" s="26"/>
      <c r="N387" s="29"/>
      <c r="O387" s="26"/>
      <c r="P387" s="26"/>
      <c r="Q387" s="26"/>
      <c r="R387" s="24" t="str">
        <v>MENTORSHIP_SYSTEM_ENABLED and MENTORSHIP_REQUESTS_ENABLED</v>
      </c>
      <c r="S387" s="28" t="str">
        <v>Not Run</v>
      </c>
      <c r="T387" s="28"/>
      <c r="U387" s="28" t="str">
        <v>Updated</v>
      </c>
    </row>
    <row r="388" ht="64" customHeight="1">
      <c r="A388" s="25" t="str">
        <v>Not Run</v>
      </c>
      <c r="B388" s="19" t="str">
        <v>GO-MAN-387</v>
      </c>
      <c r="C388" s="19" t="str">
        <v>Mentorship Requests</v>
      </c>
      <c r="D388" s="19" t="str">
        <v>Use a prepared under-18 profile while under-18 self-service is disabled.</v>
      </c>
      <c r="E388" s="19" t="str">
        <v>Self-service submission is blocked with appropriate guidance. No sensitive age detail is made public.</v>
      </c>
      <c r="F388" s="19" t="str">
        <v>Under-18 self-service gate</v>
      </c>
      <c r="G388" s="19" t="str">
        <v>P0</v>
      </c>
      <c r="H388" s="19" t="str">
        <v>Role named in the steps</v>
      </c>
      <c r="I388" s="19" t="str">
        <v>Use prepared QA records and separate accounts. Record the actual URL and build on Run Overview. Mentorship system and requests enabled. Use prepared adult learner, mentor and GO-reviewer accounts.</v>
      </c>
      <c r="J388" s="19" t="str">
        <v>Regression</v>
      </c>
      <c r="K388" s="26"/>
      <c r="L388" s="26"/>
      <c r="M388" s="26"/>
      <c r="N388" s="29"/>
      <c r="O388" s="26"/>
      <c r="P388" s="26"/>
      <c r="Q388" s="26"/>
      <c r="R388" s="19" t="str">
        <v>MENTORSHIP_SYSTEM_ENABLED and MENTORSHIP_REQUESTS_ENABLED</v>
      </c>
      <c r="S388" s="27" t="str">
        <v>Not Run</v>
      </c>
      <c r="T388" s="27"/>
      <c r="U388" s="27" t="str">
        <v>Updated</v>
      </c>
    </row>
    <row r="389" ht="64" customHeight="1">
      <c r="A389" s="25" t="str">
        <v>Not Run</v>
      </c>
      <c r="B389" s="24" t="str">
        <v>GO-MAN-388</v>
      </c>
      <c r="C389" s="24" t="str">
        <v>Mentorship Requests</v>
      </c>
      <c r="D389" s="24" t="str">
        <v>Fill title and goal, save a draft and reload.</v>
      </c>
      <c r="E389" s="24" t="str">
        <v>Draft stays private and can be resumed before submission.</v>
      </c>
      <c r="F389" s="24" t="str">
        <v>Private request draft</v>
      </c>
      <c r="G389" s="24" t="str">
        <v>P1</v>
      </c>
      <c r="H389" s="24" t="str">
        <v>Role named in the steps</v>
      </c>
      <c r="I389" s="24" t="str">
        <v>Use prepared QA records and separate accounts. Record the actual URL and build on Run Overview. Mentorship system and requests enabled. Use prepared adult learner, mentor and GO-reviewer accounts.</v>
      </c>
      <c r="J389" s="24" t="str">
        <v>Regression</v>
      </c>
      <c r="K389" s="26"/>
      <c r="L389" s="26"/>
      <c r="M389" s="26"/>
      <c r="N389" s="29"/>
      <c r="O389" s="26"/>
      <c r="P389" s="26"/>
      <c r="Q389" s="26"/>
      <c r="R389" s="24" t="str">
        <v>MENTORSHIP_SYSTEM_ENABLED and MENTORSHIP_REQUESTS_ENABLED</v>
      </c>
      <c r="S389" s="28" t="str">
        <v>Not Run</v>
      </c>
      <c r="T389" s="28"/>
      <c r="U389" s="28" t="str">
        <v>Updated</v>
      </c>
    </row>
    <row r="390" ht="64" customHeight="1">
      <c r="A390" s="25" t="str">
        <v>Not Run</v>
      </c>
      <c r="B390" s="19" t="str">
        <v>GO-MAN-389</v>
      </c>
      <c r="C390" s="19" t="str">
        <v>Mentorship Requests</v>
      </c>
      <c r="D390" s="19" t="str">
        <v>Omit required title, goal, format or consent and submit.</v>
      </c>
      <c r="E390" s="19" t="str">
        <v>Specific errors appear and no submitted request is created.</v>
      </c>
      <c r="F390" s="19" t="str">
        <v>Request validation</v>
      </c>
      <c r="G390" s="19" t="str">
        <v>P1</v>
      </c>
      <c r="H390" s="19" t="str">
        <v>Role named in the steps</v>
      </c>
      <c r="I390" s="19" t="str">
        <v>Use prepared QA records and separate accounts. Record the actual URL and build on Run Overview. Mentorship system and requests enabled. Use prepared adult learner, mentor and GO-reviewer accounts.</v>
      </c>
      <c r="J390" s="19" t="str">
        <v>Regression</v>
      </c>
      <c r="K390" s="26"/>
      <c r="L390" s="26"/>
      <c r="M390" s="26"/>
      <c r="N390" s="29"/>
      <c r="O390" s="26"/>
      <c r="P390" s="26"/>
      <c r="Q390" s="26"/>
      <c r="R390" s="19" t="str">
        <v>MENTORSHIP_SYSTEM_ENABLED and MENTORSHIP_REQUESTS_ENABLED</v>
      </c>
      <c r="S390" s="27" t="str">
        <v>Not Run</v>
      </c>
      <c r="T390" s="27"/>
      <c r="U390" s="27" t="str">
        <v>Updated</v>
      </c>
    </row>
    <row r="391" ht="64" customHeight="1">
      <c r="A391" s="25" t="str">
        <v>Not Run</v>
      </c>
      <c r="B391" s="24" t="str">
        <v>GO-MAN-390</v>
      </c>
      <c r="C391" s="24" t="str">
        <v>Mentorship Requests</v>
      </c>
      <c r="D391" s="24" t="str">
        <v>Save a concrete milestone goal and reload the draft.</v>
      </c>
      <c r="E391" s="24" t="str">
        <v>The goal persists separately from biography and is included only in authorized review.</v>
      </c>
      <c r="F391" s="24" t="str">
        <v>Mentorship goal</v>
      </c>
      <c r="G391" s="24" t="str">
        <v>P1</v>
      </c>
      <c r="H391" s="24" t="str">
        <v>Role named in the steps</v>
      </c>
      <c r="I391" s="24" t="str">
        <v>Use prepared QA records and separate accounts. Record the actual URL and build on Run Overview. Mentorship system and requests enabled. Use prepared adult learner, mentor and GO-reviewer accounts.</v>
      </c>
      <c r="J391" s="24" t="str">
        <v>Regression</v>
      </c>
      <c r="K391" s="26"/>
      <c r="L391" s="26"/>
      <c r="M391" s="26"/>
      <c r="N391" s="29"/>
      <c r="O391" s="26"/>
      <c r="P391" s="26"/>
      <c r="Q391" s="26"/>
      <c r="R391" s="24" t="str">
        <v>MENTORSHIP_SYSTEM_ENABLED and MENTORSHIP_REQUESTS_ENABLED</v>
      </c>
      <c r="S391" s="28" t="str">
        <v>Not Run</v>
      </c>
      <c r="T391" s="28"/>
      <c r="U391" s="28" t="str">
        <v>Updated</v>
      </c>
    </row>
    <row r="392" ht="64" customHeight="1">
      <c r="A392" s="25" t="str">
        <v>Not Run</v>
      </c>
      <c r="B392" s="19" t="str">
        <v>GO-MAN-391</v>
      </c>
      <c r="C392" s="19" t="str">
        <v>Mentorship Requests</v>
      </c>
      <c r="D392" s="19" t="str">
        <v>Choose a discipline and save.</v>
      </c>
      <c r="E392" s="19" t="str">
        <v>The discipline persists and informs authorized review/suggestions.</v>
      </c>
      <c r="F392" s="19" t="str">
        <v>Request discipline</v>
      </c>
      <c r="G392" s="19" t="str">
        <v>P1</v>
      </c>
      <c r="H392" s="19" t="str">
        <v>Role named in the steps</v>
      </c>
      <c r="I392" s="19" t="str">
        <v>Use prepared QA records and separate accounts. Record the actual URL and build on Run Overview. Mentorship system and requests enabled. Use prepared adult learner, mentor and GO-reviewer accounts.</v>
      </c>
      <c r="J392" s="19" t="str">
        <v>Regression</v>
      </c>
      <c r="K392" s="26"/>
      <c r="L392" s="26"/>
      <c r="M392" s="26"/>
      <c r="N392" s="29"/>
      <c r="O392" s="26"/>
      <c r="P392" s="26"/>
      <c r="Q392" s="26"/>
      <c r="R392" s="19" t="str">
        <v>MENTORSHIP_SYSTEM_ENABLED and MENTORSHIP_REQUESTS_ENABLED</v>
      </c>
      <c r="S392" s="27" t="str">
        <v>Not Run</v>
      </c>
      <c r="T392" s="27"/>
      <c r="U392" s="27" t="str">
        <v>Updated</v>
      </c>
    </row>
    <row r="393" ht="64" customHeight="1">
      <c r="A393" s="25" t="str">
        <v>Not Run</v>
      </c>
      <c r="B393" s="24" t="str">
        <v>GO-MAN-392</v>
      </c>
      <c r="C393" s="24" t="str">
        <v>Mentorship Requests</v>
      </c>
      <c r="D393" s="24" t="str">
        <v>Choose the current learner level and save.</v>
      </c>
      <c r="E393" s="24" t="str">
        <v>The supported level value persists without inventing verified experience.</v>
      </c>
      <c r="F393" s="24" t="str">
        <v>Request learner level</v>
      </c>
      <c r="G393" s="24" t="str">
        <v>P1</v>
      </c>
      <c r="H393" s="24" t="str">
        <v>Role named in the steps</v>
      </c>
      <c r="I393" s="24" t="str">
        <v>Use prepared QA records and separate accounts. Record the actual URL and build on Run Overview. Mentorship system and requests enabled. Use prepared adult learner, mentor and GO-reviewer accounts.</v>
      </c>
      <c r="J393" s="24" t="str">
        <v>Regression</v>
      </c>
      <c r="K393" s="26"/>
      <c r="L393" s="26"/>
      <c r="M393" s="26"/>
      <c r="N393" s="29"/>
      <c r="O393" s="26"/>
      <c r="P393" s="26"/>
      <c r="Q393" s="26"/>
      <c r="R393" s="24" t="str">
        <v>MENTORSHIP_SYSTEM_ENABLED and MENTORSHIP_REQUESTS_ENABLED</v>
      </c>
      <c r="S393" s="28" t="str">
        <v>Not Run</v>
      </c>
      <c r="T393" s="28"/>
      <c r="U393" s="28" t="str">
        <v>Updated</v>
      </c>
    </row>
    <row r="394" ht="64" customHeight="1">
      <c r="A394" s="25" t="str">
        <v>Not Run</v>
      </c>
      <c r="B394" s="19" t="str">
        <v>GO-MAN-393</v>
      </c>
      <c r="C394" s="19" t="str">
        <v>Mentorship Requests</v>
      </c>
      <c r="D394" s="19" t="str">
        <v>Save two preferred languages and reload.</v>
      </c>
      <c r="E394" s="19" t="str">
        <v>Both values persist and are visible only to authorized parties.</v>
      </c>
      <c r="F394" s="19" t="str">
        <v>Request languages</v>
      </c>
      <c r="G394" s="19" t="str">
        <v>P1</v>
      </c>
      <c r="H394" s="19" t="str">
        <v>Role named in the steps</v>
      </c>
      <c r="I394" s="19" t="str">
        <v>Use prepared QA records and separate accounts. Record the actual URL and build on Run Overview. Mentorship system and requests enabled. Use prepared adult learner, mentor and GO-reviewer accounts.</v>
      </c>
      <c r="J394" s="19" t="str">
        <v>Regression</v>
      </c>
      <c r="K394" s="26"/>
      <c r="L394" s="26"/>
      <c r="M394" s="26"/>
      <c r="N394" s="29"/>
      <c r="O394" s="26"/>
      <c r="P394" s="26"/>
      <c r="Q394" s="26"/>
      <c r="R394" s="19" t="str">
        <v>MENTORSHIP_SYSTEM_ENABLED and MENTORSHIP_REQUESTS_ENABLED</v>
      </c>
      <c r="S394" s="27" t="str">
        <v>Not Run</v>
      </c>
      <c r="T394" s="27"/>
      <c r="U394" s="27" t="str">
        <v>Updated</v>
      </c>
    </row>
    <row r="395" ht="64" customHeight="1">
      <c r="A395" s="25" t="str">
        <v>Not Run</v>
      </c>
      <c r="B395" s="24" t="str">
        <v>GO-MAN-394</v>
      </c>
      <c r="C395" s="24" t="str">
        <v>Mentorship Requests</v>
      </c>
      <c r="D395" s="24" t="str">
        <v>Choose online, GOHQ or hybrid and save.</v>
      </c>
      <c r="E395" s="24" t="str">
        <v>The requested supported format persists through review.</v>
      </c>
      <c r="F395" s="24" t="str">
        <v>Request format</v>
      </c>
      <c r="G395" s="24" t="str">
        <v>P1</v>
      </c>
      <c r="H395" s="24" t="str">
        <v>Role named in the steps</v>
      </c>
      <c r="I395" s="24" t="str">
        <v>Use prepared QA records and separate accounts. Record the actual URL and build on Run Overview. Mentorship system and requests enabled. Use prepared adult learner, mentor and GO-reviewer accounts.</v>
      </c>
      <c r="J395" s="24" t="str">
        <v>Regression</v>
      </c>
      <c r="K395" s="26"/>
      <c r="L395" s="26"/>
      <c r="M395" s="26"/>
      <c r="N395" s="29"/>
      <c r="O395" s="26"/>
      <c r="P395" s="26"/>
      <c r="Q395" s="26"/>
      <c r="R395" s="24" t="str">
        <v>MENTORSHIP_SYSTEM_ENABLED and MENTORSHIP_REQUESTS_ENABLED</v>
      </c>
      <c r="S395" s="28" t="str">
        <v>Not Run</v>
      </c>
      <c r="T395" s="28"/>
      <c r="U395" s="28" t="str">
        <v>Updated</v>
      </c>
    </row>
    <row r="396" ht="64" customHeight="1">
      <c r="A396" s="25" t="str">
        <v>Not Run</v>
      </c>
      <c r="B396" s="19" t="str">
        <v>GO-MAN-395</v>
      </c>
      <c r="C396" s="19" t="str">
        <v>Mentorship Requests</v>
      </c>
      <c r="D396" s="19" t="str">
        <v>Save general availability and a valid timezone.</v>
      </c>
      <c r="E396" s="19" t="str">
        <v>Both persist without publishing an exact schedule.</v>
      </c>
      <c r="F396" s="19" t="str">
        <v>Request availability</v>
      </c>
      <c r="G396" s="19" t="str">
        <v>P1</v>
      </c>
      <c r="H396" s="19" t="str">
        <v>Role named in the steps</v>
      </c>
      <c r="I396" s="19" t="str">
        <v>Use prepared QA records and separate accounts. Record the actual URL and build on Run Overview. Mentorship system and requests enabled. Use prepared adult learner, mentor and GO-reviewer accounts.</v>
      </c>
      <c r="J396" s="19" t="str">
        <v>Regression</v>
      </c>
      <c r="K396" s="26"/>
      <c r="L396" s="26"/>
      <c r="M396" s="26"/>
      <c r="N396" s="29"/>
      <c r="O396" s="26"/>
      <c r="P396" s="26"/>
      <c r="Q396" s="26"/>
      <c r="R396" s="19" t="str">
        <v>MENTORSHIP_SYSTEM_ENABLED and MENTORSHIP_REQUESTS_ENABLED</v>
      </c>
      <c r="S396" s="27" t="str">
        <v>Not Run</v>
      </c>
      <c r="T396" s="27"/>
      <c r="U396" s="27" t="str">
        <v>Updated</v>
      </c>
    </row>
    <row r="397" ht="64" customHeight="1">
      <c r="A397" s="25" t="str">
        <v>Not Run</v>
      </c>
      <c r="B397" s="24" t="str">
        <v>GO-MAN-396</v>
      </c>
      <c r="C397" s="24" t="str">
        <v>Mentorship Requests</v>
      </c>
      <c r="D397" s="24" t="str">
        <v>Choose one supported timeframe and add details when required.</v>
      </c>
      <c r="E397" s="24" t="str">
        <v>The selected timeframe persists with the goal.</v>
      </c>
      <c r="F397" s="24" t="str">
        <v>Request timeframe</v>
      </c>
      <c r="G397" s="24" t="str">
        <v>P1</v>
      </c>
      <c r="H397" s="24" t="str">
        <v>Role named in the steps</v>
      </c>
      <c r="I397" s="24" t="str">
        <v>Use prepared QA records and separate accounts. Record the actual URL and build on Run Overview. Mentorship system and requests enabled. Use prepared adult learner, mentor and GO-reviewer accounts.</v>
      </c>
      <c r="J397" s="24" t="str">
        <v>Regression</v>
      </c>
      <c r="K397" s="26"/>
      <c r="L397" s="26"/>
      <c r="M397" s="26"/>
      <c r="N397" s="29"/>
      <c r="O397" s="26"/>
      <c r="P397" s="26"/>
      <c r="Q397" s="26"/>
      <c r="R397" s="24" t="str">
        <v>MENTORSHIP_SYSTEM_ENABLED and MENTORSHIP_REQUESTS_ENABLED</v>
      </c>
      <c r="S397" s="28" t="str">
        <v>Not Run</v>
      </c>
      <c r="T397" s="28"/>
      <c r="U397" s="28" t="str">
        <v>Updated</v>
      </c>
    </row>
    <row r="398" ht="64" customHeight="1">
      <c r="A398" s="25" t="str">
        <v>Not Run</v>
      </c>
      <c r="B398" s="19" t="str">
        <v>GO-MAN-397</v>
      </c>
      <c r="C398" s="19" t="str">
        <v>Mentorship Requests</v>
      </c>
      <c r="D398" s="19" t="str">
        <v>Save no portfolio link, then save a valid HTTPS link. Try a script URL.</v>
      </c>
      <c r="E398" s="19" t="str">
        <v>Empty optional link is accepted. Valid HTTPS persists. Unsafe URLs are rejected.</v>
      </c>
      <c r="F398" s="19" t="str">
        <v>Optional project link</v>
      </c>
      <c r="G398" s="19" t="str">
        <v>P1</v>
      </c>
      <c r="H398" s="19" t="str">
        <v>Role named in the steps</v>
      </c>
      <c r="I398" s="19" t="str">
        <v>Use prepared QA records and separate accounts. Record the actual URL and build on Run Overview. Mentorship system and requests enabled. Use prepared adult learner, mentor and GO-reviewer accounts.</v>
      </c>
      <c r="J398" s="19" t="str">
        <v>Regression</v>
      </c>
      <c r="K398" s="26"/>
      <c r="L398" s="26"/>
      <c r="M398" s="26"/>
      <c r="N398" s="29"/>
      <c r="O398" s="26"/>
      <c r="P398" s="26"/>
      <c r="Q398" s="26"/>
      <c r="R398" s="19" t="str">
        <v>MENTORSHIP_SYSTEM_ENABLED and MENTORSHIP_REQUESTS_ENABLED</v>
      </c>
      <c r="S398" s="27" t="str">
        <v>Not Run</v>
      </c>
      <c r="T398" s="27"/>
      <c r="U398" s="27" t="str">
        <v>Updated</v>
      </c>
    </row>
    <row r="399" ht="64" customHeight="1">
      <c r="A399" s="25" t="str">
        <v>Not Run</v>
      </c>
      <c r="B399" s="24" t="str">
        <v>GO-MAN-398</v>
      </c>
      <c r="C399" s="24" t="str">
        <v>Mentorship Requests</v>
      </c>
      <c r="D399" s="24" t="str">
        <v>Submit a request with an accommodation note and compare staff and mentor views.</v>
      </c>
      <c r="E399" s="24" t="str">
        <v>Authorized GO reviewers see the note. It is not shared with the mentor by default.</v>
      </c>
      <c r="F399" s="24" t="str">
        <v>Private accommodation note</v>
      </c>
      <c r="G399" s="24" t="str">
        <v>P1</v>
      </c>
      <c r="H399" s="24" t="str">
        <v>Role named in the steps</v>
      </c>
      <c r="I399" s="24" t="str">
        <v>Use prepared QA records and separate accounts. Record the actual URL and build on Run Overview. Mentorship system and requests enabled. Use prepared adult learner, mentor and GO-reviewer accounts.</v>
      </c>
      <c r="J399" s="24" t="str">
        <v>Regression</v>
      </c>
      <c r="K399" s="26"/>
      <c r="L399" s="26"/>
      <c r="M399" s="26"/>
      <c r="N399" s="29"/>
      <c r="O399" s="26"/>
      <c r="P399" s="26"/>
      <c r="Q399" s="26"/>
      <c r="R399" s="24" t="str">
        <v>MENTORSHIP_SYSTEM_ENABLED and MENTORSHIP_REQUESTS_ENABLED</v>
      </c>
      <c r="S399" s="28" t="str">
        <v>Not Run</v>
      </c>
      <c r="T399" s="28"/>
      <c r="U399" s="28" t="str">
        <v>Updated</v>
      </c>
    </row>
    <row r="400" ht="64" customHeight="1">
      <c r="A400" s="25" t="str">
        <v>Not Run</v>
      </c>
      <c r="B400" s="19" t="str">
        <v>GO-MAN-399</v>
      </c>
      <c r="C400" s="19" t="str">
        <v>Mentorship Requests</v>
      </c>
      <c r="D400" s="19" t="str">
        <v>As admin review a request and publish eligible mentor suggestions. Open the learner view.</v>
      </c>
      <c r="E400" s="19" t="str">
        <v>Only reviewed suggestions become actionable. No guaranteed mentor assignment is claimed.</v>
      </c>
      <c r="F400" s="19" t="str">
        <v>GO-reviewed suggestions</v>
      </c>
      <c r="G400" s="19" t="str">
        <v>P1</v>
      </c>
      <c r="H400" s="19" t="str">
        <v>Role named in the steps</v>
      </c>
      <c r="I400" s="19" t="str">
        <v>Use prepared QA records and separate accounts. Record the actual URL and build on Run Overview. Mentorship system and requests enabled. Use prepared adult learner, mentor and GO-reviewer accounts.</v>
      </c>
      <c r="J400" s="19" t="str">
        <v>Regression</v>
      </c>
      <c r="K400" s="26"/>
      <c r="L400" s="26"/>
      <c r="M400" s="26"/>
      <c r="N400" s="29"/>
      <c r="O400" s="26"/>
      <c r="P400" s="26"/>
      <c r="Q400" s="26"/>
      <c r="R400" s="19" t="str">
        <v>MENTORSHIP_SYSTEM_ENABLED and MENTORSHIP_REQUESTS_ENABLED</v>
      </c>
      <c r="S400" s="27" t="str">
        <v>Not Run</v>
      </c>
      <c r="T400" s="27"/>
      <c r="U400" s="27" t="str">
        <v>Updated</v>
      </c>
    </row>
    <row r="401" ht="64" customHeight="1">
      <c r="A401" s="25" t="str">
        <v>Not Run</v>
      </c>
      <c r="B401" s="24" t="str">
        <v>GO-MAN-400</v>
      </c>
      <c r="C401" s="24" t="str">
        <v>Mentorship Requests</v>
      </c>
      <c r="D401" s="24" t="str">
        <v>Attempt to suggest or forward to a suspended mentor.</v>
      </c>
      <c r="E401" s="24" t="str">
        <v>The mentor cannot receive an actionable new application.</v>
      </c>
      <c r="F401" s="24" t="str">
        <v>Suspended mentor not suggested</v>
      </c>
      <c r="G401" s="24" t="str">
        <v>P0</v>
      </c>
      <c r="H401" s="24" t="str">
        <v>Role named in the steps</v>
      </c>
      <c r="I401" s="24" t="str">
        <v>Use prepared QA records and separate accounts. Record the actual URL and build on Run Overview. Mentorship system and requests enabled. Use prepared adult learner, mentor and GO-reviewer accounts.</v>
      </c>
      <c r="J401" s="24" t="str">
        <v>Regression</v>
      </c>
      <c r="K401" s="26"/>
      <c r="L401" s="26"/>
      <c r="M401" s="26"/>
      <c r="N401" s="29"/>
      <c r="O401" s="26"/>
      <c r="P401" s="26"/>
      <c r="Q401" s="26"/>
      <c r="R401" s="24" t="str">
        <v>MENTORSHIP_SYSTEM_ENABLED and MENTORSHIP_REQUESTS_ENABLED</v>
      </c>
      <c r="S401" s="28" t="str">
        <v>Not Run</v>
      </c>
      <c r="T401" s="28"/>
      <c r="U401" s="28" t="str">
        <v>Updated</v>
      </c>
    </row>
    <row r="402" ht="64" customHeight="1">
      <c r="A402" s="25" t="str">
        <v>Not Run</v>
      </c>
      <c r="B402" s="19" t="str">
        <v>GO-MAN-401</v>
      </c>
      <c r="C402" s="19" t="str">
        <v>Mentorship Requests</v>
      </c>
      <c r="D402" s="19" t="str">
        <v>Repeat with paused/unavailable mentor.</v>
      </c>
      <c r="E402" s="19" t="str">
        <v>The unavailable mentor is excluded or the action is denied.</v>
      </c>
      <c r="F402" s="19" t="str">
        <v>Unavailable mentor not suggested</v>
      </c>
      <c r="G402" s="19" t="str">
        <v>P1</v>
      </c>
      <c r="H402" s="19" t="str">
        <v>Role named in the steps</v>
      </c>
      <c r="I402" s="19" t="str">
        <v>Use prepared QA records and separate accounts. Record the actual URL and build on Run Overview. Mentorship system and requests enabled. Use prepared adult learner, mentor and GO-reviewer accounts.</v>
      </c>
      <c r="J402" s="19" t="str">
        <v>Regression</v>
      </c>
      <c r="K402" s="26"/>
      <c r="L402" s="26"/>
      <c r="M402" s="26"/>
      <c r="N402" s="29"/>
      <c r="O402" s="26"/>
      <c r="P402" s="26"/>
      <c r="Q402" s="26"/>
      <c r="R402" s="19" t="str">
        <v>MENTORSHIP_SYSTEM_ENABLED and MENTORSHIP_REQUESTS_ENABLED</v>
      </c>
      <c r="S402" s="27" t="str">
        <v>Not Run</v>
      </c>
      <c r="T402" s="27"/>
      <c r="U402" s="27" t="str">
        <v>Updated</v>
      </c>
    </row>
    <row r="403" ht="64" customHeight="1">
      <c r="A403" s="25" t="str">
        <v>Not Run</v>
      </c>
      <c r="B403" s="24" t="str">
        <v>GO-MAN-402</v>
      </c>
      <c r="C403" s="24" t="str">
        <v>Mentorship Requests</v>
      </c>
      <c r="D403" s="24" t="str">
        <v>Attempt to forward or accept for a full mentor.</v>
      </c>
      <c r="E403" s="24" t="str">
        <v>Current capacity is rechecked and over-allocation is denied.</v>
      </c>
      <c r="F403" s="24" t="str">
        <v>Full mentor capacity</v>
      </c>
      <c r="G403" s="24" t="str">
        <v>P1</v>
      </c>
      <c r="H403" s="24" t="str">
        <v>Role named in the steps</v>
      </c>
      <c r="I403" s="24" t="str">
        <v>Use prepared QA records and separate accounts. Record the actual URL and build on Run Overview. Mentorship system and requests enabled. Use prepared adult learner, mentor and GO-reviewer accounts.</v>
      </c>
      <c r="J403" s="24" t="str">
        <v>Regression</v>
      </c>
      <c r="K403" s="26"/>
      <c r="L403" s="26"/>
      <c r="M403" s="26"/>
      <c r="N403" s="29"/>
      <c r="O403" s="26"/>
      <c r="P403" s="26"/>
      <c r="Q403" s="26"/>
      <c r="R403" s="24" t="str">
        <v>MENTORSHIP_SYSTEM_ENABLED and MENTORSHIP_REQUESTS_ENABLED</v>
      </c>
      <c r="S403" s="28" t="str">
        <v>Not Run</v>
      </c>
      <c r="T403" s="28"/>
      <c r="U403" s="28" t="str">
        <v>Updated</v>
      </c>
    </row>
    <row r="404" ht="64" customHeight="1">
      <c r="A404" s="25" t="str">
        <v>Not Run</v>
      </c>
      <c r="B404" s="19" t="str">
        <v>GO-MAN-403</v>
      </c>
      <c r="C404" s="19" t="str">
        <v>Mentorship Requests</v>
      </c>
      <c r="D404" s="19" t="str">
        <v>Compare suggestions for a prepared discipline mismatch.</v>
      </c>
      <c r="E404" s="19" t="str">
        <v>Displayed reviewed suggestions and fit explanations match configured expertise.</v>
      </c>
      <c r="F404" s="19" t="str">
        <v>Mentor discipline fit</v>
      </c>
      <c r="G404" s="19" t="str">
        <v>P1</v>
      </c>
      <c r="H404" s="19" t="str">
        <v>Role named in the steps</v>
      </c>
      <c r="I404" s="19" t="str">
        <v>Use prepared QA records and separate accounts. Record the actual URL and build on Run Overview. Mentorship system and requests enabled. Use prepared adult learner, mentor and GO-reviewer accounts.</v>
      </c>
      <c r="J404" s="19" t="str">
        <v>Regression</v>
      </c>
      <c r="K404" s="26"/>
      <c r="L404" s="26"/>
      <c r="M404" s="26"/>
      <c r="N404" s="29"/>
      <c r="O404" s="26"/>
      <c r="P404" s="26"/>
      <c r="Q404" s="26"/>
      <c r="R404" s="19" t="str">
        <v>MENTORSHIP_SYSTEM_ENABLED and MENTORSHIP_REQUESTS_ENABLED</v>
      </c>
      <c r="S404" s="27" t="str">
        <v>Not Run</v>
      </c>
      <c r="T404" s="27"/>
      <c r="U404" s="27" t="str">
        <v>Updated</v>
      </c>
    </row>
    <row r="405" ht="64" customHeight="1">
      <c r="A405" s="25" t="str">
        <v>Not Run</v>
      </c>
      <c r="B405" s="24" t="str">
        <v>GO-MAN-404</v>
      </c>
      <c r="C405" s="24" t="str">
        <v>Mentorship Requests</v>
      </c>
      <c r="D405" s="24" t="str">
        <v>Submit one active request, then attempt a second from another tab.</v>
      </c>
      <c r="E405" s="24" t="str">
        <v>The configured active-request limit is enforced on the server.</v>
      </c>
      <c r="F405" s="24" t="str">
        <v>Active request limit</v>
      </c>
      <c r="G405" s="24" t="str">
        <v>P1</v>
      </c>
      <c r="H405" s="24" t="str">
        <v>Role named in the steps</v>
      </c>
      <c r="I405" s="24" t="str">
        <v>Use prepared QA records and separate accounts. Record the actual URL and build on Run Overview. Mentorship system and requests enabled. Use prepared adult learner, mentor and GO-reviewer accounts.</v>
      </c>
      <c r="J405" s="24" t="str">
        <v>Regression</v>
      </c>
      <c r="K405" s="26"/>
      <c r="L405" s="26"/>
      <c r="M405" s="26"/>
      <c r="N405" s="29"/>
      <c r="O405" s="26"/>
      <c r="P405" s="26"/>
      <c r="Q405" s="26"/>
      <c r="R405" s="24" t="str">
        <v>MENTORSHIP_SYSTEM_ENABLED and MENTORSHIP_REQUESTS_ENABLED</v>
      </c>
      <c r="S405" s="28" t="str">
        <v>Not Run</v>
      </c>
      <c r="T405" s="28"/>
      <c r="U405" s="28" t="str">
        <v>Updated</v>
      </c>
    </row>
    <row r="406" ht="64" customHeight="1">
      <c r="A406" s="25" t="str">
        <v>Not Run</v>
      </c>
      <c r="B406" s="19" t="str">
        <v>GO-MAN-405</v>
      </c>
      <c r="C406" s="19" t="str">
        <v>Mentorship Requests</v>
      </c>
      <c r="D406" s="19" t="str">
        <v>Withdraw an own submitted request and refresh staff/learner views.</v>
      </c>
      <c r="E406" s="19" t="str">
        <v>It becomes withdrawn and cannot continue as an active application.</v>
      </c>
      <c r="F406" s="19" t="str">
        <v>Withdraw mentorship request</v>
      </c>
      <c r="G406" s="19" t="str">
        <v>P1</v>
      </c>
      <c r="H406" s="19" t="str">
        <v>Role named in the steps</v>
      </c>
      <c r="I406" s="19" t="str">
        <v>Use prepared QA records and separate accounts. Record the actual URL and build on Run Overview. Mentorship system and requests enabled. Use prepared adult learner, mentor and GO-reviewer accounts.</v>
      </c>
      <c r="J406" s="19" t="str">
        <v>Regression</v>
      </c>
      <c r="K406" s="26"/>
      <c r="L406" s="26"/>
      <c r="M406" s="26"/>
      <c r="N406" s="29"/>
      <c r="O406" s="26"/>
      <c r="P406" s="26"/>
      <c r="Q406" s="26"/>
      <c r="R406" s="19" t="str">
        <v>MENTORSHIP_SYSTEM_ENABLED and MENTORSHIP_REQUESTS_ENABLED</v>
      </c>
      <c r="S406" s="27" t="str">
        <v>Not Run</v>
      </c>
      <c r="T406" s="27"/>
      <c r="U406" s="27" t="str">
        <v>Updated</v>
      </c>
    </row>
    <row r="407" ht="64" customHeight="1">
      <c r="A407" s="25" t="str">
        <v>Not Run</v>
      </c>
      <c r="B407" s="24" t="str">
        <v>GO-MAN-406</v>
      </c>
      <c r="C407" s="24" t="str">
        <v>Mentorship Requests</v>
      </c>
      <c r="D407" s="24" t="str">
        <v>Select one mentor from GO-published suggestions.</v>
      </c>
      <c r="E407" s="24" t="str">
        <v>One application is created for that suggestion and remains pending until the mentor responds.</v>
      </c>
      <c r="F407" s="24" t="str">
        <v>Select reviewed mentor</v>
      </c>
      <c r="G407" s="24" t="str">
        <v>P1</v>
      </c>
      <c r="H407" s="24" t="str">
        <v>Role named in the steps</v>
      </c>
      <c r="I407" s="24" t="str">
        <v>Use prepared QA records and separate accounts. Record the actual URL and build on Run Overview. Mentorship system and requests enabled. Use prepared adult learner, mentor and GO-reviewer accounts.</v>
      </c>
      <c r="J407" s="24" t="str">
        <v>Regression</v>
      </c>
      <c r="K407" s="26"/>
      <c r="L407" s="26"/>
      <c r="M407" s="26"/>
      <c r="N407" s="29"/>
      <c r="O407" s="26"/>
      <c r="P407" s="26"/>
      <c r="Q407" s="26"/>
      <c r="R407" s="24" t="str">
        <v>MENTORSHIP_SYSTEM_ENABLED and MENTORSHIP_REQUESTS_ENABLED</v>
      </c>
      <c r="S407" s="28" t="str">
        <v>Not Run</v>
      </c>
      <c r="T407" s="28"/>
      <c r="U407" s="28" t="str">
        <v>Updated</v>
      </c>
    </row>
    <row r="408" ht="64" customHeight="1">
      <c r="A408" s="25" t="str">
        <v>Not Run</v>
      </c>
      <c r="B408" s="19" t="str">
        <v>GO-MAN-407</v>
      </c>
      <c r="C408" s="19" t="str">
        <v>Mentorship Requests</v>
      </c>
      <c r="D408" s="19" t="str">
        <v>Submit a request without a named mentor and review its status.</v>
      </c>
      <c r="E408" s="19" t="str">
        <v>GO receives it for manual review. No automatic assignment is reported.</v>
      </c>
      <c r="F408" s="19" t="str">
        <v>Request GO assistance</v>
      </c>
      <c r="G408" s="19" t="str">
        <v>P1</v>
      </c>
      <c r="H408" s="19" t="str">
        <v>Role named in the steps</v>
      </c>
      <c r="I408" s="19" t="str">
        <v>Use prepared QA records and separate accounts. Record the actual URL and build on Run Overview. Mentorship system and requests enabled. Use prepared adult learner, mentor and GO-reviewer accounts.</v>
      </c>
      <c r="J408" s="19" t="str">
        <v>Regression</v>
      </c>
      <c r="K408" s="26"/>
      <c r="L408" s="26"/>
      <c r="M408" s="26"/>
      <c r="N408" s="29"/>
      <c r="O408" s="26"/>
      <c r="P408" s="26"/>
      <c r="Q408" s="26"/>
      <c r="R408" s="19" t="str">
        <v>MENTORSHIP_SYSTEM_ENABLED and MENTORSHIP_REQUESTS_ENABLED</v>
      </c>
      <c r="S408" s="27" t="str">
        <v>Not Run</v>
      </c>
      <c r="T408" s="27"/>
      <c r="U408" s="27" t="str">
        <v>Updated</v>
      </c>
    </row>
    <row r="409" ht="64" customHeight="1">
      <c r="A409" s="25" t="str">
        <v>Not Run</v>
      </c>
      <c r="B409" s="24" t="str">
        <v>GO-MAN-408</v>
      </c>
      <c r="C409" s="24" t="str">
        <v>Mentorship Requests</v>
      </c>
      <c r="D409" s="24" t="str">
        <v>As the chosen mentor, accept a staff-forwarded pending application.</v>
      </c>
      <c r="E409" s="24" t="str">
        <v>One engagement is created subject to current capacity and eligibility. Agreement is still required.</v>
      </c>
      <c r="F409" s="24" t="str">
        <v>Mentor accepts forwarded application</v>
      </c>
      <c r="G409" s="24" t="str">
        <v>P1</v>
      </c>
      <c r="H409" s="24" t="str">
        <v>Role named in the steps</v>
      </c>
      <c r="I409" s="24" t="str">
        <v>Use prepared QA records and separate accounts. Record the actual URL and build on Run Overview. Mentorship system and requests enabled. Use prepared adult learner, mentor and GO-reviewer accounts.</v>
      </c>
      <c r="J409" s="24" t="str">
        <v>Smoke</v>
      </c>
      <c r="K409" s="26"/>
      <c r="L409" s="26"/>
      <c r="M409" s="26"/>
      <c r="N409" s="29"/>
      <c r="O409" s="26"/>
      <c r="P409" s="26"/>
      <c r="Q409" s="26"/>
      <c r="R409" s="24" t="str">
        <v>MENTORSHIP_SYSTEM_ENABLED and MENTORSHIP_REQUESTS_ENABLED</v>
      </c>
      <c r="S409" s="28" t="str">
        <v>Not Run</v>
      </c>
      <c r="T409" s="28"/>
      <c r="U409" s="28" t="str">
        <v>Updated</v>
      </c>
    </row>
    <row r="410" ht="64" customHeight="1">
      <c r="A410" s="25" t="str">
        <v>Not Run</v>
      </c>
      <c r="B410" s="19" t="str">
        <v>GO-MAN-409</v>
      </c>
      <c r="C410" s="19" t="str">
        <v>Mentorship Requests</v>
      </c>
      <c r="D410" s="19" t="str">
        <v>Decline a prepared pending application and view the learner status.</v>
      </c>
      <c r="E410" s="19" t="str">
        <v>Decline persists without creating an active engagement or exposing reviewer notes.</v>
      </c>
      <c r="F410" s="19" t="str">
        <v>Mentor declines application</v>
      </c>
      <c r="G410" s="19" t="str">
        <v>P1</v>
      </c>
      <c r="H410" s="19" t="str">
        <v>Role named in the steps</v>
      </c>
      <c r="I410" s="19" t="str">
        <v>Use prepared QA records and separate accounts. Record the actual URL and build on Run Overview. Mentorship system and requests enabled. Use prepared adult learner, mentor and GO-reviewer accounts.</v>
      </c>
      <c r="J410" s="19" t="str">
        <v>Regression</v>
      </c>
      <c r="K410" s="26"/>
      <c r="L410" s="26"/>
      <c r="M410" s="26"/>
      <c r="N410" s="29"/>
      <c r="O410" s="26"/>
      <c r="P410" s="26"/>
      <c r="Q410" s="26"/>
      <c r="R410" s="19" t="str">
        <v>MENTORSHIP_SYSTEM_ENABLED and MENTORSHIP_REQUESTS_ENABLED</v>
      </c>
      <c r="S410" s="27" t="str">
        <v>Not Run</v>
      </c>
      <c r="T410" s="27"/>
      <c r="U410" s="27" t="str">
        <v>Updated</v>
      </c>
    </row>
    <row r="411" ht="64" customHeight="1">
      <c r="A411" s="25" t="str">
        <v>Not Run</v>
      </c>
      <c r="B411" s="24" t="str">
        <v>GO-MAN-410</v>
      </c>
      <c r="C411" s="24" t="str">
        <v>Mentorship Requests</v>
      </c>
      <c r="D411" s="24" t="str">
        <v>As GO reviewer, request information. Update and resubmit as the learner.</v>
      </c>
      <c r="E411" s="24" t="str">
        <v>The request changes to needs_information and then returns to review with the new information.</v>
      </c>
      <c r="F411" s="24" t="str">
        <v>Staff requests clarification</v>
      </c>
      <c r="G411" s="24" t="str">
        <v>P1</v>
      </c>
      <c r="H411" s="24" t="str">
        <v>Role named in the steps</v>
      </c>
      <c r="I411" s="24" t="str">
        <v>Use prepared QA records and separate accounts. Record the actual URL and build on Run Overview. Mentorship system and requests enabled. Use prepared adult learner, mentor and GO-reviewer accounts.</v>
      </c>
      <c r="J411" s="24" t="str">
        <v>Regression</v>
      </c>
      <c r="K411" s="26"/>
      <c r="L411" s="26"/>
      <c r="M411" s="26"/>
      <c r="N411" s="29"/>
      <c r="O411" s="26"/>
      <c r="P411" s="26"/>
      <c r="Q411" s="26"/>
      <c r="R411" s="24" t="str">
        <v>MENTORSHIP_SYSTEM_ENABLED and MENTORSHIP_REQUESTS_ENABLED</v>
      </c>
      <c r="S411" s="28" t="str">
        <v>Not Run</v>
      </c>
      <c r="T411" s="28"/>
      <c r="U411" s="28" t="str">
        <v>Updated</v>
      </c>
    </row>
    <row r="412" ht="64" customHeight="1">
      <c r="A412" s="25" t="str">
        <v>Not Run</v>
      </c>
      <c r="B412" s="19" t="str">
        <v>GO-MAN-411</v>
      </c>
      <c r="C412" s="19" t="str">
        <v>Mentorship Requests</v>
      </c>
      <c r="D412" s="19" t="str">
        <v>Use a prepared application past its configured working-day deadline and attempt acceptance.</v>
      </c>
      <c r="E412" s="19" t="str">
        <v>The deadline is enforced by the current workflow. An expired application cannot start a new engagement.</v>
      </c>
      <c r="F412" s="19" t="str">
        <v>Mentor response deadline</v>
      </c>
      <c r="G412" s="19" t="str">
        <v>P1</v>
      </c>
      <c r="H412" s="19" t="str">
        <v>Role named in the steps</v>
      </c>
      <c r="I412" s="19" t="str">
        <v>Use prepared QA records and separate accounts. Record the actual URL and build on Run Overview. Mentorship system and requests enabled. Use prepared adult learner, mentor and GO-reviewer accounts.</v>
      </c>
      <c r="J412" s="19" t="str">
        <v>Regression</v>
      </c>
      <c r="K412" s="26"/>
      <c r="L412" s="26"/>
      <c r="M412" s="26"/>
      <c r="N412" s="29"/>
      <c r="O412" s="26"/>
      <c r="P412" s="26"/>
      <c r="Q412" s="26"/>
      <c r="R412" s="19" t="str">
        <v>MENTORSHIP_SYSTEM_ENABLED and MENTORSHIP_REQUESTS_ENABLED</v>
      </c>
      <c r="S412" s="27" t="str">
        <v>Not Run</v>
      </c>
      <c r="T412" s="27"/>
      <c r="U412" s="27" t="str">
        <v>Updated</v>
      </c>
    </row>
    <row r="413" ht="64" customHeight="1">
      <c r="A413" s="25" t="str">
        <v>Not Run</v>
      </c>
      <c r="B413" s="24" t="str">
        <v>GO-MAN-412</v>
      </c>
      <c r="C413" s="24" t="str">
        <v>Mentorship Requests</v>
      </c>
      <c r="D413" s="24" t="str">
        <v>Submit, forward and respond to a controlled QA request with notifications on.</v>
      </c>
      <c r="E413" s="24" t="str">
        <v>Each applicable state change reaches the intended account without exposing private staff notes.</v>
      </c>
      <c r="F413" s="24" t="str">
        <v>Mentorship event notifications</v>
      </c>
      <c r="G413" s="24" t="str">
        <v>P1</v>
      </c>
      <c r="H413" s="24" t="str">
        <v>Role named in the steps</v>
      </c>
      <c r="I413" s="24" t="str">
        <v>Use prepared QA records and separate accounts. Record the actual URL and build on Run Overview. Mentorship system and requests enabled. Use prepared adult learner, mentor and GO-reviewer accounts.</v>
      </c>
      <c r="J413" s="24" t="str">
        <v>Regression</v>
      </c>
      <c r="K413" s="26"/>
      <c r="L413" s="26"/>
      <c r="M413" s="26"/>
      <c r="N413" s="29"/>
      <c r="O413" s="26"/>
      <c r="P413" s="26"/>
      <c r="Q413" s="26"/>
      <c r="R413" s="24" t="str">
        <v>MENTORSHIP_SYSTEM_ENABLED and MENTORSHIP_REQUESTS_ENABLED</v>
      </c>
      <c r="S413" s="28" t="str">
        <v>Not Run</v>
      </c>
      <c r="T413" s="28"/>
      <c r="U413" s="28" t="str">
        <v>Updated</v>
      </c>
    </row>
    <row r="414" ht="64" customHeight="1">
      <c r="A414" s="25" t="str">
        <v>Not Run</v>
      </c>
      <c r="B414" s="19" t="str">
        <v>GO-MAN-413</v>
      </c>
      <c r="C414" s="19" t="str">
        <v>Mentorship Requests</v>
      </c>
      <c r="D414" s="19" t="str">
        <v>With the learner/mentor at its configured limit, attempt another acceptance in two tabs.</v>
      </c>
      <c r="E414" s="19" t="str">
        <v>Current limits are enforced and duplicate engagements are not created.</v>
      </c>
      <c r="F414" s="19" t="str">
        <v>Engagement limits</v>
      </c>
      <c r="G414" s="19" t="str">
        <v>P1</v>
      </c>
      <c r="H414" s="19" t="str">
        <v>Role named in the steps</v>
      </c>
      <c r="I414" s="19" t="str">
        <v>Use prepared QA records and separate accounts. Record the actual URL and build on Run Overview. Mentorship system and requests enabled. Use prepared adult learner, mentor and GO-reviewer accounts.</v>
      </c>
      <c r="J414" s="19" t="str">
        <v>Regression</v>
      </c>
      <c r="K414" s="26"/>
      <c r="L414" s="26"/>
      <c r="M414" s="26"/>
      <c r="N414" s="29"/>
      <c r="O414" s="26"/>
      <c r="P414" s="26"/>
      <c r="Q414" s="26"/>
      <c r="R414" s="19" t="str">
        <v>MENTORSHIP_SYSTEM_ENABLED and MENTORSHIP_REQUESTS_ENABLED</v>
      </c>
      <c r="S414" s="27" t="str">
        <v>Not Run</v>
      </c>
      <c r="T414" s="27"/>
      <c r="U414" s="27" t="str">
        <v>Updated</v>
      </c>
    </row>
    <row r="415" ht="64" customHeight="1">
      <c r="A415" s="25" t="str">
        <v>Not Run</v>
      </c>
      <c r="B415" s="24" t="str">
        <v>GO-MAN-414</v>
      </c>
      <c r="C415" s="24" t="str">
        <v>Mentorship Requests</v>
      </c>
      <c r="D415" s="24" t="str">
        <v>As admin, make a supported review/intervention with a reason.</v>
      </c>
      <c r="E415" s="24" t="str">
        <v>Only authorized intervention succeeds and the action is auditable.</v>
      </c>
      <c r="F415" s="24" t="str">
        <v>Admin mentorship intervention</v>
      </c>
      <c r="G415" s="24" t="str">
        <v>P0</v>
      </c>
      <c r="H415" s="24" t="str">
        <v>Role named in the steps</v>
      </c>
      <c r="I415" s="24" t="str">
        <v>Use prepared QA records and separate accounts. Record the actual URL and build on Run Overview. Mentorship system and requests enabled. Use prepared adult learner, mentor and GO-reviewer accounts.</v>
      </c>
      <c r="J415" s="24" t="str">
        <v>Regression</v>
      </c>
      <c r="K415" s="26"/>
      <c r="L415" s="26"/>
      <c r="M415" s="26"/>
      <c r="N415" s="29"/>
      <c r="O415" s="26"/>
      <c r="P415" s="26"/>
      <c r="Q415" s="26"/>
      <c r="R415" s="24" t="str">
        <v>MENTORSHIP_SYSTEM_ENABLED and MENTORSHIP_REQUESTS_ENABLED</v>
      </c>
      <c r="S415" s="28" t="str">
        <v>Not Run</v>
      </c>
      <c r="T415" s="28"/>
      <c r="U415" s="28" t="str">
        <v>Updated</v>
      </c>
    </row>
    <row r="416" ht="64" customHeight="1">
      <c r="A416" s="25" t="str">
        <v>Not Run</v>
      </c>
      <c r="B416" s="19" t="str">
        <v>GO-MAN-415</v>
      </c>
      <c r="C416" s="19" t="str">
        <v>Mentorship Requests</v>
      </c>
      <c r="D416" s="19" t="str">
        <v>Follow draft, submitted, review and application states in the learner workspace.</v>
      </c>
      <c r="E416" s="19" t="str">
        <v>Labels and next actions reflect the same saved request after refresh.</v>
      </c>
      <c r="F416" s="19" t="str">
        <v>Learner request status</v>
      </c>
      <c r="G416" s="19" t="str">
        <v>P1</v>
      </c>
      <c r="H416" s="19" t="str">
        <v>Role named in the steps</v>
      </c>
      <c r="I416" s="19" t="str">
        <v>Use prepared QA records and separate accounts. Record the actual URL and build on Run Overview. Mentorship system and requests enabled. Use prepared adult learner, mentor and GO-reviewer accounts.</v>
      </c>
      <c r="J416" s="19" t="str">
        <v>Regression</v>
      </c>
      <c r="K416" s="26"/>
      <c r="L416" s="26"/>
      <c r="M416" s="26"/>
      <c r="N416" s="29"/>
      <c r="O416" s="26"/>
      <c r="P416" s="26"/>
      <c r="Q416" s="26"/>
      <c r="R416" s="19" t="str">
        <v>MENTORSHIP_SYSTEM_ENABLED and MENTORSHIP_REQUESTS_ENABLED</v>
      </c>
      <c r="S416" s="27" t="str">
        <v>Not Run</v>
      </c>
      <c r="T416" s="27"/>
      <c r="U416" s="27" t="str">
        <v>Updated</v>
      </c>
    </row>
    <row r="417" ht="64" customHeight="1">
      <c r="A417" s="25" t="str">
        <v>Not Run</v>
      </c>
      <c r="B417" s="24" t="str">
        <v>GO-MAN-416</v>
      </c>
      <c r="C417" s="24" t="str">
        <v>Mentorship Requests</v>
      </c>
      <c r="D417" s="24" t="str">
        <v>Open mentor workspace before and after staff forwarding.</v>
      </c>
      <c r="E417" s="24" t="str">
        <v>Only forwarded authorized applications are visible. Private learner accommodation and staff notes are excluded.</v>
      </c>
      <c r="F417" s="24" t="str">
        <v>Mentor request status</v>
      </c>
      <c r="G417" s="24" t="str">
        <v>P1</v>
      </c>
      <c r="H417" s="24" t="str">
        <v>Role named in the steps</v>
      </c>
      <c r="I417" s="24" t="str">
        <v>Use prepared QA records and separate accounts. Record the actual URL and build on Run Overview. Mentorship system and requests enabled. Use prepared adult learner, mentor and GO-reviewer accounts.</v>
      </c>
      <c r="J417" s="24" t="str">
        <v>Regression</v>
      </c>
      <c r="K417" s="26"/>
      <c r="L417" s="26"/>
      <c r="M417" s="26"/>
      <c r="N417" s="29"/>
      <c r="O417" s="26"/>
      <c r="P417" s="26"/>
      <c r="Q417" s="26"/>
      <c r="R417" s="24" t="str">
        <v>MENTORSHIP_SYSTEM_ENABLED and MENTORSHIP_REQUESTS_ENABLED</v>
      </c>
      <c r="S417" s="28" t="str">
        <v>Not Run</v>
      </c>
      <c r="T417" s="28"/>
      <c r="U417" s="28" t="str">
        <v>Updated</v>
      </c>
    </row>
    <row r="418" ht="64" customHeight="1">
      <c r="A418" s="25" t="str">
        <v>Not Run</v>
      </c>
      <c r="B418" s="19" t="str">
        <v>GO-MAN-417</v>
      </c>
      <c r="C418" s="19" t="str">
        <v>Mentorship Requests</v>
      </c>
      <c r="D418" s="19" t="str">
        <v>Copy a private request/application URL to signed-out and unrelated sessions.</v>
      </c>
      <c r="E418" s="19" t="str">
        <v>Both are denied without private data.</v>
      </c>
      <c r="F418" s="19" t="str">
        <v>Mentorship direct URL access</v>
      </c>
      <c r="G418" s="19" t="str">
        <v>P0</v>
      </c>
      <c r="H418" s="19" t="str">
        <v>Role named in the steps</v>
      </c>
      <c r="I418" s="19" t="str">
        <v>Use prepared QA records and separate accounts. Record the actual URL and build on Run Overview. Mentorship system and requests enabled. Use prepared adult learner, mentor and GO-reviewer accounts.</v>
      </c>
      <c r="J418" s="19" t="str">
        <v>Regression</v>
      </c>
      <c r="K418" s="26"/>
      <c r="L418" s="26"/>
      <c r="M418" s="26"/>
      <c r="N418" s="29"/>
      <c r="O418" s="26"/>
      <c r="P418" s="26"/>
      <c r="Q418" s="26"/>
      <c r="R418" s="19" t="str">
        <v>MENTORSHIP_SYSTEM_ENABLED and MENTORSHIP_REQUESTS_ENABLED</v>
      </c>
      <c r="S418" s="27" t="str">
        <v>Not Run</v>
      </c>
      <c r="T418" s="27"/>
      <c r="U418" s="27" t="str">
        <v>Updated</v>
      </c>
    </row>
    <row r="419" ht="64" customHeight="1">
      <c r="A419" s="25" t="str">
        <v>Not Run</v>
      </c>
      <c r="B419" s="24" t="str">
        <v>GO-MAN-418</v>
      </c>
      <c r="C419" s="24" t="str">
        <v>Mentorship Requests</v>
      </c>
      <c r="D419" s="24" t="str">
        <v>Attempt to update another learner’s request or another mentor’s application ID.</v>
      </c>
      <c r="E419" s="24" t="str">
        <v>The server denies it and no record changes.</v>
      </c>
      <c r="F419" s="24" t="str">
        <v>Mentorship cross-account mutation</v>
      </c>
      <c r="G419" s="24" t="str">
        <v>P0</v>
      </c>
      <c r="H419" s="24" t="str">
        <v>Role named in the steps</v>
      </c>
      <c r="I419" s="24" t="str">
        <v>Use prepared QA records and separate accounts. Record the actual URL and build on Run Overview. Mentorship system and requests enabled. Use prepared adult learner, mentor and GO-reviewer accounts.</v>
      </c>
      <c r="J419" s="24" t="str">
        <v>Smoke</v>
      </c>
      <c r="K419" s="26"/>
      <c r="L419" s="26"/>
      <c r="M419" s="26"/>
      <c r="N419" s="29"/>
      <c r="O419" s="26"/>
      <c r="P419" s="26"/>
      <c r="Q419" s="26"/>
      <c r="R419" s="24" t="str">
        <v>MENTORSHIP_SYSTEM_ENABLED and MENTORSHIP_REQUESTS_ENABLED</v>
      </c>
      <c r="S419" s="28" t="str">
        <v>Not Run</v>
      </c>
      <c r="T419" s="28"/>
      <c r="U419" s="28" t="str">
        <v>Updated</v>
      </c>
    </row>
    <row r="420" ht="64" customHeight="1">
      <c r="A420" s="25" t="str">
        <v>Not Run</v>
      </c>
      <c r="B420" s="19" t="str">
        <v>GO-MAN-419</v>
      </c>
      <c r="C420" s="19" t="str">
        <v>Mentorship Lifecycle</v>
      </c>
      <c r="D420" s="19" t="str">
        <v>After acceptance, enter goal, scope, exclusions, format, channel, dates, frequency and boundaries. Confirm as one participant.</v>
      </c>
      <c r="E420" s="19" t="str">
        <v>Agreement data persists privately. One confirmation leaves the engagement ready_to_start, not active.</v>
      </c>
      <c r="F420" s="19" t="str">
        <v>First agreement confirmation</v>
      </c>
      <c r="G420" s="19" t="str">
        <v>P1</v>
      </c>
      <c r="H420" s="19" t="str">
        <v>Participant or reviewer named in the steps</v>
      </c>
      <c r="I420" s="19" t="str">
        <v>Use prepared QA records and separate accounts. Record the actual URL and build on Run Overview. Prepare an accepted application and two participants plus an unrelated account.</v>
      </c>
      <c r="J420" s="19" t="str">
        <v>Regression</v>
      </c>
      <c r="K420" s="26"/>
      <c r="L420" s="26"/>
      <c r="M420" s="26"/>
      <c r="N420" s="29"/>
      <c r="O420" s="26"/>
      <c r="P420" s="26"/>
      <c r="Q420" s="26"/>
      <c r="R420" s="19" t="str">
        <v>MENTORSHIP_SYSTEM_ENABLED</v>
      </c>
      <c r="S420" s="27" t="str">
        <v>Not Run</v>
      </c>
      <c r="T420" s="27"/>
      <c r="U420" s="27" t="str">
        <v>Updated</v>
      </c>
    </row>
    <row r="421" ht="64" customHeight="1">
      <c r="A421" s="25" t="str">
        <v>Not Run</v>
      </c>
      <c r="B421" s="24" t="str">
        <v>GO-MAN-420</v>
      </c>
      <c r="C421" s="24" t="str">
        <v>Mentorship Lifecycle</v>
      </c>
      <c r="D421" s="24" t="str">
        <v>Confirm exactly the same agreement as one participant, then the other.</v>
      </c>
      <c r="E421" s="24" t="str">
        <v>One confirmation leaves ready_to_start. The second matching confirmation activates the engagement and records both consents.</v>
      </c>
      <c r="F421" s="24" t="str">
        <v>Both participants confirm agreement</v>
      </c>
      <c r="G421" s="24" t="str">
        <v>P1</v>
      </c>
      <c r="H421" s="24" t="str">
        <v>Participant or reviewer named in the steps</v>
      </c>
      <c r="I421" s="24" t="str">
        <v>Use prepared QA records and separate accounts. Record the actual URL and build on Run Overview. Prepare an accepted application and two participants plus an unrelated account.</v>
      </c>
      <c r="J421" s="24" t="str">
        <v>Regression</v>
      </c>
      <c r="K421" s="26"/>
      <c r="L421" s="26"/>
      <c r="M421" s="26"/>
      <c r="N421" s="29"/>
      <c r="O421" s="26"/>
      <c r="P421" s="26"/>
      <c r="Q421" s="26"/>
      <c r="R421" s="24" t="str">
        <v>MENTORSHIP_SYSTEM_ENABLED</v>
      </c>
      <c r="S421" s="28" t="str">
        <v>Not Run</v>
      </c>
      <c r="T421" s="28"/>
      <c r="U421" s="28" t="str">
        <v>Updated</v>
      </c>
    </row>
    <row r="422" ht="64" customHeight="1">
      <c r="A422" s="25" t="str">
        <v>Not Run</v>
      </c>
      <c r="B422" s="19" t="str">
        <v>GO-MAN-421</v>
      </c>
      <c r="C422" s="19" t="str">
        <v>Mentorship Lifecycle</v>
      </c>
      <c r="D422" s="19" t="str">
        <v>Compare agreed start/end dates and availability in the two participant views.</v>
      </c>
      <c r="E422" s="19" t="str">
        <v>Both see the same agreed dates and explicit relevant timezone.</v>
      </c>
      <c r="F422" s="19" t="str">
        <v>Agreement dates and timezone</v>
      </c>
      <c r="G422" s="19" t="str">
        <v>P1</v>
      </c>
      <c r="H422" s="19" t="str">
        <v>Participant or reviewer named in the steps</v>
      </c>
      <c r="I422" s="19" t="str">
        <v>Use prepared QA records and separate accounts. Record the actual URL and build on Run Overview. Prepare an accepted application and two participants plus an unrelated account.</v>
      </c>
      <c r="J422" s="19" t="str">
        <v>Regression</v>
      </c>
      <c r="K422" s="26"/>
      <c r="L422" s="26"/>
      <c r="M422" s="26"/>
      <c r="N422" s="29"/>
      <c r="O422" s="26"/>
      <c r="P422" s="26"/>
      <c r="Q422" s="26"/>
      <c r="R422" s="19" t="str">
        <v>MENTORSHIP_SYSTEM_ENABLED</v>
      </c>
      <c r="S422" s="27" t="str">
        <v>Not Run</v>
      </c>
      <c r="T422" s="27"/>
      <c r="U422" s="27" t="str">
        <v>Updated</v>
      </c>
    </row>
    <row r="423" ht="64" customHeight="1">
      <c r="A423" s="25" t="str">
        <v>Not Run</v>
      </c>
      <c r="B423" s="24" t="str">
        <v>GO-MAN-422</v>
      </c>
      <c r="C423" s="24" t="str">
        <v>Mentorship Lifecycle</v>
      </c>
      <c r="D423" s="24" t="str">
        <v>Refresh both participant dashboards after confirmation.</v>
      </c>
      <c r="E423" s="24" t="str">
        <v>Both reflect the same ready-to-start or active workflow state.</v>
      </c>
      <c r="F423" s="24" t="str">
        <v>Shared agreement state</v>
      </c>
      <c r="G423" s="24" t="str">
        <v>P1</v>
      </c>
      <c r="H423" s="24" t="str">
        <v>Participant or reviewer named in the steps</v>
      </c>
      <c r="I423" s="24" t="str">
        <v>Use prepared QA records and separate accounts. Record the actual URL and build on Run Overview. Prepare an accepted application and two participants plus an unrelated account.</v>
      </c>
      <c r="J423" s="24" t="str">
        <v>Regression</v>
      </c>
      <c r="K423" s="26"/>
      <c r="L423" s="26"/>
      <c r="M423" s="26"/>
      <c r="N423" s="29"/>
      <c r="O423" s="26"/>
      <c r="P423" s="26"/>
      <c r="Q423" s="26"/>
      <c r="R423" s="24" t="str">
        <v>MENTORSHIP_SYSTEM_ENABLED</v>
      </c>
      <c r="S423" s="28" t="str">
        <v>Not Run</v>
      </c>
      <c r="T423" s="28"/>
      <c r="U423" s="28" t="str">
        <v>Updated</v>
      </c>
    </row>
    <row r="424" ht="64" customHeight="1">
      <c r="A424" s="25" t="str">
        <v>Not Run</v>
      </c>
      <c r="B424" s="19" t="str">
        <v>GO-MAN-423</v>
      </c>
      <c r="C424" s="19" t="str">
        <v>Mentorship Lifecycle</v>
      </c>
      <c r="D424" s="19" t="str">
        <v>Save the permitted session/contact channel in a private agreement and inspect public responses.</v>
      </c>
      <c r="E424" s="19" t="str">
        <v>Only authorized participants/reviewers see it.</v>
      </c>
      <c r="F424" s="19" t="str">
        <v>Private communication channel</v>
      </c>
      <c r="G424" s="19" t="str">
        <v>P0</v>
      </c>
      <c r="H424" s="19" t="str">
        <v>Participant or reviewer named in the steps</v>
      </c>
      <c r="I424" s="19" t="str">
        <v>Use prepared QA records and separate accounts. Record the actual URL and build on Run Overview. Prepare an accepted application and two participants plus an unrelated account.</v>
      </c>
      <c r="J424" s="19" t="str">
        <v>Regression</v>
      </c>
      <c r="K424" s="26"/>
      <c r="L424" s="26"/>
      <c r="M424" s="26"/>
      <c r="N424" s="29"/>
      <c r="O424" s="26"/>
      <c r="P424" s="26"/>
      <c r="Q424" s="26"/>
      <c r="R424" s="19" t="str">
        <v>MENTORSHIP_SYSTEM_ENABLED</v>
      </c>
      <c r="S424" s="27" t="str">
        <v>Not Run</v>
      </c>
      <c r="T424" s="27"/>
      <c r="U424" s="27" t="str">
        <v>Updated</v>
      </c>
    </row>
    <row r="425" ht="64" customHeight="1">
      <c r="A425" s="25" t="str">
        <v>Not Run</v>
      </c>
      <c r="B425" s="24" t="str">
        <v>GO-MAN-424</v>
      </c>
      <c r="C425" s="24" t="str">
        <v>Mentorship Lifecycle</v>
      </c>
      <c r="D425" s="24" t="str">
        <v>As unrelated user request the engagement and agreement directly.</v>
      </c>
      <c r="E425" s="24" t="str">
        <v>Private agreement and session information are denied.</v>
      </c>
      <c r="F425" s="24" t="str">
        <v>Unauthorized agreement access</v>
      </c>
      <c r="G425" s="24" t="str">
        <v>P0</v>
      </c>
      <c r="H425" s="24" t="str">
        <v>Participant or reviewer named in the steps</v>
      </c>
      <c r="I425" s="24" t="str">
        <v>Use prepared QA records and separate accounts. Record the actual URL and build on Run Overview. Prepare an accepted application and two participants plus an unrelated account.</v>
      </c>
      <c r="J425" s="24" t="str">
        <v>Regression</v>
      </c>
      <c r="K425" s="26"/>
      <c r="L425" s="26"/>
      <c r="M425" s="26"/>
      <c r="N425" s="29"/>
      <c r="O425" s="26"/>
      <c r="P425" s="26"/>
      <c r="Q425" s="26"/>
      <c r="R425" s="24" t="str">
        <v>MENTORSHIP_SYSTEM_ENABLED</v>
      </c>
      <c r="S425" s="28" t="str">
        <v>Not Run</v>
      </c>
      <c r="T425" s="28"/>
      <c r="U425" s="28" t="str">
        <v>Updated</v>
      </c>
    </row>
    <row r="426" ht="64" customHeight="1">
      <c r="A426" s="25" t="str">
        <v>Not Run</v>
      </c>
      <c r="B426" s="19" t="str">
        <v>GO-MAN-425</v>
      </c>
      <c r="C426" s="19" t="str">
        <v>Mentorship Lifecycle</v>
      </c>
      <c r="D426" s="19" t="str">
        <v>After one participant confirms, change a field in the other participant’s submitted agreement and attempt confirmation.</v>
      </c>
      <c r="E426" s="19" t="str">
        <v>Mismatched agreement is rejected. Both must confirm the same version before activation.</v>
      </c>
      <c r="F426" s="19" t="str">
        <v>Mismatched agreement rejection</v>
      </c>
      <c r="G426" s="19" t="str">
        <v>P1</v>
      </c>
      <c r="H426" s="19" t="str">
        <v>Participant or reviewer named in the steps</v>
      </c>
      <c r="I426" s="19" t="str">
        <v>Use prepared QA records and separate accounts. Record the actual URL and build on Run Overview. Prepare an accepted application and two participants plus an unrelated account.</v>
      </c>
      <c r="J426" s="19" t="str">
        <v>Regression</v>
      </c>
      <c r="K426" s="26"/>
      <c r="L426" s="26"/>
      <c r="M426" s="26"/>
      <c r="N426" s="29"/>
      <c r="O426" s="26"/>
      <c r="P426" s="26"/>
      <c r="Q426" s="26"/>
      <c r="R426" s="19" t="str">
        <v>MENTORSHIP_SYSTEM_ENABLED</v>
      </c>
      <c r="S426" s="27" t="str">
        <v>Not Run</v>
      </c>
      <c r="T426" s="27"/>
      <c r="U426" s="27" t="str">
        <v>Updated</v>
      </c>
    </row>
    <row r="427" ht="64" customHeight="1">
      <c r="A427" s="25" t="str">
        <v>Not Run</v>
      </c>
      <c r="B427" s="24" t="str">
        <v>GO-MAN-426</v>
      </c>
      <c r="C427" s="24" t="str">
        <v>Mentorship Lifecycle</v>
      </c>
      <c r="D427" s="24" t="str">
        <v>Confirm an accepted engagement’s agreement as only one participant and refresh both views.</v>
      </c>
      <c r="E427" s="24" t="str">
        <v>The engagement is ready_to_start and clearly awaits the other participant’s confirmation.</v>
      </c>
      <c r="F427" s="24" t="str">
        <v>Ready-to-start state</v>
      </c>
      <c r="G427" s="24" t="str">
        <v>P1</v>
      </c>
      <c r="H427" s="24" t="str">
        <v>Participant or reviewer named in the steps</v>
      </c>
      <c r="I427" s="24" t="str">
        <v>Use prepared QA records and separate accounts. Record the actual URL and build on Run Overview. Prepare an accepted application and two participants plus an unrelated account.</v>
      </c>
      <c r="J427" s="24" t="str">
        <v>Regression</v>
      </c>
      <c r="K427" s="26"/>
      <c r="L427" s="26"/>
      <c r="M427" s="26"/>
      <c r="N427" s="29"/>
      <c r="O427" s="26"/>
      <c r="P427" s="26"/>
      <c r="Q427" s="26"/>
      <c r="R427" s="24" t="str">
        <v>MENTORSHIP_SYSTEM_ENABLED</v>
      </c>
      <c r="S427" s="28" t="str">
        <v>Not Run</v>
      </c>
      <c r="T427" s="28"/>
      <c r="U427" s="28" t="str">
        <v>Updated</v>
      </c>
    </row>
    <row r="428" ht="64" customHeight="1">
      <c r="A428" s="25" t="str">
        <v>Not Run</v>
      </c>
      <c r="B428" s="19" t="str">
        <v>GO-MAN-427</v>
      </c>
      <c r="C428" s="19" t="str">
        <v>Mentorship Lifecycle</v>
      </c>
      <c r="D428" s="19" t="str">
        <v>During an active engagement submit check-in status, progress, support need and next action.</v>
      </c>
      <c r="E428" s="19" t="str">
        <v>The structured check-in persists. No private session transcript is requested or exposed.</v>
      </c>
      <c r="F428" s="19" t="str">
        <v>Structured check-in</v>
      </c>
      <c r="G428" s="19" t="str">
        <v>P1</v>
      </c>
      <c r="H428" s="19" t="str">
        <v>Participant or reviewer named in the steps</v>
      </c>
      <c r="I428" s="19" t="str">
        <v>Use prepared QA records and separate accounts. Record the actual URL and build on Run Overview. Prepare an accepted application and two participants plus an unrelated account.</v>
      </c>
      <c r="J428" s="19" t="str">
        <v>Regression</v>
      </c>
      <c r="K428" s="26"/>
      <c r="L428" s="26"/>
      <c r="M428" s="26"/>
      <c r="N428" s="29"/>
      <c r="O428" s="26"/>
      <c r="P428" s="26"/>
      <c r="Q428" s="26"/>
      <c r="R428" s="19" t="str">
        <v>MENTORSHIP_SYSTEM_ENABLED</v>
      </c>
      <c r="S428" s="27" t="str">
        <v>Not Run</v>
      </c>
      <c r="T428" s="27"/>
      <c r="U428" s="27" t="str">
        <v>Updated</v>
      </c>
    </row>
    <row r="429" ht="64" customHeight="1">
      <c r="A429" s="25" t="str">
        <v>Not Run</v>
      </c>
      <c r="B429" s="24" t="str">
        <v>GO-MAN-428</v>
      </c>
      <c r="C429" s="24" t="str">
        <v>Mentorship Lifecycle</v>
      </c>
      <c r="D429" s="24" t="str">
        <v>Use the supported pause action and inspect both dashboards.</v>
      </c>
      <c r="E429" s="24" t="str">
        <v>Pause state and next action are consistent. Capacity policy still applies.</v>
      </c>
      <c r="F429" s="24" t="str">
        <v>Paused mentorship</v>
      </c>
      <c r="G429" s="24" t="str">
        <v>P1</v>
      </c>
      <c r="H429" s="24" t="str">
        <v>Participant or reviewer named in the steps</v>
      </c>
      <c r="I429" s="24" t="str">
        <v>Use prepared QA records and separate accounts. Record the actual URL and build on Run Overview. Prepare an accepted application and two participants plus an unrelated account.</v>
      </c>
      <c r="J429" s="24" t="str">
        <v>Regression</v>
      </c>
      <c r="K429" s="26"/>
      <c r="L429" s="26"/>
      <c r="M429" s="26"/>
      <c r="N429" s="29"/>
      <c r="O429" s="26"/>
      <c r="P429" s="26"/>
      <c r="Q429" s="26"/>
      <c r="R429" s="24" t="str">
        <v>MENTORSHIP_SYSTEM_ENABLED</v>
      </c>
      <c r="S429" s="28" t="str">
        <v>Not Run</v>
      </c>
      <c r="T429" s="28"/>
      <c r="U429" s="28" t="str">
        <v>Updated</v>
      </c>
    </row>
    <row r="430" ht="64" customHeight="1">
      <c r="A430" s="25" t="str">
        <v>Not Run</v>
      </c>
      <c r="B430" s="19" t="str">
        <v>GO-MAN-429</v>
      </c>
      <c r="C430" s="19" t="str">
        <v>Mentorship Lifecycle</v>
      </c>
      <c r="D430" s="19" t="str">
        <v>Have the other participant confirm the same complete agreement and refresh both dashboards.</v>
      </c>
      <c r="E430" s="19" t="str">
        <v>The second matching confirmation changes the engagement to active and sets the next check-in.</v>
      </c>
      <c r="F430" s="19" t="str">
        <v>Active mentorship</v>
      </c>
      <c r="G430" s="19" t="str">
        <v>P1</v>
      </c>
      <c r="H430" s="19" t="str">
        <v>Participant or reviewer named in the steps</v>
      </c>
      <c r="I430" s="19" t="str">
        <v>Use prepared QA records and separate accounts. Record the actual URL and build on Run Overview. Prepare an accepted application and two participants plus an unrelated account.</v>
      </c>
      <c r="J430" s="19" t="str">
        <v>Regression</v>
      </c>
      <c r="K430" s="26"/>
      <c r="L430" s="26"/>
      <c r="M430" s="26"/>
      <c r="N430" s="29"/>
      <c r="O430" s="26"/>
      <c r="P430" s="26"/>
      <c r="Q430" s="26"/>
      <c r="R430" s="19" t="str">
        <v>MENTORSHIP_SYSTEM_ENABLED</v>
      </c>
      <c r="S430" s="27" t="str">
        <v>Not Run</v>
      </c>
      <c r="T430" s="27"/>
      <c r="U430" s="27" t="str">
        <v>Updated</v>
      </c>
    </row>
    <row r="431" ht="64" customHeight="1">
      <c r="A431" s="25" t="str">
        <v>Not Run</v>
      </c>
      <c r="B431" s="24" t="str">
        <v>GO-MAN-430</v>
      </c>
      <c r="C431" s="24" t="str">
        <v>Mentorship Lifecycle</v>
      </c>
      <c r="D431" s="24" t="str">
        <v>Request completion, review required closing information and approve as the authorized role.</v>
      </c>
      <c r="E431" s="24" t="str">
        <v>Completion follows the review workflow rather than a fabricated attendance-only state.</v>
      </c>
      <c r="F431" s="24" t="str">
        <v>Completion request</v>
      </c>
      <c r="G431" s="24" t="str">
        <v>P1</v>
      </c>
      <c r="H431" s="24" t="str">
        <v>Participant or reviewer named in the steps</v>
      </c>
      <c r="I431" s="24" t="str">
        <v>Use prepared QA records and separate accounts. Record the actual URL and build on Run Overview. Prepare an accepted application and two participants plus an unrelated account.</v>
      </c>
      <c r="J431" s="24" t="str">
        <v>Regression</v>
      </c>
      <c r="K431" s="26"/>
      <c r="L431" s="26"/>
      <c r="M431" s="26"/>
      <c r="N431" s="29"/>
      <c r="O431" s="26"/>
      <c r="P431" s="26"/>
      <c r="Q431" s="26"/>
      <c r="R431" s="24" t="str">
        <v>MENTORSHIP_SYSTEM_ENABLED</v>
      </c>
      <c r="S431" s="28" t="str">
        <v>Not Run</v>
      </c>
      <c r="T431" s="28"/>
      <c r="U431" s="28" t="str">
        <v>Updated</v>
      </c>
    </row>
    <row r="432" ht="64" customHeight="1">
      <c r="A432" s="25" t="str">
        <v>Not Run</v>
      </c>
      <c r="B432" s="19" t="str">
        <v>GO-MAN-431</v>
      </c>
      <c r="C432" s="19" t="str">
        <v>Mentorship Lifecycle</v>
      </c>
      <c r="D432" s="19" t="str">
        <v>Use the supported cancellation/end action with required reason.</v>
      </c>
      <c r="E432" s="19" t="str">
        <v>Final state is consistent for both participants and no active work is implied.</v>
      </c>
      <c r="F432" s="19" t="str">
        <v>Canceled or ended-early mentorship</v>
      </c>
      <c r="G432" s="19" t="str">
        <v>P1</v>
      </c>
      <c r="H432" s="19" t="str">
        <v>Participant or reviewer named in the steps</v>
      </c>
      <c r="I432" s="19" t="str">
        <v>Use prepared QA records and separate accounts. Record the actual URL and build on Run Overview. Prepare an accepted application and two participants plus an unrelated account.</v>
      </c>
      <c r="J432" s="19" t="str">
        <v>Regression</v>
      </c>
      <c r="K432" s="26"/>
      <c r="L432" s="26"/>
      <c r="M432" s="26"/>
      <c r="N432" s="29"/>
      <c r="O432" s="26"/>
      <c r="P432" s="26"/>
      <c r="Q432" s="26"/>
      <c r="R432" s="19" t="str">
        <v>MENTORSHIP_SYSTEM_ENABLED</v>
      </c>
      <c r="S432" s="27" t="str">
        <v>Not Run</v>
      </c>
      <c r="T432" s="27"/>
      <c r="U432" s="27" t="str">
        <v>Updated</v>
      </c>
    </row>
    <row r="433" ht="64" customHeight="1">
      <c r="A433" s="25" t="str">
        <v>Not Run</v>
      </c>
      <c r="B433" s="24" t="str">
        <v>GO-MAN-432</v>
      </c>
      <c r="C433" s="24" t="str">
        <v>Mentorship Lifecycle</v>
      </c>
      <c r="D433" s="24" t="str">
        <v>As participant, use a permitted ending action. Try the same on another engagement ID.</v>
      </c>
      <c r="E433" s="24" t="str">
        <v>Own action follows policy. Unrelated engagement mutation is denied.</v>
      </c>
      <c r="F433" s="24" t="str">
        <v>Participant ends engagement</v>
      </c>
      <c r="G433" s="24" t="str">
        <v>P1</v>
      </c>
      <c r="H433" s="24" t="str">
        <v>Participant or reviewer named in the steps</v>
      </c>
      <c r="I433" s="24" t="str">
        <v>Use prepared QA records and separate accounts. Record the actual URL and build on Run Overview. Prepare an accepted application and two participants plus an unrelated account.</v>
      </c>
      <c r="J433" s="24" t="str">
        <v>Regression</v>
      </c>
      <c r="K433" s="26"/>
      <c r="L433" s="26"/>
      <c r="M433" s="26"/>
      <c r="N433" s="29"/>
      <c r="O433" s="26"/>
      <c r="P433" s="26"/>
      <c r="Q433" s="26"/>
      <c r="R433" s="24" t="str">
        <v>MENTORSHIP_SYSTEM_ENABLED</v>
      </c>
      <c r="S433" s="28" t="str">
        <v>Not Run</v>
      </c>
      <c r="T433" s="28"/>
      <c r="U433" s="28" t="str">
        <v>Updated</v>
      </c>
    </row>
    <row r="434" ht="64" customHeight="1">
      <c r="A434" s="25" t="str">
        <v>Not Run</v>
      </c>
      <c r="B434" s="19" t="str">
        <v>GO-MAN-433</v>
      </c>
      <c r="C434" s="19" t="str">
        <v>Mentorship Lifecycle</v>
      </c>
      <c r="D434" s="19" t="str">
        <v>Submit a concern report from a prepared own engagement.</v>
      </c>
      <c r="E434" s="19" t="str">
        <v>Report is saved for authorized GO review without disclosing it to the other participant.</v>
      </c>
      <c r="F434" s="19" t="str">
        <v>Private concern report</v>
      </c>
      <c r="G434" s="19" t="str">
        <v>P1</v>
      </c>
      <c r="H434" s="19" t="str">
        <v>Participant or reviewer named in the steps</v>
      </c>
      <c r="I434" s="19" t="str">
        <v>Use prepared QA records and separate accounts. Record the actual URL and build on Run Overview. Prepare an accepted application and two participants plus an unrelated account.</v>
      </c>
      <c r="J434" s="19" t="str">
        <v>Regression</v>
      </c>
      <c r="K434" s="26"/>
      <c r="L434" s="26"/>
      <c r="M434" s="26"/>
      <c r="N434" s="29"/>
      <c r="O434" s="26"/>
      <c r="P434" s="26"/>
      <c r="Q434" s="26"/>
      <c r="R434" s="19" t="str">
        <v>MENTORSHIP_SYSTEM_ENABLED</v>
      </c>
      <c r="S434" s="27" t="str">
        <v>Not Run</v>
      </c>
      <c r="T434" s="27"/>
      <c r="U434" s="27" t="str">
        <v>Updated</v>
      </c>
    </row>
    <row r="435" ht="64" customHeight="1">
      <c r="A435" s="25" t="str">
        <v>Not Run</v>
      </c>
      <c r="B435" s="24" t="str">
        <v>GO-MAN-434</v>
      </c>
      <c r="C435" s="24" t="str">
        <v>Mentorship Lifecycle</v>
      </c>
      <c r="D435" s="24" t="str">
        <v>Open the same engagement as the other participant and inspect responses.</v>
      </c>
      <c r="E435" s="24" t="str">
        <v>Reporter’s private concern text and staff review notes are absent.</v>
      </c>
      <c r="F435" s="24" t="str">
        <v>Concern privacy</v>
      </c>
      <c r="G435" s="24" t="str">
        <v>P0</v>
      </c>
      <c r="H435" s="24" t="str">
        <v>Participant or reviewer named in the steps</v>
      </c>
      <c r="I435" s="24" t="str">
        <v>Use prepared QA records and separate accounts. Record the actual URL and build on Run Overview. Prepare an accepted application and two participants plus an unrelated account.</v>
      </c>
      <c r="J435" s="24" t="str">
        <v>Regression</v>
      </c>
      <c r="K435" s="26"/>
      <c r="L435" s="26"/>
      <c r="M435" s="26"/>
      <c r="N435" s="29"/>
      <c r="O435" s="26"/>
      <c r="P435" s="26"/>
      <c r="Q435" s="26"/>
      <c r="R435" s="24" t="str">
        <v>MENTORSHIP_SYSTEM_ENABLED</v>
      </c>
      <c r="S435" s="28" t="str">
        <v>Not Run</v>
      </c>
      <c r="T435" s="28"/>
      <c r="U435" s="28" t="str">
        <v>Updated</v>
      </c>
    </row>
    <row r="436" ht="64" customHeight="1">
      <c r="A436" s="25" t="str">
        <v>Not Run</v>
      </c>
      <c r="B436" s="19" t="str">
        <v>GO-MAN-435</v>
      </c>
      <c r="C436" s="19" t="str">
        <v>Mentorship Lifecycle</v>
      </c>
      <c r="D436" s="19" t="str">
        <v>Open the concern as an authorized reviewer and record a supported review action.</v>
      </c>
      <c r="E436" s="19" t="str">
        <v>Reviewer can manage it and an audit entry records the action.</v>
      </c>
      <c r="F436" s="19" t="str">
        <v>Admin concern review</v>
      </c>
      <c r="G436" s="19" t="str">
        <v>P0</v>
      </c>
      <c r="H436" s="19" t="str">
        <v>Participant or reviewer named in the steps</v>
      </c>
      <c r="I436" s="19" t="str">
        <v>Use prepared QA records and separate accounts. Record the actual URL and build on Run Overview. Prepare an accepted application and two participants plus an unrelated account.</v>
      </c>
      <c r="J436" s="19" t="str">
        <v>Regression</v>
      </c>
      <c r="K436" s="26"/>
      <c r="L436" s="26"/>
      <c r="M436" s="26"/>
      <c r="N436" s="29"/>
      <c r="O436" s="26"/>
      <c r="P436" s="26"/>
      <c r="Q436" s="26"/>
      <c r="R436" s="19" t="str">
        <v>MENTORSHIP_SYSTEM_ENABLED</v>
      </c>
      <c r="S436" s="27" t="str">
        <v>Not Run</v>
      </c>
      <c r="T436" s="27"/>
      <c r="U436" s="27" t="str">
        <v>Updated</v>
      </c>
    </row>
    <row r="437" ht="64" customHeight="1">
      <c r="A437" s="25" t="str">
        <v>Not Run</v>
      </c>
      <c r="B437" s="24" t="str">
        <v>GO-MAN-436</v>
      </c>
      <c r="C437" s="24" t="str">
        <v>Mentorship Lifecycle</v>
      </c>
      <c r="D437" s="24" t="str">
        <v>Attempt to create/read a concern for an unrelated engagement.</v>
      </c>
      <c r="E437" s="24" t="str">
        <v>The server denies the action without leaking the engagement.</v>
      </c>
      <c r="F437" s="24" t="str">
        <v>Unrelated concern denied</v>
      </c>
      <c r="G437" s="24" t="str">
        <v>P1</v>
      </c>
      <c r="H437" s="24" t="str">
        <v>Participant or reviewer named in the steps</v>
      </c>
      <c r="I437" s="24" t="str">
        <v>Use prepared QA records and separate accounts. Record the actual URL and build on Run Overview. Prepare an accepted application and two participants plus an unrelated account.</v>
      </c>
      <c r="J437" s="24" t="str">
        <v>Regression</v>
      </c>
      <c r="K437" s="26"/>
      <c r="L437" s="26"/>
      <c r="M437" s="26"/>
      <c r="N437" s="29"/>
      <c r="O437" s="26"/>
      <c r="P437" s="26"/>
      <c r="Q437" s="26"/>
      <c r="R437" s="24" t="str">
        <v>MENTORSHIP_SYSTEM_ENABLED</v>
      </c>
      <c r="S437" s="28" t="str">
        <v>Not Run</v>
      </c>
      <c r="T437" s="28"/>
      <c r="U437" s="28" t="str">
        <v>Updated</v>
      </c>
    </row>
    <row r="438" ht="64" customHeight="1">
      <c r="A438" s="25" t="str">
        <v>Not Run</v>
      </c>
      <c r="B438" s="19" t="str">
        <v>GO-MAN-437</v>
      </c>
      <c r="C438" s="19" t="str">
        <v>Mentorship Feedback</v>
      </c>
      <c r="D438" s="19" t="str">
        <v>Attempt feedback before completion, then on a completed QA engagement.</v>
      </c>
      <c r="E438" s="19" t="str">
        <v>Incomplete engagement is rejected. Eligible completed engagement permits feedback.</v>
      </c>
      <c r="F438" s="19" t="str">
        <v>Feedback after completion</v>
      </c>
      <c r="G438" s="19" t="str">
        <v>P1</v>
      </c>
      <c r="H438" s="19" t="str">
        <v>Participant, visitor or reviewer named in the steps</v>
      </c>
      <c r="I438" s="19" t="str">
        <v>Use prepared QA records and separate accounts. Record the actual URL and build on Run Overview. Prepare completed engagements, controlled participants and threshold fixtures.</v>
      </c>
      <c r="J438" s="19" t="str">
        <v>Regression</v>
      </c>
      <c r="K438" s="26"/>
      <c r="L438" s="26"/>
      <c r="M438" s="26"/>
      <c r="N438" s="29"/>
      <c r="O438" s="26"/>
      <c r="P438" s="26"/>
      <c r="Q438" s="26"/>
      <c r="R438" s="19" t="str">
        <v>MENTORSHIP_SYSTEM_ENABLED</v>
      </c>
      <c r="S438" s="27" t="str">
        <v>Not Run</v>
      </c>
      <c r="T438" s="27"/>
      <c r="U438" s="27" t="str">
        <v>Updated</v>
      </c>
    </row>
    <row r="439" ht="64" customHeight="1">
      <c r="A439" s="25" t="str">
        <v>Not Run</v>
      </c>
      <c r="B439" s="24" t="str">
        <v>GO-MAN-438</v>
      </c>
      <c r="C439" s="24" t="str">
        <v>Mentorship Feedback</v>
      </c>
      <c r="D439" s="24" t="str">
        <v>Submit one valid learner-to-mentor feedback after completion.</v>
      </c>
      <c r="E439" s="24" t="str">
        <v>The private submission persists for that engagement.</v>
      </c>
      <c r="F439" s="24" t="str">
        <v>Learner feedback</v>
      </c>
      <c r="G439" s="24" t="str">
        <v>P1</v>
      </c>
      <c r="H439" s="24" t="str">
        <v>Participant, visitor or reviewer named in the steps</v>
      </c>
      <c r="I439" s="24" t="str">
        <v>Use prepared QA records and separate accounts. Record the actual URL and build on Run Overview. Prepare completed engagements, controlled participants and threshold fixtures.</v>
      </c>
      <c r="J439" s="24" t="str">
        <v>Regression</v>
      </c>
      <c r="K439" s="26"/>
      <c r="L439" s="26"/>
      <c r="M439" s="26"/>
      <c r="N439" s="29"/>
      <c r="O439" s="26"/>
      <c r="P439" s="26"/>
      <c r="Q439" s="26"/>
      <c r="R439" s="24" t="str">
        <v>MENTORSHIP_SYSTEM_ENABLED</v>
      </c>
      <c r="S439" s="28" t="str">
        <v>Not Run</v>
      </c>
      <c r="T439" s="28"/>
      <c r="U439" s="28" t="str">
        <v>Updated</v>
      </c>
    </row>
    <row r="440" ht="64" customHeight="1">
      <c r="A440" s="25" t="str">
        <v>Not Run</v>
      </c>
      <c r="B440" s="19" t="str">
        <v>GO-MAN-439</v>
      </c>
      <c r="C440" s="19" t="str">
        <v>Mentorship Feedback</v>
      </c>
      <c r="D440" s="19" t="str">
        <v>Submit mentor-to-learner feedback after completion.</v>
      </c>
      <c r="E440" s="19" t="str">
        <v>The private submission persists without creating a public learner score.</v>
      </c>
      <c r="F440" s="19" t="str">
        <v>Mentor feedback</v>
      </c>
      <c r="G440" s="19" t="str">
        <v>P1</v>
      </c>
      <c r="H440" s="19" t="str">
        <v>Participant, visitor or reviewer named in the steps</v>
      </c>
      <c r="I440" s="19" t="str">
        <v>Use prepared QA records and separate accounts. Record the actual URL and build on Run Overview. Prepare completed engagements, controlled participants and threshold fixtures.</v>
      </c>
      <c r="J440" s="19" t="str">
        <v>Regression</v>
      </c>
      <c r="K440" s="26"/>
      <c r="L440" s="26"/>
      <c r="M440" s="26"/>
      <c r="N440" s="29"/>
      <c r="O440" s="26"/>
      <c r="P440" s="26"/>
      <c r="Q440" s="26"/>
      <c r="R440" s="19" t="str">
        <v>MENTORSHIP_SYSTEM_ENABLED</v>
      </c>
      <c r="S440" s="27" t="str">
        <v>Not Run</v>
      </c>
      <c r="T440" s="27"/>
      <c r="U440" s="27" t="str">
        <v>Updated</v>
      </c>
    </row>
    <row r="441" ht="64" customHeight="1">
      <c r="A441" s="25" t="str">
        <v>Not Run</v>
      </c>
      <c r="B441" s="24" t="str">
        <v>GO-MAN-440</v>
      </c>
      <c r="C441" s="24" t="str">
        <v>Mentorship Feedback</v>
      </c>
      <c r="D441" s="24" t="str">
        <v>Submit feedback twice as the same participant.</v>
      </c>
      <c r="E441" s="24" t="str">
        <v>Only one eligible feedback record contributes.</v>
      </c>
      <c r="F441" s="24" t="str">
        <v>One feedback per participant</v>
      </c>
      <c r="G441" s="24" t="str">
        <v>P1</v>
      </c>
      <c r="H441" s="24" t="str">
        <v>Participant, visitor or reviewer named in the steps</v>
      </c>
      <c r="I441" s="24" t="str">
        <v>Use prepared QA records and separate accounts. Record the actual URL and build on Run Overview. Prepare completed engagements, controlled participants and threshold fixtures.</v>
      </c>
      <c r="J441" s="24" t="str">
        <v>Regression</v>
      </c>
      <c r="K441" s="26"/>
      <c r="L441" s="26"/>
      <c r="M441" s="26"/>
      <c r="N441" s="29"/>
      <c r="O441" s="26"/>
      <c r="P441" s="26"/>
      <c r="Q441" s="26"/>
      <c r="R441" s="24" t="str">
        <v>MENTORSHIP_SYSTEM_ENABLED</v>
      </c>
      <c r="S441" s="28" t="str">
        <v>Not Run</v>
      </c>
      <c r="T441" s="28"/>
      <c r="U441" s="28" t="str">
        <v>Updated</v>
      </c>
    </row>
    <row r="442" ht="64" customHeight="1">
      <c r="A442" s="25" t="str">
        <v>Not Run</v>
      </c>
      <c r="B442" s="19" t="str">
        <v>GO-MAN-441</v>
      </c>
      <c r="C442" s="19" t="str">
        <v>Mentorship Feedback</v>
      </c>
      <c r="D442" s="19" t="str">
        <v>Submit within and after the configured deadline using prepared records.</v>
      </c>
      <c r="E442" s="19" t="str">
        <v>Normally 14-day window is enforced against completion time.</v>
      </c>
      <c r="F442" s="19" t="str">
        <v>Feedback deadline</v>
      </c>
      <c r="G442" s="19" t="str">
        <v>P1</v>
      </c>
      <c r="H442" s="19" t="str">
        <v>Participant, visitor or reviewer named in the steps</v>
      </c>
      <c r="I442" s="19" t="str">
        <v>Use prepared QA records and separate accounts. Record the actual URL and build on Run Overview. Prepare completed engagements, controlled participants and threshold fixtures.</v>
      </c>
      <c r="J442" s="19" t="str">
        <v>Regression</v>
      </c>
      <c r="K442" s="26"/>
      <c r="L442" s="26"/>
      <c r="M442" s="26"/>
      <c r="N442" s="29"/>
      <c r="O442" s="26"/>
      <c r="P442" s="26"/>
      <c r="Q442" s="26"/>
      <c r="R442" s="19" t="str">
        <v>MENTORSHIP_SYSTEM_ENABLED</v>
      </c>
      <c r="S442" s="27" t="str">
        <v>Not Run</v>
      </c>
      <c r="T442" s="27"/>
      <c r="U442" s="27" t="str">
        <v>Updated</v>
      </c>
    </row>
    <row r="443" ht="64" customHeight="1">
      <c r="A443" s="25" t="str">
        <v>Not Run</v>
      </c>
      <c r="B443" s="24" t="str">
        <v>GO-MAN-442</v>
      </c>
      <c r="C443" s="24" t="str">
        <v>Mentorship Feedback</v>
      </c>
      <c r="D443" s="24" t="str">
        <v>Submit the same feedback from two tabs.</v>
      </c>
      <c r="E443" s="24" t="str">
        <v>A single submission contributes and no duplicate aggregate count is added.</v>
      </c>
      <c r="F443" s="24" t="str">
        <v>Concurrent duplicate feedback</v>
      </c>
      <c r="G443" s="24" t="str">
        <v>P0</v>
      </c>
      <c r="H443" s="24" t="str">
        <v>Participant, visitor or reviewer named in the steps</v>
      </c>
      <c r="I443" s="24" t="str">
        <v>Use prepared QA records and separate accounts. Record the actual URL and build on Run Overview. Prepare completed engagements, controlled participants and threshold fixtures.</v>
      </c>
      <c r="J443" s="24" t="str">
        <v>Regression</v>
      </c>
      <c r="K443" s="26"/>
      <c r="L443" s="26"/>
      <c r="M443" s="26"/>
      <c r="N443" s="29"/>
      <c r="O443" s="26"/>
      <c r="P443" s="26"/>
      <c r="Q443" s="26"/>
      <c r="R443" s="24" t="str">
        <v>MENTORSHIP_SYSTEM_ENABLED</v>
      </c>
      <c r="S443" s="28" t="str">
        <v>Not Run</v>
      </c>
      <c r="T443" s="28"/>
      <c r="U443" s="28" t="str">
        <v>Updated</v>
      </c>
    </row>
    <row r="444" ht="64" customHeight="1">
      <c r="A444" s="25" t="str">
        <v>Not Run</v>
      </c>
      <c r="B444" s="19" t="str">
        <v>GO-MAN-443</v>
      </c>
      <c r="C444" s="19" t="str">
        <v>Mentorship Feedback</v>
      </c>
      <c r="D444" s="19" t="str">
        <v>Inspect public mentor profile after saving written feedback.</v>
      </c>
      <c r="E444" s="19" t="str">
        <v>Private written text is absent from public responses.</v>
      </c>
      <c r="F444" s="19" t="str">
        <v>Private written feedback</v>
      </c>
      <c r="G444" s="19" t="str">
        <v>P0</v>
      </c>
      <c r="H444" s="19" t="str">
        <v>Participant, visitor or reviewer named in the steps</v>
      </c>
      <c r="I444" s="19" t="str">
        <v>Use prepared QA records and separate accounts. Record the actual URL and build on Run Overview. Prepare completed engagements, controlled participants and threshold fixtures.</v>
      </c>
      <c r="J444" s="19" t="str">
        <v>Regression</v>
      </c>
      <c r="K444" s="26"/>
      <c r="L444" s="26"/>
      <c r="M444" s="26"/>
      <c r="N444" s="29"/>
      <c r="O444" s="26"/>
      <c r="P444" s="26"/>
      <c r="Q444" s="26"/>
      <c r="R444" s="19" t="str">
        <v>MENTORSHIP_SYSTEM_ENABLED</v>
      </c>
      <c r="S444" s="27" t="str">
        <v>Not Run</v>
      </c>
      <c r="T444" s="27"/>
      <c r="U444" s="27" t="str">
        <v>Updated</v>
      </c>
    </row>
    <row r="445" ht="64" customHeight="1">
      <c r="A445" s="25" t="str">
        <v>Not Run</v>
      </c>
      <c r="B445" s="24" t="str">
        <v>GO-MAN-444</v>
      </c>
      <c r="C445" s="24" t="str">
        <v>Mentorship Feedback</v>
      </c>
      <c r="D445" s="24" t="str">
        <v>Open the engagement as the other participant after feedback is submitted.</v>
      </c>
      <c r="E445" s="24" t="str">
        <v>The participant cannot read the other participant’s private written feedback.</v>
      </c>
      <c r="F445" s="24" t="str">
        <v>Participant feedback privacy</v>
      </c>
      <c r="G445" s="24" t="str">
        <v>P0</v>
      </c>
      <c r="H445" s="24" t="str">
        <v>Participant, visitor or reviewer named in the steps</v>
      </c>
      <c r="I445" s="24" t="str">
        <v>Use prepared QA records and separate accounts. Record the actual URL and build on Run Overview. Prepare completed engagements, controlled participants and threshold fixtures.</v>
      </c>
      <c r="J445" s="24" t="str">
        <v>Regression</v>
      </c>
      <c r="K445" s="26"/>
      <c r="L445" s="26"/>
      <c r="M445" s="26"/>
      <c r="N445" s="29"/>
      <c r="O445" s="26"/>
      <c r="P445" s="26"/>
      <c r="Q445" s="26"/>
      <c r="R445" s="24" t="str">
        <v>MENTORSHIP_SYSTEM_ENABLED</v>
      </c>
      <c r="S445" s="28" t="str">
        <v>Not Run</v>
      </c>
      <c r="T445" s="28"/>
      <c r="U445" s="28" t="str">
        <v>Updated</v>
      </c>
    </row>
    <row r="446" ht="64" customHeight="1">
      <c r="A446" s="25" t="str">
        <v>Not Run</v>
      </c>
      <c r="B446" s="19" t="str">
        <v>GO-MAN-445</v>
      </c>
      <c r="C446" s="19" t="str">
        <v>Mentorship Feedback</v>
      </c>
      <c r="D446" s="19" t="str">
        <v>Use the report control for a prepared eligible feedback item.</v>
      </c>
      <c r="E446" s="19" t="str">
        <v>A private moderation report is recorded for the authorized reviewer.</v>
      </c>
      <c r="F446" s="19" t="str">
        <v>Report feedback</v>
      </c>
      <c r="G446" s="19" t="str">
        <v>P1</v>
      </c>
      <c r="H446" s="19" t="str">
        <v>Participant, visitor or reviewer named in the steps</v>
      </c>
      <c r="I446" s="19" t="str">
        <v>Use prepared QA records and separate accounts. Record the actual URL and build on Run Overview. Prepare completed engagements, controlled participants and threshold fixtures.</v>
      </c>
      <c r="J446" s="19" t="str">
        <v>Regression</v>
      </c>
      <c r="K446" s="26"/>
      <c r="L446" s="26"/>
      <c r="M446" s="26"/>
      <c r="N446" s="29"/>
      <c r="O446" s="26"/>
      <c r="P446" s="26"/>
      <c r="Q446" s="26"/>
      <c r="R446" s="19" t="str">
        <v>MENTORSHIP_SYSTEM_ENABLED</v>
      </c>
      <c r="S446" s="27" t="str">
        <v>Not Run</v>
      </c>
      <c r="T446" s="27"/>
      <c r="U446" s="27" t="str">
        <v>Updated</v>
      </c>
    </row>
    <row r="447" ht="64" customHeight="1">
      <c r="A447" s="25" t="str">
        <v>Not Run</v>
      </c>
      <c r="B447" s="24" t="str">
        <v>GO-MAN-446</v>
      </c>
      <c r="C447" s="24" t="str">
        <v>Mentorship Feedback</v>
      </c>
      <c r="D447" s="24" t="str">
        <v>As admin, exclude or restore a prepared feedback item with a reason.</v>
      </c>
      <c r="E447" s="24" t="str">
        <v>The moderation state and audit history update. Aggregates follow eligibility.</v>
      </c>
      <c r="F447" s="24" t="str">
        <v>Moderate feedback</v>
      </c>
      <c r="G447" s="24" t="str">
        <v>P1</v>
      </c>
      <c r="H447" s="24" t="str">
        <v>Participant, visitor or reviewer named in the steps</v>
      </c>
      <c r="I447" s="24" t="str">
        <v>Use prepared QA records and separate accounts. Record the actual URL and build on Run Overview. Prepare completed engagements, controlled participants and threshold fixtures.</v>
      </c>
      <c r="J447" s="24" t="str">
        <v>Regression</v>
      </c>
      <c r="K447" s="26"/>
      <c r="L447" s="26"/>
      <c r="M447" s="26"/>
      <c r="N447" s="29"/>
      <c r="O447" s="26"/>
      <c r="P447" s="26"/>
      <c r="Q447" s="26"/>
      <c r="R447" s="24" t="str">
        <v>MENTORSHIP_SYSTEM_ENABLED</v>
      </c>
      <c r="S447" s="28" t="str">
        <v>Not Run</v>
      </c>
      <c r="T447" s="28"/>
      <c r="U447" s="28" t="str">
        <v>Updated</v>
      </c>
    </row>
    <row r="448" ht="64" customHeight="1">
      <c r="A448" s="25" t="str">
        <v>Not Run</v>
      </c>
      <c r="B448" s="19" t="str">
        <v>GO-MAN-447</v>
      </c>
      <c r="C448" s="19" t="str">
        <v>Mentorship Feedback</v>
      </c>
      <c r="D448" s="19" t="str">
        <v>Submit a permitted dispute and inspect reviewer/participant visibility.</v>
      </c>
      <c r="E448" s="19" t="str">
        <v>Dispute is private and follows the moderation process.</v>
      </c>
      <c r="F448" s="19" t="str">
        <v>Dispute feedback</v>
      </c>
      <c r="G448" s="19" t="str">
        <v>P1</v>
      </c>
      <c r="H448" s="19" t="str">
        <v>Participant, visitor or reviewer named in the steps</v>
      </c>
      <c r="I448" s="19" t="str">
        <v>Use prepared QA records and separate accounts. Record the actual URL and build on Run Overview. Prepare completed engagements, controlled participants and threshold fixtures.</v>
      </c>
      <c r="J448" s="19" t="str">
        <v>Regression</v>
      </c>
      <c r="K448" s="26"/>
      <c r="L448" s="26"/>
      <c r="M448" s="26"/>
      <c r="N448" s="29"/>
      <c r="O448" s="26"/>
      <c r="P448" s="26"/>
      <c r="Q448" s="26"/>
      <c r="R448" s="19" t="str">
        <v>MENTORSHIP_SYSTEM_ENABLED</v>
      </c>
      <c r="S448" s="27" t="str">
        <v>Not Run</v>
      </c>
      <c r="T448" s="27"/>
      <c r="U448" s="27" t="str">
        <v>Updated</v>
      </c>
    </row>
    <row r="449" ht="64" customHeight="1">
      <c r="A449" s="25" t="str">
        <v>Not Run</v>
      </c>
      <c r="B449" s="24" t="str">
        <v>GO-MAN-448</v>
      </c>
      <c r="C449" s="24" t="str">
        <v>Mentorship Feedback</v>
      </c>
      <c r="D449" s="24" t="str">
        <v>Use the supported correction/appeal workflow on prepared feedback.</v>
      </c>
      <c r="E449" s="24" t="str">
        <v>Only authorized changes are accepted and the history remains reviewable.</v>
      </c>
      <c r="F449" s="24" t="str">
        <v>Feedback correction review</v>
      </c>
      <c r="G449" s="24" t="str">
        <v>P1</v>
      </c>
      <c r="H449" s="24" t="str">
        <v>Participant, visitor or reviewer named in the steps</v>
      </c>
      <c r="I449" s="24" t="str">
        <v>Use prepared QA records and separate accounts. Record the actual URL and build on Run Overview. Prepare completed engagements, controlled participants and threshold fixtures.</v>
      </c>
      <c r="J449" s="24" t="str">
        <v>Regression</v>
      </c>
      <c r="K449" s="26"/>
      <c r="L449" s="26"/>
      <c r="M449" s="26"/>
      <c r="N449" s="29"/>
      <c r="O449" s="26"/>
      <c r="P449" s="26"/>
      <c r="Q449" s="26"/>
      <c r="R449" s="24" t="str">
        <v>MENTORSHIP_SYSTEM_ENABLED</v>
      </c>
      <c r="S449" s="28" t="str">
        <v>Not Run</v>
      </c>
      <c r="T449" s="28"/>
      <c r="U449" s="28" t="str">
        <v>Updated</v>
      </c>
    </row>
    <row r="450" ht="64" customHeight="1">
      <c r="A450" s="25" t="str">
        <v>Not Run</v>
      </c>
      <c r="B450" s="19" t="str">
        <v>GO-MAN-449</v>
      </c>
      <c r="C450" s="19" t="str">
        <v>Mentorship Feedback</v>
      </c>
      <c r="D450" s="19" t="str">
        <v>Flag a contributing item disputed and refresh public strengths.</v>
      </c>
      <c r="E450" s="19" t="str">
        <v>The disputed item is excluded while under dispute according to policy.</v>
      </c>
      <c r="F450" s="19" t="str">
        <v>Disputed aggregate exclusion</v>
      </c>
      <c r="G450" s="19" t="str">
        <v>P1</v>
      </c>
      <c r="H450" s="19" t="str">
        <v>Participant, visitor or reviewer named in the steps</v>
      </c>
      <c r="I450" s="19" t="str">
        <v>Use prepared QA records and separate accounts. Record the actual URL and build on Run Overview. Prepare completed engagements, controlled participants and threshold fixtures.</v>
      </c>
      <c r="J450" s="19" t="str">
        <v>Regression</v>
      </c>
      <c r="K450" s="26"/>
      <c r="L450" s="26"/>
      <c r="M450" s="26"/>
      <c r="N450" s="29"/>
      <c r="O450" s="26"/>
      <c r="P450" s="26"/>
      <c r="Q450" s="26"/>
      <c r="R450" s="19" t="str">
        <v>MENTORSHIP_SYSTEM_ENABLED</v>
      </c>
      <c r="S450" s="27" t="str">
        <v>Not Run</v>
      </c>
      <c r="T450" s="27"/>
      <c r="U450" s="27" t="str">
        <v>Updated</v>
      </c>
    </row>
    <row r="451" ht="64" customHeight="1">
      <c r="A451" s="25" t="str">
        <v>Not Run</v>
      </c>
      <c r="B451" s="24" t="str">
        <v>GO-MAN-450</v>
      </c>
      <c r="C451" s="24" t="str">
        <v>Mentorship Feedback</v>
      </c>
      <c r="D451" s="24" t="str">
        <v>Prepare feedback from three distinct eligible learners.</v>
      </c>
      <c r="E451" s="24" t="str">
        <v>Public descriptive strengths appear only when the threshold is met.</v>
      </c>
      <c r="F451" s="24" t="str">
        <v>Distinct-learner threshold</v>
      </c>
      <c r="G451" s="24" t="str">
        <v>P1</v>
      </c>
      <c r="H451" s="24" t="str">
        <v>Participant, visitor or reviewer named in the steps</v>
      </c>
      <c r="I451" s="24" t="str">
        <v>Use prepared QA records and separate accounts. Record the actual URL and build on Run Overview. Prepare completed engagements, controlled participants and threshold fixtures.</v>
      </c>
      <c r="J451" s="24" t="str">
        <v>Regression</v>
      </c>
      <c r="K451" s="26"/>
      <c r="L451" s="26"/>
      <c r="M451" s="26"/>
      <c r="N451" s="29"/>
      <c r="O451" s="26"/>
      <c r="P451" s="26"/>
      <c r="Q451" s="26"/>
      <c r="R451" s="24" t="str">
        <v>MENTORSHIP_SYSTEM_ENABLED</v>
      </c>
      <c r="S451" s="28" t="str">
        <v>Not Run</v>
      </c>
      <c r="T451" s="28"/>
      <c r="U451" s="28" t="str">
        <v>Updated</v>
      </c>
    </row>
    <row r="452" ht="64" customHeight="1">
      <c r="A452" s="25" t="str">
        <v>Not Run</v>
      </c>
      <c r="B452" s="19" t="str">
        <v>GO-MAN-451</v>
      </c>
      <c r="C452" s="19" t="str">
        <v>Mentorship Feedback</v>
      </c>
      <c r="D452" s="19" t="str">
        <v>Use a mentor with two eligible distinct learners.</v>
      </c>
      <c r="E452" s="19" t="str">
        <v>No aggregate is exposed below the three-learner threshold.</v>
      </c>
      <c r="F452" s="19" t="str">
        <v>Below public threshold</v>
      </c>
      <c r="G452" s="19" t="str">
        <v>P1</v>
      </c>
      <c r="H452" s="19" t="str">
        <v>Participant, visitor or reviewer named in the steps</v>
      </c>
      <c r="I452" s="19" t="str">
        <v>Use prepared QA records and separate accounts. Record the actual URL and build on Run Overview. Prepare completed engagements, controlled participants and threshold fixtures.</v>
      </c>
      <c r="J452" s="19" t="str">
        <v>Regression</v>
      </c>
      <c r="K452" s="26"/>
      <c r="L452" s="26"/>
      <c r="M452" s="26"/>
      <c r="N452" s="29"/>
      <c r="O452" s="26"/>
      <c r="P452" s="26"/>
      <c r="Q452" s="26"/>
      <c r="R452" s="19" t="str">
        <v>MENTORSHIP_SYSTEM_ENABLED</v>
      </c>
      <c r="S452" s="27" t="str">
        <v>Not Run</v>
      </c>
      <c r="T452" s="27"/>
      <c r="U452" s="27" t="str">
        <v>Updated</v>
      </c>
    </row>
    <row r="453" ht="64" customHeight="1">
      <c r="A453" s="25" t="str">
        <v>Not Run</v>
      </c>
      <c r="B453" s="24" t="str">
        <v>GO-MAN-452</v>
      </c>
      <c r="C453" s="24" t="str">
        <v>Mentorship Feedback</v>
      </c>
      <c r="D453" s="24" t="str">
        <v>Add the third eligible learner feedback and refresh.</v>
      </c>
      <c r="E453" s="24" t="str">
        <v>The public threshold is crossed once using eligible distinct learners.</v>
      </c>
      <c r="F453" s="24" t="str">
        <v>Exactly three learners</v>
      </c>
      <c r="G453" s="24" t="str">
        <v>P1</v>
      </c>
      <c r="H453" s="24" t="str">
        <v>Participant, visitor or reviewer named in the steps</v>
      </c>
      <c r="I453" s="24" t="str">
        <v>Use prepared QA records and separate accounts. Record the actual URL and build on Run Overview. Prepare completed engagements, controlled participants and threshold fixtures.</v>
      </c>
      <c r="J453" s="24" t="str">
        <v>Regression</v>
      </c>
      <c r="K453" s="26"/>
      <c r="L453" s="26"/>
      <c r="M453" s="26"/>
      <c r="N453" s="29"/>
      <c r="O453" s="26"/>
      <c r="P453" s="26"/>
      <c r="Q453" s="26"/>
      <c r="R453" s="24" t="str">
        <v>MENTORSHIP_SYSTEM_ENABLED</v>
      </c>
      <c r="S453" s="28" t="str">
        <v>Not Run</v>
      </c>
      <c r="T453" s="28"/>
      <c r="U453" s="28" t="str">
        <v>Updated</v>
      </c>
    </row>
    <row r="454" ht="64" customHeight="1">
      <c r="A454" s="25" t="str">
        <v>Not Run</v>
      </c>
      <c r="B454" s="19" t="str">
        <v>GO-MAN-453</v>
      </c>
      <c r="C454" s="19" t="str">
        <v>Mentorship Feedback</v>
      </c>
      <c r="D454" s="19" t="str">
        <v>Use several engagements with the same learner and fewer than three distinct learners.</v>
      </c>
      <c r="E454" s="19" t="str">
        <v>Repeated learners do not bypass the threshold.</v>
      </c>
      <c r="F454" s="19" t="str">
        <v>Repeated learner threshold</v>
      </c>
      <c r="G454" s="19" t="str">
        <v>P0</v>
      </c>
      <c r="H454" s="19" t="str">
        <v>Participant, visitor or reviewer named in the steps</v>
      </c>
      <c r="I454" s="19" t="str">
        <v>Use prepared QA records and separate accounts. Record the actual URL and build on Run Overview. Prepare completed engagements, controlled participants and threshold fixtures.</v>
      </c>
      <c r="J454" s="19" t="str">
        <v>Regression</v>
      </c>
      <c r="K454" s="26"/>
      <c r="L454" s="26"/>
      <c r="M454" s="26"/>
      <c r="N454" s="29"/>
      <c r="O454" s="26"/>
      <c r="P454" s="26"/>
      <c r="Q454" s="26"/>
      <c r="R454" s="19" t="str">
        <v>MENTORSHIP_SYSTEM_ENABLED</v>
      </c>
      <c r="S454" s="27" t="str">
        <v>Not Run</v>
      </c>
      <c r="T454" s="27"/>
      <c r="U454" s="27" t="str">
        <v>Updated</v>
      </c>
    </row>
    <row r="455" ht="64" customHeight="1">
      <c r="A455" s="25" t="str">
        <v>Not Run</v>
      </c>
      <c r="B455" s="24" t="str">
        <v>GO-MAN-454</v>
      </c>
      <c r="C455" s="24" t="str">
        <v>Mentorship Feedback</v>
      </c>
      <c r="D455" s="24" t="str">
        <v>Open public profile with sufficient eligible feedback.</v>
      </c>
      <c r="E455" s="24" t="str">
        <v>Only permitted descriptive strengths appear without private text or identities.</v>
      </c>
      <c r="F455" s="24" t="str">
        <v>Descriptive public strengths</v>
      </c>
      <c r="G455" s="24" t="str">
        <v>P1</v>
      </c>
      <c r="H455" s="24" t="str">
        <v>Participant, visitor or reviewer named in the steps</v>
      </c>
      <c r="I455" s="24" t="str">
        <v>Use prepared QA records and separate accounts. Record the actual URL and build on Run Overview. Prepare completed engagements, controlled participants and threshold fixtures.</v>
      </c>
      <c r="J455" s="24" t="str">
        <v>Regression</v>
      </c>
      <c r="K455" s="26"/>
      <c r="L455" s="26"/>
      <c r="M455" s="26"/>
      <c r="N455" s="29"/>
      <c r="O455" s="26"/>
      <c r="P455" s="26"/>
      <c r="Q455" s="26"/>
      <c r="R455" s="24" t="str">
        <v>MENTORSHIP_SYSTEM_ENABLED</v>
      </c>
      <c r="S455" s="28" t="str">
        <v>Not Run</v>
      </c>
      <c r="T455" s="28"/>
      <c r="U455" s="28" t="str">
        <v>Updated</v>
      </c>
    </row>
    <row r="456" ht="64" customHeight="1">
      <c r="A456" s="25" t="str">
        <v>Not Run</v>
      </c>
      <c r="B456" s="19" t="str">
        <v>GO-MAN-455</v>
      </c>
      <c r="C456" s="19" t="str">
        <v>Mentorship Feedback</v>
      </c>
      <c r="D456" s="19" t="str">
        <v>Inspect mentor cards and detail after eligible feedback.</v>
      </c>
      <c r="E456" s="19" t="str">
        <v>No star score is introduced by this feedback system.</v>
      </c>
      <c r="F456" s="19" t="str">
        <v>No public stars</v>
      </c>
      <c r="G456" s="19" t="str">
        <v>P1</v>
      </c>
      <c r="H456" s="19" t="str">
        <v>Participant, visitor or reviewer named in the steps</v>
      </c>
      <c r="I456" s="19" t="str">
        <v>Use prepared QA records and separate accounts. Record the actual URL and build on Run Overview. Prepare completed engagements, controlled participants and threshold fixtures.</v>
      </c>
      <c r="J456" s="19" t="str">
        <v>Regression</v>
      </c>
      <c r="K456" s="26"/>
      <c r="L456" s="26"/>
      <c r="M456" s="26"/>
      <c r="N456" s="29"/>
      <c r="O456" s="26"/>
      <c r="P456" s="26"/>
      <c r="Q456" s="26"/>
      <c r="R456" s="19" t="str">
        <v>MENTORSHIP_SYSTEM_ENABLED</v>
      </c>
      <c r="S456" s="27" t="str">
        <v>Not Run</v>
      </c>
      <c r="T456" s="27"/>
      <c r="U456" s="27" t="str">
        <v>Updated</v>
      </c>
    </row>
    <row r="457" ht="64" customHeight="1">
      <c r="A457" s="25" t="str">
        <v>Not Run</v>
      </c>
      <c r="B457" s="24" t="str">
        <v>GO-MAN-456</v>
      </c>
      <c r="C457" s="24" t="str">
        <v>Mentorship Feedback</v>
      </c>
      <c r="D457" s="24" t="str">
        <v>Inspect profile and public payloads for average scores.</v>
      </c>
      <c r="E457" s="24" t="str">
        <v>Private feedback is not exposed as a public numerical average.</v>
      </c>
      <c r="F457" s="24" t="str">
        <v>No public numerical average</v>
      </c>
      <c r="G457" s="24" t="str">
        <v>P1</v>
      </c>
      <c r="H457" s="24" t="str">
        <v>Participant, visitor or reviewer named in the steps</v>
      </c>
      <c r="I457" s="24" t="str">
        <v>Use prepared QA records and separate accounts. Record the actual URL and build on Run Overview. Prepare completed engagements, controlled participants and threshold fixtures.</v>
      </c>
      <c r="J457" s="24" t="str">
        <v>Regression</v>
      </c>
      <c r="K457" s="26"/>
      <c r="L457" s="26"/>
      <c r="M457" s="26"/>
      <c r="N457" s="29"/>
      <c r="O457" s="26"/>
      <c r="P457" s="26"/>
      <c r="Q457" s="26"/>
      <c r="R457" s="24" t="str">
        <v>MENTORSHIP_SYSTEM_ENABLED</v>
      </c>
      <c r="S457" s="28" t="str">
        <v>Not Run</v>
      </c>
      <c r="T457" s="28"/>
      <c r="U457" s="28" t="str">
        <v>Updated</v>
      </c>
    </row>
    <row r="458" ht="64" customHeight="1">
      <c r="A458" s="25" t="str">
        <v>Not Run</v>
      </c>
      <c r="B458" s="19" t="str">
        <v>GO-MAN-457</v>
      </c>
      <c r="C458" s="19" t="str">
        <v>Mentorship Feedback</v>
      </c>
      <c r="D458" s="19" t="str">
        <v>Compare directory ordering and available sort controls.</v>
      </c>
      <c r="E458" s="19" t="str">
        <v>The feedback system does not publish mentor rankings.</v>
      </c>
      <c r="F458" s="19" t="str">
        <v>No feedback ranking</v>
      </c>
      <c r="G458" s="19" t="str">
        <v>P1</v>
      </c>
      <c r="H458" s="19" t="str">
        <v>Participant, visitor or reviewer named in the steps</v>
      </c>
      <c r="I458" s="19" t="str">
        <v>Use prepared QA records and separate accounts. Record the actual URL and build on Run Overview. Prepare completed engagements, controlled participants and threshold fixtures.</v>
      </c>
      <c r="J458" s="19" t="str">
        <v>Regression</v>
      </c>
      <c r="K458" s="26"/>
      <c r="L458" s="26"/>
      <c r="M458" s="26"/>
      <c r="N458" s="29"/>
      <c r="O458" s="26"/>
      <c r="P458" s="26"/>
      <c r="Q458" s="26"/>
      <c r="R458" s="19" t="str">
        <v>MENTORSHIP_SYSTEM_ENABLED</v>
      </c>
      <c r="S458" s="27" t="str">
        <v>Not Run</v>
      </c>
      <c r="T458" s="27"/>
      <c r="U458" s="27" t="str">
        <v>Updated</v>
      </c>
    </row>
    <row r="459" ht="64" customHeight="1">
      <c r="A459" s="25" t="str">
        <v>Not Run</v>
      </c>
      <c r="B459" s="24" t="str">
        <v>GO-MAN-458</v>
      </c>
      <c r="C459" s="24" t="str">
        <v>Mentorship Feedback</v>
      </c>
      <c r="D459" s="24" t="str">
        <v>Search public detail and payloads for prepared private comment text.</v>
      </c>
      <c r="E459" s="24" t="str">
        <v>Private written feedback is absent.</v>
      </c>
      <c r="F459" s="24" t="str">
        <v>No private public comments</v>
      </c>
      <c r="G459" s="24" t="str">
        <v>P1</v>
      </c>
      <c r="H459" s="24" t="str">
        <v>Participant, visitor or reviewer named in the steps</v>
      </c>
      <c r="I459" s="24" t="str">
        <v>Use prepared QA records and separate accounts. Record the actual URL and build on Run Overview. Prepare completed engagements, controlled participants and threshold fixtures.</v>
      </c>
      <c r="J459" s="24" t="str">
        <v>Regression</v>
      </c>
      <c r="K459" s="26"/>
      <c r="L459" s="26"/>
      <c r="M459" s="26"/>
      <c r="N459" s="29"/>
      <c r="O459" s="26"/>
      <c r="P459" s="26"/>
      <c r="Q459" s="26"/>
      <c r="R459" s="24" t="str">
        <v>MENTORSHIP_SYSTEM_ENABLED</v>
      </c>
      <c r="S459" s="28" t="str">
        <v>Not Run</v>
      </c>
      <c r="T459" s="28"/>
      <c r="U459" s="28" t="str">
        <v>Updated</v>
      </c>
    </row>
    <row r="460" ht="64" customHeight="1">
      <c r="A460" s="25" t="str">
        <v>Not Run</v>
      </c>
      <c r="B460" s="19" t="str">
        <v>GO-MAN-459</v>
      </c>
      <c r="C460" s="19" t="str">
        <v>Mentorship Feedback</v>
      </c>
      <c r="D460" s="19" t="str">
        <v>Inspect aggregate output for prepared reviewer names and IDs.</v>
      </c>
      <c r="E460" s="19" t="str">
        <v>Public output does not reveal reviewer identity.</v>
      </c>
      <c r="F460" s="19" t="str">
        <v>Reviewer anonymity</v>
      </c>
      <c r="G460" s="19" t="str">
        <v>P1</v>
      </c>
      <c r="H460" s="19" t="str">
        <v>Participant, visitor or reviewer named in the steps</v>
      </c>
      <c r="I460" s="19" t="str">
        <v>Use prepared QA records and separate accounts. Record the actual URL and build on Run Overview. Prepare completed engagements, controlled participants and threshold fixtures.</v>
      </c>
      <c r="J460" s="19" t="str">
        <v>Regression</v>
      </c>
      <c r="K460" s="26"/>
      <c r="L460" s="26"/>
      <c r="M460" s="26"/>
      <c r="N460" s="29"/>
      <c r="O460" s="26"/>
      <c r="P460" s="26"/>
      <c r="Q460" s="26"/>
      <c r="R460" s="19" t="str">
        <v>MENTORSHIP_SYSTEM_ENABLED</v>
      </c>
      <c r="S460" s="27" t="str">
        <v>Not Run</v>
      </c>
      <c r="T460" s="27"/>
      <c r="U460" s="27" t="str">
        <v>Updated</v>
      </c>
    </row>
    <row r="461" ht="64" customHeight="1">
      <c r="A461" s="25" t="str">
        <v>Not Run</v>
      </c>
      <c r="B461" s="24" t="str">
        <v>GO-MAN-460</v>
      </c>
      <c r="C461" s="24" t="str">
        <v>Mentorship Feedback</v>
      </c>
      <c r="D461" s="24" t="str">
        <v>Inspect public learner profile and payloads after mentor feedback.</v>
      </c>
      <c r="E461" s="24" t="str">
        <v>Private learner feedback/reputation is not exposed.</v>
      </c>
      <c r="F461" s="24" t="str">
        <v>Private learner reputation</v>
      </c>
      <c r="G461" s="24" t="str">
        <v>P0</v>
      </c>
      <c r="H461" s="24" t="str">
        <v>Participant, visitor or reviewer named in the steps</v>
      </c>
      <c r="I461" s="24" t="str">
        <v>Use prepared QA records and separate accounts. Record the actual URL and build on Run Overview. Prepare completed engagements, controlled participants and threshold fixtures.</v>
      </c>
      <c r="J461" s="24" t="str">
        <v>Regression</v>
      </c>
      <c r="K461" s="26"/>
      <c r="L461" s="26"/>
      <c r="M461" s="26"/>
      <c r="N461" s="29"/>
      <c r="O461" s="26"/>
      <c r="P461" s="26"/>
      <c r="Q461" s="26"/>
      <c r="R461" s="24" t="str">
        <v>MENTORSHIP_SYSTEM_ENABLED</v>
      </c>
      <c r="S461" s="28" t="str">
        <v>Not Run</v>
      </c>
      <c r="T461" s="28"/>
      <c r="U461" s="28" t="str">
        <v>Updated</v>
      </c>
    </row>
    <row r="462" ht="64" customHeight="1">
      <c r="A462" s="25" t="str">
        <v>Not Run</v>
      </c>
      <c r="B462" s="19" t="str">
        <v>GO-MAN-461</v>
      </c>
      <c r="C462" s="19" t="str">
        <v>Mentorship Feedback</v>
      </c>
      <c r="D462" s="19" t="str">
        <v>Change the learner’s supported strengths-sharing choice and view as another user.</v>
      </c>
      <c r="E462" s="19" t="str">
        <v>Only opted-in permitted strengths appear and can be hidden again.</v>
      </c>
      <c r="F462" s="19" t="str">
        <v>Sharing selected strengths</v>
      </c>
      <c r="G462" s="19" t="str">
        <v>P1</v>
      </c>
      <c r="H462" s="19" t="str">
        <v>Participant, visitor or reviewer named in the steps</v>
      </c>
      <c r="I462" s="19" t="str">
        <v>Use prepared QA records and separate accounts. Record the actual URL and build on Run Overview. Prepare completed engagements, controlled participants and threshold fixtures.</v>
      </c>
      <c r="J462" s="19" t="str">
        <v>Regression</v>
      </c>
      <c r="K462" s="26"/>
      <c r="L462" s="26"/>
      <c r="M462" s="26"/>
      <c r="N462" s="29"/>
      <c r="O462" s="26"/>
      <c r="P462" s="26"/>
      <c r="Q462" s="26"/>
      <c r="R462" s="19" t="str">
        <v>MENTORSHIP_SYSTEM_ENABLED</v>
      </c>
      <c r="S462" s="27" t="str">
        <v>Not Run</v>
      </c>
      <c r="T462" s="27"/>
      <c r="U462" s="27" t="str">
        <v>Updated</v>
      </c>
    </row>
    <row r="463" ht="64" customHeight="1">
      <c r="A463" s="25" t="str">
        <v>Not Run</v>
      </c>
      <c r="B463" s="24" t="str">
        <v>GO-MAN-462</v>
      </c>
      <c r="C463" s="24" t="str">
        <v>Mentorship Feedback</v>
      </c>
      <c r="D463" s="24" t="str">
        <v>Use feedback and moderation states with screen reader and without color cues.</v>
      </c>
      <c r="E463" s="24" t="str">
        <v>Labels identify state and result independently of color.</v>
      </c>
      <c r="F463" s="24" t="str">
        <v>Feedback status accessibility</v>
      </c>
      <c r="G463" s="24" t="str">
        <v>P1</v>
      </c>
      <c r="H463" s="24" t="str">
        <v>Participant, visitor or reviewer named in the steps</v>
      </c>
      <c r="I463" s="24" t="str">
        <v>Use prepared QA records and separate accounts. Record the actual URL and build on Run Overview. Prepare completed engagements, controlled participants and threshold fixtures.</v>
      </c>
      <c r="J463" s="24" t="str">
        <v>Regression</v>
      </c>
      <c r="K463" s="26"/>
      <c r="L463" s="26"/>
      <c r="M463" s="26"/>
      <c r="N463" s="29"/>
      <c r="O463" s="26"/>
      <c r="P463" s="26"/>
      <c r="Q463" s="26"/>
      <c r="R463" s="24" t="str">
        <v>MENTORSHIP_SYSTEM_ENABLED</v>
      </c>
      <c r="S463" s="28" t="str">
        <v>Not Run</v>
      </c>
      <c r="T463" s="28"/>
      <c r="U463" s="28" t="str">
        <v>Updated</v>
      </c>
    </row>
    <row r="464" ht="64" customHeight="1">
      <c r="A464" s="25" t="str">
        <v>Not Run</v>
      </c>
      <c r="B464" s="19" t="str">
        <v>GO-MAN-463</v>
      </c>
      <c r="C464" s="19" t="str">
        <v>Asset Packs</v>
      </c>
      <c r="D464" s="19" t="str">
        <v>As active Community create a valid pack draft and submit it for review.</v>
      </c>
      <c r="E464" s="19" t="str">
        <v>An own submission is saved privately and does not self-publish.</v>
      </c>
      <c r="F464" s="19" t="str">
        <v>Community asset submission</v>
      </c>
      <c r="G464" s="19" t="str">
        <v>P1</v>
      </c>
      <c r="H464" s="19" t="str">
        <v>Contributor, admin or consumer named in the steps</v>
      </c>
      <c r="I464" s="19" t="str">
        <v>Use prepared QA records and separate accounts. Record the actual URL and build on Run Overview. Community asset submissions enabled for submission cases. Prepare versioned packs.</v>
      </c>
      <c r="J464" s="19" t="str">
        <v>Smoke</v>
      </c>
      <c r="K464" s="26"/>
      <c r="L464" s="26"/>
      <c r="M464" s="26"/>
      <c r="N464" s="29"/>
      <c r="O464" s="26"/>
      <c r="P464" s="26"/>
      <c r="Q464" s="26"/>
      <c r="R464" s="19" t="str">
        <v>COMMUNITY_ASSET_SUBMISSIONS_ENABLED for submissions</v>
      </c>
      <c r="S464" s="27" t="str">
        <v>Not Run</v>
      </c>
      <c r="T464" s="27"/>
      <c r="U464" s="27" t="str">
        <v>Updated</v>
      </c>
    </row>
    <row r="465" ht="64" customHeight="1">
      <c r="A465" s="25" t="str">
        <v>Not Run</v>
      </c>
      <c r="B465" s="24" t="str">
        <v>GO-MAN-464</v>
      </c>
      <c r="C465" s="24" t="str">
        <v>Asset Packs</v>
      </c>
      <c r="D465" s="24" t="str">
        <v>Repeat with active Business.</v>
      </c>
      <c r="E465" s="24" t="str">
        <v>Inherited content contribution permission allows the submission.</v>
      </c>
      <c r="F465" s="24" t="str">
        <v>Business asset submission</v>
      </c>
      <c r="G465" s="24" t="str">
        <v>P1</v>
      </c>
      <c r="H465" s="24" t="str">
        <v>Contributor, admin or consumer named in the steps</v>
      </c>
      <c r="I465" s="24" t="str">
        <v>Use prepared QA records and separate accounts. Record the actual URL and build on Run Overview. Community asset submissions enabled for submission cases. Prepare versioned packs.</v>
      </c>
      <c r="J465" s="24" t="str">
        <v>Regression</v>
      </c>
      <c r="K465" s="26"/>
      <c r="L465" s="26"/>
      <c r="M465" s="26"/>
      <c r="N465" s="29"/>
      <c r="O465" s="26"/>
      <c r="P465" s="26"/>
      <c r="Q465" s="26"/>
      <c r="R465" s="24" t="str">
        <v>COMMUNITY_ASSET_SUBMISSIONS_ENABLED for submissions</v>
      </c>
      <c r="S465" s="28" t="str">
        <v>Not Run</v>
      </c>
      <c r="T465" s="28"/>
      <c r="U465" s="28" t="str">
        <v>Updated</v>
      </c>
    </row>
    <row r="466" ht="64" customHeight="1">
      <c r="A466" s="25" t="str">
        <v>Not Run</v>
      </c>
      <c r="B466" s="19" t="str">
        <v>GO-MAN-465</v>
      </c>
      <c r="C466" s="19" t="str">
        <v>Asset Packs</v>
      </c>
      <c r="D466" s="19" t="str">
        <v>As free user attempt draft submission through UI and API.</v>
      </c>
      <c r="E466" s="19" t="str">
        <v>Paid-contribution gate is enforced without a saved unauthorized submission.</v>
      </c>
      <c r="F466" s="19" t="str">
        <v>Free asset submission gate</v>
      </c>
      <c r="G466" s="19" t="str">
        <v>P0</v>
      </c>
      <c r="H466" s="19" t="str">
        <v>Contributor, admin or consumer named in the steps</v>
      </c>
      <c r="I466" s="19" t="str">
        <v>Use prepared QA records and separate accounts. Record the actual URL and build on Run Overview. Community asset submissions enabled for submission cases. Prepare versioned packs.</v>
      </c>
      <c r="J466" s="19" t="str">
        <v>Regression</v>
      </c>
      <c r="K466" s="26"/>
      <c r="L466" s="26"/>
      <c r="M466" s="26"/>
      <c r="N466" s="29"/>
      <c r="O466" s="26"/>
      <c r="P466" s="26"/>
      <c r="Q466" s="26"/>
      <c r="R466" s="19" t="str">
        <v>COMMUNITY_ASSET_SUBMISSIONS_ENABLED for submissions</v>
      </c>
      <c r="S466" s="27" t="str">
        <v>Not Run</v>
      </c>
      <c r="T466" s="27"/>
      <c r="U466" s="27" t="str">
        <v>Updated</v>
      </c>
    </row>
    <row r="467" ht="64" customHeight="1">
      <c r="A467" s="25" t="str">
        <v>Not Run</v>
      </c>
      <c r="B467" s="24" t="str">
        <v>GO-MAN-466</v>
      </c>
      <c r="C467" s="24" t="str">
        <v>Asset Packs</v>
      </c>
      <c r="D467" s="24" t="str">
        <v>Prepare a pack in draft state. Compare owner workspace, admin review and public /asset-packs views.</v>
      </c>
      <c r="E467" s="24" t="str">
        <v>Only the appropriate owner/reviewer workflow is available. No unpublished or removed download leaks.</v>
      </c>
      <c r="F467" s="24" t="str">
        <v>Asset draft</v>
      </c>
      <c r="G467" s="24" t="str">
        <v>P1</v>
      </c>
      <c r="H467" s="24" t="str">
        <v>Contributor, admin or consumer named in the steps</v>
      </c>
      <c r="I467" s="24" t="str">
        <v>Use prepared QA records and separate accounts. Record the actual URL and build on Run Overview. Community asset submissions enabled for submission cases. Prepare versioned packs.</v>
      </c>
      <c r="J467" s="24" t="str">
        <v>Regression</v>
      </c>
      <c r="K467" s="26"/>
      <c r="L467" s="26"/>
      <c r="M467" s="26"/>
      <c r="N467" s="29"/>
      <c r="O467" s="26"/>
      <c r="P467" s="26"/>
      <c r="Q467" s="26"/>
      <c r="R467" s="24" t="str">
        <v>COMMUNITY_ASSET_SUBMISSIONS_ENABLED for submissions</v>
      </c>
      <c r="S467" s="28" t="str">
        <v>Not Run</v>
      </c>
      <c r="T467" s="28"/>
      <c r="U467" s="28" t="str">
        <v>Updated</v>
      </c>
    </row>
    <row r="468" ht="64" customHeight="1">
      <c r="A468" s="25" t="str">
        <v>Not Run</v>
      </c>
      <c r="B468" s="19" t="str">
        <v>GO-MAN-467</v>
      </c>
      <c r="C468" s="19" t="str">
        <v>Asset Packs</v>
      </c>
      <c r="D468" s="19" t="str">
        <v>Prepare a pack in submitted state. Compare owner workspace, admin review and public /asset-packs views.</v>
      </c>
      <c r="E468" s="19" t="str">
        <v>Only the appropriate owner/reviewer workflow is available. No unpublished or removed download leaks.</v>
      </c>
      <c r="F468" s="19" t="str">
        <v>Asset submitted</v>
      </c>
      <c r="G468" s="19" t="str">
        <v>P1</v>
      </c>
      <c r="H468" s="19" t="str">
        <v>Contributor, admin or consumer named in the steps</v>
      </c>
      <c r="I468" s="19" t="str">
        <v>Use prepared QA records and separate accounts. Record the actual URL and build on Run Overview. Community asset submissions enabled for submission cases. Prepare versioned packs.</v>
      </c>
      <c r="J468" s="19" t="str">
        <v>Regression</v>
      </c>
      <c r="K468" s="26"/>
      <c r="L468" s="26"/>
      <c r="M468" s="26"/>
      <c r="N468" s="29"/>
      <c r="O468" s="26"/>
      <c r="P468" s="26"/>
      <c r="Q468" s="26"/>
      <c r="R468" s="19" t="str">
        <v>COMMUNITY_ASSET_SUBMISSIONS_ENABLED for submissions</v>
      </c>
      <c r="S468" s="27" t="str">
        <v>Not Run</v>
      </c>
      <c r="T468" s="27"/>
      <c r="U468" s="27" t="str">
        <v>Updated</v>
      </c>
    </row>
    <row r="469" ht="64" customHeight="1">
      <c r="A469" s="25" t="str">
        <v>Not Run</v>
      </c>
      <c r="B469" s="24" t="str">
        <v>GO-MAN-468</v>
      </c>
      <c r="C469" s="24" t="str">
        <v>Asset Packs</v>
      </c>
      <c r="D469" s="24" t="str">
        <v>Prepare a pack in changes requested state. Compare owner workspace, admin review and public /asset-packs views.</v>
      </c>
      <c r="E469" s="24" t="str">
        <v>Only the appropriate owner/reviewer workflow is available. No unpublished or removed download leaks.</v>
      </c>
      <c r="F469" s="24" t="str">
        <v>Asset changes requested</v>
      </c>
      <c r="G469" s="24" t="str">
        <v>P1</v>
      </c>
      <c r="H469" s="24" t="str">
        <v>Contributor, admin or consumer named in the steps</v>
      </c>
      <c r="I469" s="24" t="str">
        <v>Use prepared QA records and separate accounts. Record the actual URL and build on Run Overview. Community asset submissions enabled for submission cases. Prepare versioned packs.</v>
      </c>
      <c r="J469" s="24" t="str">
        <v>Regression</v>
      </c>
      <c r="K469" s="26"/>
      <c r="L469" s="26"/>
      <c r="M469" s="26"/>
      <c r="N469" s="29"/>
      <c r="O469" s="26"/>
      <c r="P469" s="26"/>
      <c r="Q469" s="26"/>
      <c r="R469" s="24" t="str">
        <v>COMMUNITY_ASSET_SUBMISSIONS_ENABLED for submissions</v>
      </c>
      <c r="S469" s="28" t="str">
        <v>Not Run</v>
      </c>
      <c r="T469" s="28"/>
      <c r="U469" s="28" t="str">
        <v>Updated</v>
      </c>
    </row>
    <row r="470" ht="64" customHeight="1">
      <c r="A470" s="25" t="str">
        <v>Not Run</v>
      </c>
      <c r="B470" s="19" t="str">
        <v>GO-MAN-469</v>
      </c>
      <c r="C470" s="19" t="str">
        <v>Asset Packs</v>
      </c>
      <c r="D470" s="19" t="str">
        <v>Prepare a pack in approved state. Compare owner workspace, admin review and public /asset-packs views.</v>
      </c>
      <c r="E470" s="19" t="str">
        <v>Only the appropriate owner/reviewer workflow is available. No unpublished or removed download leaks.</v>
      </c>
      <c r="F470" s="19" t="str">
        <v>Asset approved</v>
      </c>
      <c r="G470" s="19" t="str">
        <v>P1</v>
      </c>
      <c r="H470" s="19" t="str">
        <v>Contributor, admin or consumer named in the steps</v>
      </c>
      <c r="I470" s="19" t="str">
        <v>Use prepared QA records and separate accounts. Record the actual URL and build on Run Overview. Community asset submissions enabled for submission cases. Prepare versioned packs.</v>
      </c>
      <c r="J470" s="19" t="str">
        <v>Regression</v>
      </c>
      <c r="K470" s="26"/>
      <c r="L470" s="26"/>
      <c r="M470" s="26"/>
      <c r="N470" s="29"/>
      <c r="O470" s="26"/>
      <c r="P470" s="26"/>
      <c r="Q470" s="26"/>
      <c r="R470" s="19" t="str">
        <v>COMMUNITY_ASSET_SUBMISSIONS_ENABLED for submissions</v>
      </c>
      <c r="S470" s="27" t="str">
        <v>Not Run</v>
      </c>
      <c r="T470" s="27"/>
      <c r="U470" s="27" t="str">
        <v>Updated</v>
      </c>
    </row>
    <row r="471" ht="64" customHeight="1">
      <c r="A471" s="25" t="str">
        <v>Not Run</v>
      </c>
      <c r="B471" s="24" t="str">
        <v>GO-MAN-470</v>
      </c>
      <c r="C471" s="24" t="str">
        <v>Asset Packs</v>
      </c>
      <c r="D471" s="24" t="str">
        <v>Prepare a pack in published state. Compare owner workspace, admin review and public /asset-packs views.</v>
      </c>
      <c r="E471" s="24" t="str">
        <v>Public visibility follows publication and entitlement. Legacy is clearly labeled.</v>
      </c>
      <c r="F471" s="24" t="str">
        <v>Asset published</v>
      </c>
      <c r="G471" s="24" t="str">
        <v>P1</v>
      </c>
      <c r="H471" s="24" t="str">
        <v>Contributor, admin or consumer named in the steps</v>
      </c>
      <c r="I471" s="24" t="str">
        <v>Use prepared QA records and separate accounts. Record the actual URL and build on Run Overview. Community asset submissions enabled for submission cases. Prepare versioned packs.</v>
      </c>
      <c r="J471" s="24" t="str">
        <v>Regression</v>
      </c>
      <c r="K471" s="26"/>
      <c r="L471" s="26"/>
      <c r="M471" s="26"/>
      <c r="N471" s="29"/>
      <c r="O471" s="26"/>
      <c r="P471" s="26"/>
      <c r="Q471" s="26"/>
      <c r="R471" s="24" t="str">
        <v>COMMUNITY_ASSET_SUBMISSIONS_ENABLED for submissions</v>
      </c>
      <c r="S471" s="28" t="str">
        <v>Not Run</v>
      </c>
      <c r="T471" s="28"/>
      <c r="U471" s="28" t="str">
        <v>Updated</v>
      </c>
    </row>
    <row r="472" ht="64" customHeight="1">
      <c r="A472" s="25" t="str">
        <v>Not Run</v>
      </c>
      <c r="B472" s="19" t="str">
        <v>GO-MAN-471</v>
      </c>
      <c r="C472" s="19" t="str">
        <v>Asset Packs</v>
      </c>
      <c r="D472" s="19" t="str">
        <v>Prepare a pack in legacy state. Compare owner workspace, admin review and public /asset-packs views.</v>
      </c>
      <c r="E472" s="19" t="str">
        <v>Public visibility follows publication and entitlement. Legacy is clearly labeled.</v>
      </c>
      <c r="F472" s="19" t="str">
        <v>Asset legacy</v>
      </c>
      <c r="G472" s="19" t="str">
        <v>P1</v>
      </c>
      <c r="H472" s="19" t="str">
        <v>Contributor, admin or consumer named in the steps</v>
      </c>
      <c r="I472" s="19" t="str">
        <v>Use prepared QA records and separate accounts. Record the actual URL and build on Run Overview. Community asset submissions enabled for submission cases. Prepare versioned packs.</v>
      </c>
      <c r="J472" s="19" t="str">
        <v>Regression</v>
      </c>
      <c r="K472" s="26"/>
      <c r="L472" s="26"/>
      <c r="M472" s="26"/>
      <c r="N472" s="29"/>
      <c r="O472" s="26"/>
      <c r="P472" s="26"/>
      <c r="Q472" s="26"/>
      <c r="R472" s="19" t="str">
        <v>COMMUNITY_ASSET_SUBMISSIONS_ENABLED for submissions</v>
      </c>
      <c r="S472" s="27" t="str">
        <v>Not Run</v>
      </c>
      <c r="T472" s="27"/>
      <c r="U472" s="27" t="str">
        <v>Updated</v>
      </c>
    </row>
    <row r="473" ht="64" customHeight="1">
      <c r="A473" s="25" t="str">
        <v>Not Run</v>
      </c>
      <c r="B473" s="24" t="str">
        <v>GO-MAN-472</v>
      </c>
      <c r="C473" s="24" t="str">
        <v>Asset Packs</v>
      </c>
      <c r="D473" s="24" t="str">
        <v>Prepare a pack in archived state. Compare owner workspace, admin review and public /asset-packs views.</v>
      </c>
      <c r="E473" s="24" t="str">
        <v>Only the appropriate owner/reviewer workflow is available. No unpublished or removed download leaks.</v>
      </c>
      <c r="F473" s="24" t="str">
        <v>Asset archived</v>
      </c>
      <c r="G473" s="24" t="str">
        <v>P1</v>
      </c>
      <c r="H473" s="24" t="str">
        <v>Contributor, admin or consumer named in the steps</v>
      </c>
      <c r="I473" s="24" t="str">
        <v>Use prepared QA records and separate accounts. Record the actual URL and build on Run Overview. Community asset submissions enabled for submission cases. Prepare versioned packs.</v>
      </c>
      <c r="J473" s="24" t="str">
        <v>Regression</v>
      </c>
      <c r="K473" s="26"/>
      <c r="L473" s="26"/>
      <c r="M473" s="26"/>
      <c r="N473" s="29"/>
      <c r="O473" s="26"/>
      <c r="P473" s="26"/>
      <c r="Q473" s="26"/>
      <c r="R473" s="24" t="str">
        <v>COMMUNITY_ASSET_SUBMISSIONS_ENABLED for submissions</v>
      </c>
      <c r="S473" s="28" t="str">
        <v>Not Run</v>
      </c>
      <c r="T473" s="28"/>
      <c r="U473" s="28" t="str">
        <v>Updated</v>
      </c>
    </row>
    <row r="474" ht="64" customHeight="1">
      <c r="A474" s="25" t="str">
        <v>Not Run</v>
      </c>
      <c r="B474" s="19" t="str">
        <v>GO-MAN-473</v>
      </c>
      <c r="C474" s="19" t="str">
        <v>Asset Packs</v>
      </c>
      <c r="D474" s="19" t="str">
        <v>Prepare a pack in removed state. Compare owner workspace, admin review and public /asset-packs views.</v>
      </c>
      <c r="E474" s="19" t="str">
        <v>Only the appropriate owner/reviewer workflow is available. No unpublished or removed download leaks.</v>
      </c>
      <c r="F474" s="19" t="str">
        <v>Asset removed</v>
      </c>
      <c r="G474" s="19" t="str">
        <v>P1</v>
      </c>
      <c r="H474" s="19" t="str">
        <v>Contributor, admin or consumer named in the steps</v>
      </c>
      <c r="I474" s="19" t="str">
        <v>Use prepared QA records and separate accounts. Record the actual URL and build on Run Overview. Community asset submissions enabled for submission cases. Prepare versioned packs.</v>
      </c>
      <c r="J474" s="19" t="str">
        <v>Regression</v>
      </c>
      <c r="K474" s="26"/>
      <c r="L474" s="26"/>
      <c r="M474" s="26"/>
      <c r="N474" s="29"/>
      <c r="O474" s="26"/>
      <c r="P474" s="26"/>
      <c r="Q474" s="26"/>
      <c r="R474" s="19" t="str">
        <v>COMMUNITY_ASSET_SUBMISSIONS_ENABLED for submissions</v>
      </c>
      <c r="S474" s="27" t="str">
        <v>Not Run</v>
      </c>
      <c r="T474" s="27"/>
      <c r="U474" s="27" t="str">
        <v>Updated</v>
      </c>
    </row>
    <row r="475" ht="64" customHeight="1">
      <c r="A475" s="25" t="str">
        <v>Not Run</v>
      </c>
      <c r="B475" s="24" t="str">
        <v>GO-MAN-474</v>
      </c>
      <c r="C475" s="24" t="str">
        <v>Asset Packs</v>
      </c>
      <c r="D475" s="24" t="str">
        <v>Submit a pack without its required preview image.</v>
      </c>
      <c r="E475" s="24" t="str">
        <v>Submission is rejected with a clear field error.</v>
      </c>
      <c r="F475" s="24" t="str">
        <v>Required preview image</v>
      </c>
      <c r="G475" s="24" t="str">
        <v>P1</v>
      </c>
      <c r="H475" s="24" t="str">
        <v>Contributor, admin or consumer named in the steps</v>
      </c>
      <c r="I475" s="24" t="str">
        <v>Use prepared QA records and separate accounts. Record the actual URL and build on Run Overview. Community asset submissions enabled for submission cases. Prepare versioned packs.</v>
      </c>
      <c r="J475" s="24" t="str">
        <v>Regression</v>
      </c>
      <c r="K475" s="26"/>
      <c r="L475" s="26"/>
      <c r="M475" s="26"/>
      <c r="N475" s="29"/>
      <c r="O475" s="26"/>
      <c r="P475" s="26"/>
      <c r="Q475" s="26"/>
      <c r="R475" s="24" t="str">
        <v>COMMUNITY_ASSET_SUBMISSIONS_ENABLED for submissions</v>
      </c>
      <c r="S475" s="28" t="str">
        <v>Not Run</v>
      </c>
      <c r="T475" s="28"/>
      <c r="U475" s="28" t="str">
        <v>Updated</v>
      </c>
    </row>
    <row r="476" ht="64" customHeight="1">
      <c r="A476" s="25" t="str">
        <v>Not Run</v>
      </c>
      <c r="B476" s="19" t="str">
        <v>GO-MAN-475</v>
      </c>
      <c r="C476" s="19" t="str">
        <v>Asset Packs</v>
      </c>
      <c r="D476" s="19" t="str">
        <v>Submit without a required file manifest, then with a valid one.</v>
      </c>
      <c r="E476" s="19" t="str">
        <v>Missing required metadata blocks review submission. Valid metadata persists.</v>
      </c>
      <c r="F476" s="19" t="str">
        <v>Required manifest</v>
      </c>
      <c r="G476" s="19" t="str">
        <v>P1</v>
      </c>
      <c r="H476" s="19" t="str">
        <v>Contributor, admin or consumer named in the steps</v>
      </c>
      <c r="I476" s="19" t="str">
        <v>Use prepared QA records and separate accounts. Record the actual URL and build on Run Overview. Community asset submissions enabled for submission cases. Prepare versioned packs.</v>
      </c>
      <c r="J476" s="19" t="str">
        <v>Regression</v>
      </c>
      <c r="K476" s="26"/>
      <c r="L476" s="26"/>
      <c r="M476" s="26"/>
      <c r="N476" s="29"/>
      <c r="O476" s="26"/>
      <c r="P476" s="26"/>
      <c r="Q476" s="26"/>
      <c r="R476" s="19" t="str">
        <v>COMMUNITY_ASSET_SUBMISSIONS_ENABLED for submissions</v>
      </c>
      <c r="S476" s="27" t="str">
        <v>Not Run</v>
      </c>
      <c r="T476" s="27"/>
      <c r="U476" s="27" t="str">
        <v>Updated</v>
      </c>
    </row>
    <row r="477" ht="64" customHeight="1">
      <c r="A477" s="25" t="str">
        <v>Not Run</v>
      </c>
      <c r="B477" s="24" t="str">
        <v>GO-MAN-476</v>
      </c>
      <c r="C477" s="24" t="str">
        <v>Asset Packs</v>
      </c>
      <c r="D477" s="24" t="str">
        <v>Save tool/engine/version compatibility fields and reload detail.</v>
      </c>
      <c r="E477" s="24" t="str">
        <v>Correct compatibility is retained and shown without fabricated support claims.</v>
      </c>
      <c r="F477" s="24" t="str">
        <v>Asset compatibility</v>
      </c>
      <c r="G477" s="24" t="str">
        <v>P1</v>
      </c>
      <c r="H477" s="24" t="str">
        <v>Contributor, admin or consumer named in the steps</v>
      </c>
      <c r="I477" s="24" t="str">
        <v>Use prepared QA records and separate accounts. Record the actual URL and build on Run Overview. Community asset submissions enabled for submission cases. Prepare versioned packs.</v>
      </c>
      <c r="J477" s="24" t="str">
        <v>Regression</v>
      </c>
      <c r="K477" s="26"/>
      <c r="L477" s="26"/>
      <c r="M477" s="26"/>
      <c r="N477" s="29"/>
      <c r="O477" s="26"/>
      <c r="P477" s="26"/>
      <c r="Q477" s="26"/>
      <c r="R477" s="24" t="str">
        <v>COMMUNITY_ASSET_SUBMISSIONS_ENABLED for submissions</v>
      </c>
      <c r="S477" s="28" t="str">
        <v>Not Run</v>
      </c>
      <c r="T477" s="28"/>
      <c r="U477" s="28" t="str">
        <v>Updated</v>
      </c>
    </row>
    <row r="478" ht="64" customHeight="1">
      <c r="A478" s="25" t="str">
        <v>Not Run</v>
      </c>
      <c r="B478" s="19" t="str">
        <v>GO-MAN-477</v>
      </c>
      <c r="C478" s="19" t="str">
        <v>Asset Packs</v>
      </c>
      <c r="D478" s="19" t="str">
        <v>Select a supported license and submit.</v>
      </c>
      <c r="E478" s="19" t="str">
        <v>License terms persist and appear on the permitted detail.</v>
      </c>
      <c r="F478" s="19" t="str">
        <v>Asset license</v>
      </c>
      <c r="G478" s="19" t="str">
        <v>P1</v>
      </c>
      <c r="H478" s="19" t="str">
        <v>Contributor, admin or consumer named in the steps</v>
      </c>
      <c r="I478" s="19" t="str">
        <v>Use prepared QA records and separate accounts. Record the actual URL and build on Run Overview. Community asset submissions enabled for submission cases. Prepare versioned packs.</v>
      </c>
      <c r="J478" s="19" t="str">
        <v>Regression</v>
      </c>
      <c r="K478" s="26"/>
      <c r="L478" s="26"/>
      <c r="M478" s="26"/>
      <c r="N478" s="29"/>
      <c r="O478" s="26"/>
      <c r="P478" s="26"/>
      <c r="Q478" s="26"/>
      <c r="R478" s="19" t="str">
        <v>COMMUNITY_ASSET_SUBMISSIONS_ENABLED for submissions</v>
      </c>
      <c r="S478" s="27" t="str">
        <v>Not Run</v>
      </c>
      <c r="T478" s="27"/>
      <c r="U478" s="27" t="str">
        <v>Updated</v>
      </c>
    </row>
    <row r="479" ht="64" customHeight="1">
      <c r="A479" s="25" t="str">
        <v>Not Run</v>
      </c>
      <c r="B479" s="24" t="str">
        <v>GO-MAN-478</v>
      </c>
      <c r="C479" s="24" t="str">
        <v>Asset Packs</v>
      </c>
      <c r="D479" s="24" t="str">
        <v>Save required attribution and compare the published detail.</v>
      </c>
      <c r="E479" s="24" t="str">
        <v>Attribution remains visible and matches the submitted version.</v>
      </c>
      <c r="F479" s="24" t="str">
        <v>Asset attribution</v>
      </c>
      <c r="G479" s="24" t="str">
        <v>P1</v>
      </c>
      <c r="H479" s="24" t="str">
        <v>Contributor, admin or consumer named in the steps</v>
      </c>
      <c r="I479" s="24" t="str">
        <v>Use prepared QA records and separate accounts. Record the actual URL and build on Run Overview. Community asset submissions enabled for submission cases. Prepare versioned packs.</v>
      </c>
      <c r="J479" s="24" t="str">
        <v>Regression</v>
      </c>
      <c r="K479" s="26"/>
      <c r="L479" s="26"/>
      <c r="M479" s="26"/>
      <c r="N479" s="29"/>
      <c r="O479" s="26"/>
      <c r="P479" s="26"/>
      <c r="Q479" s="26"/>
      <c r="R479" s="24" t="str">
        <v>COMMUNITY_ASSET_SUBMISSIONS_ENABLED for submissions</v>
      </c>
      <c r="S479" s="28" t="str">
        <v>Not Run</v>
      </c>
      <c r="T479" s="28"/>
      <c r="U479" s="28" t="str">
        <v>Updated</v>
      </c>
    </row>
    <row r="480" ht="64" customHeight="1">
      <c r="A480" s="25" t="str">
        <v>Not Run</v>
      </c>
      <c r="B480" s="19" t="str">
        <v>GO-MAN-479</v>
      </c>
      <c r="C480" s="19" t="str">
        <v>Asset Packs</v>
      </c>
      <c r="D480" s="19" t="str">
        <v>Prepare allowed and restricted commercial-use licenses.</v>
      </c>
      <c r="E480" s="19" t="str">
        <v>Public labels match the actual license choice.</v>
      </c>
      <c r="F480" s="19" t="str">
        <v>Commercial use label</v>
      </c>
      <c r="G480" s="19" t="str">
        <v>P1</v>
      </c>
      <c r="H480" s="19" t="str">
        <v>Contributor, admin or consumer named in the steps</v>
      </c>
      <c r="I480" s="19" t="str">
        <v>Use prepared QA records and separate accounts. Record the actual URL and build on Run Overview. Community asset submissions enabled for submission cases. Prepare versioned packs.</v>
      </c>
      <c r="J480" s="19" t="str">
        <v>Regression</v>
      </c>
      <c r="K480" s="26"/>
      <c r="L480" s="26"/>
      <c r="M480" s="26"/>
      <c r="N480" s="29"/>
      <c r="O480" s="26"/>
      <c r="P480" s="26"/>
      <c r="Q480" s="26"/>
      <c r="R480" s="19" t="str">
        <v>COMMUNITY_ASSET_SUBMISSIONS_ENABLED for submissions</v>
      </c>
      <c r="S480" s="27" t="str">
        <v>Not Run</v>
      </c>
      <c r="T480" s="27"/>
      <c r="U480" s="27" t="str">
        <v>Updated</v>
      </c>
    </row>
    <row r="481" ht="64" customHeight="1">
      <c r="A481" s="25" t="str">
        <v>Not Run</v>
      </c>
      <c r="B481" s="24" t="str">
        <v>GO-MAN-480</v>
      </c>
      <c r="C481" s="24" t="str">
        <v>Asset Packs</v>
      </c>
      <c r="D481" s="24" t="str">
        <v>Save a valid HTTPS download destination and inspect as unauthorized user, then open as entitled user.</v>
      </c>
      <c r="E481" s="24" t="str">
        <v>Unauthorized payloads omit the URL. Entitled open reaches the reviewed destination.</v>
      </c>
      <c r="F481" s="24" t="str">
        <v>Protected Drive asset link</v>
      </c>
      <c r="G481" s="24" t="str">
        <v>P1</v>
      </c>
      <c r="H481" s="24" t="str">
        <v>Contributor, admin or consumer named in the steps</v>
      </c>
      <c r="I481" s="24" t="str">
        <v>Use prepared QA records and separate accounts. Record the actual URL and build on Run Overview. Community asset submissions enabled for submission cases. Prepare versioned packs.</v>
      </c>
      <c r="J481" s="24" t="str">
        <v>Regression</v>
      </c>
      <c r="K481" s="26"/>
      <c r="L481" s="26"/>
      <c r="M481" s="26"/>
      <c r="N481" s="29"/>
      <c r="O481" s="26"/>
      <c r="P481" s="26"/>
      <c r="Q481" s="26"/>
      <c r="R481" s="24" t="str">
        <v>COMMUNITY_ASSET_SUBMISSIONS_ENABLED for submissions</v>
      </c>
      <c r="S481" s="28" t="str">
        <v>Not Run</v>
      </c>
      <c r="T481" s="28"/>
      <c r="U481" s="28" t="str">
        <v>Updated</v>
      </c>
    </row>
    <row r="482" ht="64" customHeight="1">
      <c r="A482" s="25" t="str">
        <v>Not Run</v>
      </c>
      <c r="B482" s="19" t="str">
        <v>GO-MAN-481</v>
      </c>
      <c r="C482" s="19" t="str">
        <v>Asset Packs</v>
      </c>
      <c r="D482" s="19" t="str">
        <v>Approve and separately publish a prepared submission as admin.</v>
      </c>
      <c r="E482" s="19" t="str">
        <v>Only reviewed publication exposes the active version. Author cannot self-approve.</v>
      </c>
      <c r="F482" s="19" t="str">
        <v>Admin asset review</v>
      </c>
      <c r="G482" s="19" t="str">
        <v>P0</v>
      </c>
      <c r="H482" s="19" t="str">
        <v>Contributor, admin or consumer named in the steps</v>
      </c>
      <c r="I482" s="19" t="str">
        <v>Use prepared QA records and separate accounts. Record the actual URL and build on Run Overview. Community asset submissions enabled for submission cases. Prepare versioned packs.</v>
      </c>
      <c r="J482" s="19" t="str">
        <v>Regression</v>
      </c>
      <c r="K482" s="26"/>
      <c r="L482" s="26"/>
      <c r="M482" s="26"/>
      <c r="N482" s="29"/>
      <c r="O482" s="26"/>
      <c r="P482" s="26"/>
      <c r="Q482" s="26"/>
      <c r="R482" s="19" t="str">
        <v>COMMUNITY_ASSET_SUBMISSIONS_ENABLED for submissions</v>
      </c>
      <c r="S482" s="27" t="str">
        <v>Not Run</v>
      </c>
      <c r="T482" s="27"/>
      <c r="U482" s="27" t="str">
        <v>Updated</v>
      </c>
    </row>
    <row r="483" ht="64" customHeight="1">
      <c r="A483" s="25" t="str">
        <v>Not Run</v>
      </c>
      <c r="B483" s="24" t="str">
        <v>GO-MAN-482</v>
      </c>
      <c r="C483" s="24" t="str">
        <v>Asset Packs</v>
      </c>
      <c r="D483" s="24" t="str">
        <v>As unrelated member attempt approval/publishing through API.</v>
      </c>
      <c r="E483" s="24" t="str">
        <v>The action is denied and state remains unchanged.</v>
      </c>
      <c r="F483" s="24" t="str">
        <v>Unauthorized asset approval</v>
      </c>
      <c r="G483" s="24" t="str">
        <v>P0</v>
      </c>
      <c r="H483" s="24" t="str">
        <v>Contributor, admin or consumer named in the steps</v>
      </c>
      <c r="I483" s="24" t="str">
        <v>Use prepared QA records and separate accounts. Record the actual URL and build on Run Overview. Community asset submissions enabled for submission cases. Prepare versioned packs.</v>
      </c>
      <c r="J483" s="24" t="str">
        <v>Regression</v>
      </c>
      <c r="K483" s="26"/>
      <c r="L483" s="26"/>
      <c r="M483" s="26"/>
      <c r="N483" s="29"/>
      <c r="O483" s="26"/>
      <c r="P483" s="26"/>
      <c r="Q483" s="26"/>
      <c r="R483" s="24" t="str">
        <v>COMMUNITY_ASSET_SUBMISSIONS_ENABLED for submissions</v>
      </c>
      <c r="S483" s="28" t="str">
        <v>Not Run</v>
      </c>
      <c r="T483" s="28"/>
      <c r="U483" s="28" t="str">
        <v>Updated</v>
      </c>
    </row>
    <row r="484" ht="64" customHeight="1">
      <c r="A484" s="25" t="str">
        <v>Not Run</v>
      </c>
      <c r="B484" s="19" t="str">
        <v>GO-MAN-483</v>
      </c>
      <c r="C484" s="19" t="str">
        <v>Asset Packs</v>
      </c>
      <c r="D484" s="19" t="str">
        <v>Submit a second version and open owner/reviewer workspaces.</v>
      </c>
      <c r="E484" s="19" t="str">
        <v>The pending version is distinct from the active published version.</v>
      </c>
      <c r="F484" s="19" t="str">
        <v>New asset version</v>
      </c>
      <c r="G484" s="19" t="str">
        <v>P1</v>
      </c>
      <c r="H484" s="19" t="str">
        <v>Contributor, admin or consumer named in the steps</v>
      </c>
      <c r="I484" s="19" t="str">
        <v>Use prepared QA records and separate accounts. Record the actual URL and build on Run Overview. Community asset submissions enabled for submission cases. Prepare versioned packs.</v>
      </c>
      <c r="J484" s="19" t="str">
        <v>Regression</v>
      </c>
      <c r="K484" s="26"/>
      <c r="L484" s="26"/>
      <c r="M484" s="26"/>
      <c r="N484" s="29"/>
      <c r="O484" s="26"/>
      <c r="P484" s="26"/>
      <c r="Q484" s="26"/>
      <c r="R484" s="19" t="str">
        <v>COMMUNITY_ASSET_SUBMISSIONS_ENABLED for submissions</v>
      </c>
      <c r="S484" s="27" t="str">
        <v>Not Run</v>
      </c>
      <c r="T484" s="27"/>
      <c r="U484" s="27" t="str">
        <v>Updated</v>
      </c>
    </row>
    <row r="485" ht="64" customHeight="1">
      <c r="A485" s="25" t="str">
        <v>Not Run</v>
      </c>
      <c r="B485" s="24" t="str">
        <v>GO-MAN-484</v>
      </c>
      <c r="C485" s="24" t="str">
        <v>Asset Packs</v>
      </c>
      <c r="D485" s="24" t="str">
        <v>With version 2 awaiting review, download the public pack.</v>
      </c>
      <c r="E485" s="24" t="str">
        <v>The previously approved version remains active until the update is approved/published.</v>
      </c>
      <c r="F485" s="24" t="str">
        <v>Published version survives pending edit</v>
      </c>
      <c r="G485" s="24" t="str">
        <v>P0</v>
      </c>
      <c r="H485" s="24" t="str">
        <v>Contributor, admin or consumer named in the steps</v>
      </c>
      <c r="I485" s="24" t="str">
        <v>Use prepared QA records and separate accounts. Record the actual URL and build on Run Overview. Community asset submissions enabled for submission cases. Prepare versioned packs.</v>
      </c>
      <c r="J485" s="24" t="str">
        <v>Regression</v>
      </c>
      <c r="K485" s="26"/>
      <c r="L485" s="26"/>
      <c r="M485" s="26"/>
      <c r="N485" s="29"/>
      <c r="O485" s="26"/>
      <c r="P485" s="26"/>
      <c r="Q485" s="26"/>
      <c r="R485" s="24" t="str">
        <v>COMMUNITY_ASSET_SUBMISSIONS_ENABLED for submissions</v>
      </c>
      <c r="S485" s="28" t="str">
        <v>Not Run</v>
      </c>
      <c r="T485" s="28"/>
      <c r="U485" s="28" t="str">
        <v>Updated</v>
      </c>
    </row>
    <row r="486" ht="64" customHeight="1">
      <c r="A486" s="25" t="str">
        <v>Not Run</v>
      </c>
      <c r="B486" s="19" t="str">
        <v>GO-MAN-485</v>
      </c>
      <c r="C486" s="19" t="str">
        <v>Asset Packs</v>
      </c>
      <c r="D486" s="19" t="str">
        <v>Open a published public pack as visitor.</v>
      </c>
      <c r="E486" s="19" t="str">
        <v>The explicitly public resource follows its configured open policy.</v>
      </c>
      <c r="F486" s="19" t="str">
        <v>Public pack open</v>
      </c>
      <c r="G486" s="19" t="str">
        <v>P1</v>
      </c>
      <c r="H486" s="19" t="str">
        <v>Contributor, admin or consumer named in the steps</v>
      </c>
      <c r="I486" s="19" t="str">
        <v>Use prepared QA records and separate accounts. Record the actual URL and build on Run Overview. Community asset submissions enabled for submission cases. Prepare versioned packs.</v>
      </c>
      <c r="J486" s="19" t="str">
        <v>Regression</v>
      </c>
      <c r="K486" s="26"/>
      <c r="L486" s="26"/>
      <c r="M486" s="26"/>
      <c r="N486" s="29"/>
      <c r="O486" s="26"/>
      <c r="P486" s="26"/>
      <c r="Q486" s="26"/>
      <c r="R486" s="19" t="str">
        <v>COMMUNITY_ASSET_SUBMISSIONS_ENABLED for submissions</v>
      </c>
      <c r="S486" s="27" t="str">
        <v>Not Run</v>
      </c>
      <c r="T486" s="27"/>
      <c r="U486" s="27" t="str">
        <v>Updated</v>
      </c>
    </row>
    <row r="487" ht="64" customHeight="1">
      <c r="A487" s="25" t="str">
        <v>Not Run</v>
      </c>
      <c r="B487" s="24" t="str">
        <v>GO-MAN-486</v>
      </c>
      <c r="C487" s="24" t="str">
        <v>Asset Packs</v>
      </c>
      <c r="D487" s="24" t="str">
        <v>Open a member pack as Community, then free user.</v>
      </c>
      <c r="E487" s="24" t="str">
        <v>Community opens it. Free user receives membership guidance without the URL.</v>
      </c>
      <c r="F487" s="24" t="str">
        <v>Community pack open</v>
      </c>
      <c r="G487" s="24" t="str">
        <v>P1</v>
      </c>
      <c r="H487" s="24" t="str">
        <v>Contributor, admin or consumer named in the steps</v>
      </c>
      <c r="I487" s="24" t="str">
        <v>Use prepared QA records and separate accounts. Record the actual URL and build on Run Overview. Community asset submissions enabled for submission cases. Prepare versioned packs.</v>
      </c>
      <c r="J487" s="24" t="str">
        <v>Regression</v>
      </c>
      <c r="K487" s="26"/>
      <c r="L487" s="26"/>
      <c r="M487" s="26"/>
      <c r="N487" s="29"/>
      <c r="O487" s="26"/>
      <c r="P487" s="26"/>
      <c r="Q487" s="26"/>
      <c r="R487" s="24" t="str">
        <v>COMMUNITY_ASSET_SUBMISSIONS_ENABLED for submissions</v>
      </c>
      <c r="S487" s="28" t="str">
        <v>Not Run</v>
      </c>
      <c r="T487" s="28"/>
      <c r="U487" s="28" t="str">
        <v>Updated</v>
      </c>
    </row>
    <row r="488" ht="64" customHeight="1">
      <c r="A488" s="25" t="str">
        <v>Not Run</v>
      </c>
      <c r="B488" s="19" t="str">
        <v>GO-MAN-487</v>
      </c>
      <c r="C488" s="19" t="str">
        <v>Asset Packs</v>
      </c>
      <c r="D488" s="19" t="str">
        <v>Open the same pack as Business.</v>
      </c>
      <c r="E488" s="19" t="str">
        <v>Inherited Community entitlement works.</v>
      </c>
      <c r="F488" s="19" t="str">
        <v>Business pack open</v>
      </c>
      <c r="G488" s="19" t="str">
        <v>P1</v>
      </c>
      <c r="H488" s="19" t="str">
        <v>Contributor, admin or consumer named in the steps</v>
      </c>
      <c r="I488" s="19" t="str">
        <v>Use prepared QA records and separate accounts. Record the actual URL and build on Run Overview. Community asset submissions enabled for submission cases. Prepare versioned packs.</v>
      </c>
      <c r="J488" s="19" t="str">
        <v>Regression</v>
      </c>
      <c r="K488" s="26"/>
      <c r="L488" s="26"/>
      <c r="M488" s="26"/>
      <c r="N488" s="29"/>
      <c r="O488" s="26"/>
      <c r="P488" s="26"/>
      <c r="Q488" s="26"/>
      <c r="R488" s="19" t="str">
        <v>COMMUNITY_ASSET_SUBMISSIONS_ENABLED for submissions</v>
      </c>
      <c r="S488" s="27" t="str">
        <v>Not Run</v>
      </c>
      <c r="T488" s="27"/>
      <c r="U488" s="27" t="str">
        <v>Updated</v>
      </c>
    </row>
    <row r="489" ht="64" customHeight="1">
      <c r="A489" s="25" t="str">
        <v>Not Run</v>
      </c>
      <c r="B489" s="24" t="str">
        <v>GO-MAN-488</v>
      </c>
      <c r="C489" s="24" t="str">
        <v>Asset Packs</v>
      </c>
      <c r="D489" s="24" t="str">
        <v>Grant pack A to a user and compare packs A and B.</v>
      </c>
      <c r="E489" s="24" t="str">
        <v>Only the explicit grant supplies additional access.</v>
      </c>
      <c r="F489" s="24" t="str">
        <v>Individual asset grant</v>
      </c>
      <c r="G489" s="24" t="str">
        <v>P1</v>
      </c>
      <c r="H489" s="24" t="str">
        <v>Contributor, admin or consumer named in the steps</v>
      </c>
      <c r="I489" s="24" t="str">
        <v>Use prepared QA records and separate accounts. Record the actual URL and build on Run Overview. Community asset submissions enabled for submission cases. Prepare versioned packs.</v>
      </c>
      <c r="J489" s="24" t="str">
        <v>Regression</v>
      </c>
      <c r="K489" s="26"/>
      <c r="L489" s="26"/>
      <c r="M489" s="26"/>
      <c r="N489" s="29"/>
      <c r="O489" s="26"/>
      <c r="P489" s="26"/>
      <c r="Q489" s="26"/>
      <c r="R489" s="24" t="str">
        <v>COMMUNITY_ASSET_SUBMISSIONS_ENABLED for submissions</v>
      </c>
      <c r="S489" s="28" t="str">
        <v>Not Run</v>
      </c>
      <c r="T489" s="28"/>
      <c r="U489" s="28" t="str">
        <v>Updated</v>
      </c>
    </row>
    <row r="490" ht="64" customHeight="1">
      <c r="A490" s="25" t="str">
        <v>Not Run</v>
      </c>
      <c r="B490" s="19" t="str">
        <v>GO-MAN-489</v>
      </c>
      <c r="C490" s="19" t="str">
        <v>Asset Packs</v>
      </c>
      <c r="D490" s="19" t="str">
        <v>Request /asset-packs/{id}/open as visitor, unrelated user and entitled user.</v>
      </c>
      <c r="E490" s="19" t="str">
        <v>Server authorization controls redirect and no unauthorized URL is disclosed.</v>
      </c>
      <c r="F490" s="19" t="str">
        <v>Protected asset open route</v>
      </c>
      <c r="G490" s="19" t="str">
        <v>P0</v>
      </c>
      <c r="H490" s="19" t="str">
        <v>Contributor, admin or consumer named in the steps</v>
      </c>
      <c r="I490" s="19" t="str">
        <v>Use prepared QA records and separate accounts. Record the actual URL and build on Run Overview. Community asset submissions enabled for submission cases. Prepare versioned packs.</v>
      </c>
      <c r="J490" s="19" t="str">
        <v>Smoke</v>
      </c>
      <c r="K490" s="26"/>
      <c r="L490" s="26"/>
      <c r="M490" s="26"/>
      <c r="N490" s="29"/>
      <c r="O490" s="26"/>
      <c r="P490" s="26"/>
      <c r="Q490" s="26"/>
      <c r="R490" s="19" t="str">
        <v>COMMUNITY_ASSET_SUBMISSIONS_ENABLED for submissions</v>
      </c>
      <c r="S490" s="27" t="str">
        <v>Not Run</v>
      </c>
      <c r="T490" s="27"/>
      <c r="U490" s="27" t="str">
        <v>Updated</v>
      </c>
    </row>
    <row r="491" ht="64" customHeight="1">
      <c r="A491" s="25" t="str">
        <v>Not Run</v>
      </c>
      <c r="B491" s="24" t="str">
        <v>GO-MAN-490</v>
      </c>
      <c r="C491" s="24" t="str">
        <v>Asset Packs</v>
      </c>
      <c r="D491" s="24" t="str">
        <v>Open a published QA pack with missing destination.</v>
      </c>
      <c r="E491" s="24" t="str">
        <v>A useful unavailable state replaces blank or undefined navigation.</v>
      </c>
      <c r="F491" s="24" t="str">
        <v>Missing asset destination</v>
      </c>
      <c r="G491" s="24" t="str">
        <v>P1</v>
      </c>
      <c r="H491" s="24" t="str">
        <v>Contributor, admin or consumer named in the steps</v>
      </c>
      <c r="I491" s="24" t="str">
        <v>Use prepared QA records and separate accounts. Record the actual URL and build on Run Overview. Community asset submissions enabled for submission cases. Prepare versioned packs.</v>
      </c>
      <c r="J491" s="24" t="str">
        <v>Regression</v>
      </c>
      <c r="K491" s="26"/>
      <c r="L491" s="26"/>
      <c r="M491" s="26"/>
      <c r="N491" s="29"/>
      <c r="O491" s="26"/>
      <c r="P491" s="26"/>
      <c r="Q491" s="26"/>
      <c r="R491" s="24" t="str">
        <v>COMMUNITY_ASSET_SUBMISSIONS_ENABLED for submissions</v>
      </c>
      <c r="S491" s="28" t="str">
        <v>Not Run</v>
      </c>
      <c r="T491" s="28"/>
      <c r="U491" s="28" t="str">
        <v>Updated</v>
      </c>
    </row>
    <row r="492" ht="64" customHeight="1">
      <c r="A492" s="25" t="str">
        <v>Not Run</v>
      </c>
      <c r="B492" s="19" t="str">
        <v>GO-MAN-491</v>
      </c>
      <c r="C492" s="19" t="str">
        <v>Asset Packs</v>
      </c>
      <c r="D492" s="19" t="str">
        <v>Open a published legacy pack.</v>
      </c>
      <c r="E492" s="19" t="str">
        <v>Legacy status and available review information are visible.</v>
      </c>
      <c r="F492" s="19" t="str">
        <v>Legacy label</v>
      </c>
      <c r="G492" s="19" t="str">
        <v>P1</v>
      </c>
      <c r="H492" s="19" t="str">
        <v>Contributor, admin or consumer named in the steps</v>
      </c>
      <c r="I492" s="19" t="str">
        <v>Use prepared QA records and separate accounts. Record the actual URL and build on Run Overview. Community asset submissions enabled for submission cases. Prepare versioned packs.</v>
      </c>
      <c r="J492" s="19" t="str">
        <v>Regression</v>
      </c>
      <c r="K492" s="26"/>
      <c r="L492" s="26"/>
      <c r="M492" s="26"/>
      <c r="N492" s="29"/>
      <c r="O492" s="26"/>
      <c r="P492" s="26"/>
      <c r="Q492" s="26"/>
      <c r="R492" s="19" t="str">
        <v>COMMUNITY_ASSET_SUBMISSIONS_ENABLED for submissions</v>
      </c>
      <c r="S492" s="27" t="str">
        <v>Not Run</v>
      </c>
      <c r="T492" s="27"/>
      <c r="U492" s="27" t="str">
        <v>Updated</v>
      </c>
    </row>
    <row r="493" ht="64" customHeight="1">
      <c r="A493" s="25" t="str">
        <v>Not Run</v>
      </c>
      <c r="B493" s="24" t="str">
        <v>GO-MAN-492</v>
      </c>
      <c r="C493" s="24" t="str">
        <v>Asset Packs</v>
      </c>
      <c r="D493" s="24" t="str">
        <v>As admin review a legacy pack before publication.</v>
      </c>
      <c r="E493" s="24" t="str">
        <v>Required publication/review evidence is captured before the pack is used for official contribution eligibility.</v>
      </c>
      <c r="F493" s="24" t="str">
        <v>Legacy review evidence</v>
      </c>
      <c r="G493" s="24" t="str">
        <v>P0</v>
      </c>
      <c r="H493" s="24" t="str">
        <v>Contributor, admin or consumer named in the steps</v>
      </c>
      <c r="I493" s="24" t="str">
        <v>Use prepared QA records and separate accounts. Record the actual URL and build on Run Overview. Community asset submissions enabled for submission cases. Prepare versioned packs.</v>
      </c>
      <c r="J493" s="24" t="str">
        <v>Regression</v>
      </c>
      <c r="K493" s="26"/>
      <c r="L493" s="26"/>
      <c r="M493" s="26"/>
      <c r="N493" s="29"/>
      <c r="O493" s="26"/>
      <c r="P493" s="26"/>
      <c r="Q493" s="26"/>
      <c r="R493" s="24" t="str">
        <v>COMMUNITY_ASSET_SUBMISSIONS_ENABLED for submissions</v>
      </c>
      <c r="S493" s="28" t="str">
        <v>Not Run</v>
      </c>
      <c r="T493" s="28"/>
      <c r="U493" s="28" t="str">
        <v>Updated</v>
      </c>
    </row>
    <row r="494" ht="64" customHeight="1">
      <c r="A494" s="25" t="str">
        <v>Not Run</v>
      </c>
      <c r="B494" s="19" t="str">
        <v>GO-MAN-493</v>
      </c>
      <c r="C494" s="19" t="str">
        <v>Asset Packs</v>
      </c>
      <c r="D494" s="19" t="str">
        <v>Open an existing prepared legacy resource and make no edits. Compare saved identity and content.</v>
      </c>
      <c r="E494" s="19" t="str">
        <v>Read-only browsing does not rewrite its record or change its stable ID.</v>
      </c>
      <c r="F494" s="19" t="str">
        <v>Legacy resource preservation</v>
      </c>
      <c r="G494" s="19" t="str">
        <v>P1</v>
      </c>
      <c r="H494" s="19" t="str">
        <v>Contributor, admin or consumer named in the steps</v>
      </c>
      <c r="I494" s="19" t="str">
        <v>Use prepared QA records and separate accounts. Record the actual URL and build on Run Overview. Community asset submissions enabled for submission cases. Prepare versioned packs.</v>
      </c>
      <c r="J494" s="19" t="str">
        <v>Regression</v>
      </c>
      <c r="K494" s="26"/>
      <c r="L494" s="26"/>
      <c r="M494" s="26"/>
      <c r="N494" s="29"/>
      <c r="O494" s="26"/>
      <c r="P494" s="26"/>
      <c r="Q494" s="26"/>
      <c r="R494" s="19" t="str">
        <v>COMMUNITY_ASSET_SUBMISSIONS_ENABLED for submissions</v>
      </c>
      <c r="S494" s="27" t="str">
        <v>Not Run</v>
      </c>
      <c r="T494" s="27"/>
      <c r="U494" s="27" t="str">
        <v>Updated</v>
      </c>
    </row>
    <row r="495" ht="60" customHeight="1">
      <c r="A495" s="25" t="str">
        <v>Not Run</v>
      </c>
      <c r="B495" s="24" t="str">
        <v>GO-MAN-494</v>
      </c>
      <c r="C495" s="24" t="str">
        <v>Visual &amp; Accessibility</v>
      </c>
      <c r="D495" s="24" t="str">
        <v>At 390×844, check /, /membership, /projects, /profile, /matchmaking and /merch.</v>
      </c>
      <c r="E495" s="24" t="str">
        <v>No page overflow, clipped actions or overlapping text. Capture a screenshot and log polish ideas separately.</v>
      </c>
      <c r="F495" s="24" t="str">
        <v>390px mobile viewport</v>
      </c>
      <c r="G495" s="24" t="str">
        <v>P1</v>
      </c>
      <c r="H495" s="24" t="str">
        <v>Tester using relevant account</v>
      </c>
      <c r="I495" s="24" t="str">
        <v>Use prepared QA records and separate accounts. Record the actual URL and build on Run Overview. Capture the current appearance before cosmetic changes.</v>
      </c>
      <c r="J495" s="24" t="str">
        <v>Visual</v>
      </c>
      <c r="K495" s="26"/>
      <c r="L495" s="26"/>
      <c r="M495" s="26"/>
      <c r="N495" s="29"/>
      <c r="O495" s="26"/>
      <c r="P495" s="26"/>
      <c r="Q495" s="26"/>
      <c r="R495" s="24" t="str">
        <v>Core</v>
      </c>
      <c r="S495" s="28" t="str">
        <v>Not Run</v>
      </c>
      <c r="T495" s="28"/>
      <c r="U495" s="28" t="str">
        <v>Updated</v>
      </c>
    </row>
    <row r="496" ht="60" customHeight="1">
      <c r="A496" s="25" t="str">
        <v>Not Run</v>
      </c>
      <c r="B496" s="19" t="str">
        <v>GO-MAN-495</v>
      </c>
      <c r="C496" s="19" t="str">
        <v>Visual &amp; Accessibility</v>
      </c>
      <c r="D496" s="19" t="str">
        <v>At 768×1024, check /, /membership, /projects, /profile, /matchmaking and /merch.</v>
      </c>
      <c r="E496" s="19" t="str">
        <v>No page overflow, clipped actions or overlapping text. Capture a screenshot and log polish ideas separately.</v>
      </c>
      <c r="F496" s="19" t="str">
        <v>Tablet viewport</v>
      </c>
      <c r="G496" s="19" t="str">
        <v>P1</v>
      </c>
      <c r="H496" s="19" t="str">
        <v>Tester using relevant account</v>
      </c>
      <c r="I496" s="19" t="str">
        <v>Use prepared QA records and separate accounts. Record the actual URL and build on Run Overview. Capture the current appearance before cosmetic changes.</v>
      </c>
      <c r="J496" s="19" t="str">
        <v>Visual</v>
      </c>
      <c r="K496" s="26"/>
      <c r="L496" s="26"/>
      <c r="M496" s="26"/>
      <c r="N496" s="29"/>
      <c r="O496" s="26"/>
      <c r="P496" s="26"/>
      <c r="Q496" s="26"/>
      <c r="R496" s="19" t="str">
        <v>Core</v>
      </c>
      <c r="S496" s="27" t="str">
        <v>Not Run</v>
      </c>
      <c r="T496" s="27"/>
      <c r="U496" s="27" t="str">
        <v>Updated</v>
      </c>
    </row>
    <row r="497" ht="60" customHeight="1">
      <c r="A497" s="25" t="str">
        <v>Not Run</v>
      </c>
      <c r="B497" s="24" t="str">
        <v>GO-MAN-496</v>
      </c>
      <c r="C497" s="24" t="str">
        <v>Visual &amp; Accessibility</v>
      </c>
      <c r="D497" s="24" t="str">
        <v>At 1440×900, check /, /membership, /projects, /profile, /matchmaking and /merch.</v>
      </c>
      <c r="E497" s="24" t="str">
        <v>No page overflow, clipped actions or overlapping text. Capture a screenshot and log polish ideas separately.</v>
      </c>
      <c r="F497" s="24" t="str">
        <v>Desktop viewport</v>
      </c>
      <c r="G497" s="24" t="str">
        <v>P1</v>
      </c>
      <c r="H497" s="24" t="str">
        <v>Tester using relevant account</v>
      </c>
      <c r="I497" s="24" t="str">
        <v>Use prepared QA records and separate accounts. Record the actual URL and build on Run Overview. Capture the current appearance before cosmetic changes.</v>
      </c>
      <c r="J497" s="24" t="str">
        <v>Visual</v>
      </c>
      <c r="K497" s="26"/>
      <c r="L497" s="26"/>
      <c r="M497" s="26"/>
      <c r="N497" s="29"/>
      <c r="O497" s="26"/>
      <c r="P497" s="26"/>
      <c r="Q497" s="26"/>
      <c r="R497" s="24" t="str">
        <v>Core</v>
      </c>
      <c r="S497" s="28" t="str">
        <v>Not Run</v>
      </c>
      <c r="T497" s="28"/>
      <c r="U497" s="28" t="str">
        <v>Updated</v>
      </c>
    </row>
    <row r="498" ht="60" customHeight="1">
      <c r="A498" s="25" t="str">
        <v>Not Run</v>
      </c>
      <c r="B498" s="19" t="str">
        <v>GO-MAN-497</v>
      </c>
      <c r="C498" s="19" t="str">
        <v>Visual &amp; Accessibility</v>
      </c>
      <c r="D498" s="19" t="str">
        <v>At 1920×1080, check /, /membership, /projects, /profile, /matchmaking and /merch.</v>
      </c>
      <c r="E498" s="19" t="str">
        <v>No page overflow, clipped actions or overlapping text. Capture a screenshot and log polish ideas separately.</v>
      </c>
      <c r="F498" s="19" t="str">
        <v>Wide desktop viewport</v>
      </c>
      <c r="G498" s="19" t="str">
        <v>P2</v>
      </c>
      <c r="H498" s="19" t="str">
        <v>Tester using relevant account</v>
      </c>
      <c r="I498" s="19" t="str">
        <v>Use prepared QA records and separate accounts. Record the actual URL and build on Run Overview. Capture the current appearance before cosmetic changes.</v>
      </c>
      <c r="J498" s="19" t="str">
        <v>Visual</v>
      </c>
      <c r="K498" s="26"/>
      <c r="L498" s="26"/>
      <c r="M498" s="26"/>
      <c r="N498" s="29"/>
      <c r="O498" s="26"/>
      <c r="P498" s="26"/>
      <c r="Q498" s="26"/>
      <c r="R498" s="19" t="str">
        <v>Core</v>
      </c>
      <c r="S498" s="27" t="str">
        <v>Not Run</v>
      </c>
      <c r="T498" s="27"/>
      <c r="U498" s="27" t="str">
        <v>Updated</v>
      </c>
    </row>
    <row r="499" ht="60" customHeight="1">
      <c r="A499" s="25" t="str">
        <v>Not Run</v>
      </c>
      <c r="B499" s="24" t="str">
        <v>GO-MAN-498</v>
      </c>
      <c r="C499" s="24" t="str">
        <v>Visual &amp; Accessibility</v>
      </c>
      <c r="D499" s="24" t="str">
        <v>At desktop width, zoom to 200% and complete one main form and navigation flow.</v>
      </c>
      <c r="E499" s="24" t="str">
        <v>Content reflows and important controls remain reachable.</v>
      </c>
      <c r="F499" s="24" t="str">
        <v>200% browser zoom</v>
      </c>
      <c r="G499" s="24" t="str">
        <v>P1</v>
      </c>
      <c r="H499" s="24" t="str">
        <v>Tester using relevant account</v>
      </c>
      <c r="I499" s="24" t="str">
        <v>Use prepared QA records and separate accounts. Record the actual URL and build on Run Overview. Capture the current appearance before cosmetic changes.</v>
      </c>
      <c r="J499" s="24" t="str">
        <v>Visual</v>
      </c>
      <c r="K499" s="26"/>
      <c r="L499" s="26"/>
      <c r="M499" s="26"/>
      <c r="N499" s="29"/>
      <c r="O499" s="26"/>
      <c r="P499" s="26"/>
      <c r="Q499" s="26"/>
      <c r="R499" s="24" t="str">
        <v>Core</v>
      </c>
      <c r="S499" s="28" t="str">
        <v>Not Run</v>
      </c>
      <c r="T499" s="28"/>
      <c r="U499" s="28" t="str">
        <v>Updated</v>
      </c>
    </row>
    <row r="500" ht="60" customHeight="1">
      <c r="A500" s="25" t="str">
        <v>Not Run</v>
      </c>
      <c r="B500" s="19" t="str">
        <v>GO-MAN-499</v>
      </c>
      <c r="C500" s="19" t="str">
        <v>Visual &amp; Accessibility</v>
      </c>
      <c r="D500" s="19" t="str">
        <v>Use prepared long titles, names and descriptions in cards, tables and detail pages.</v>
      </c>
      <c r="E500" s="19" t="str">
        <v>Text wraps without hiding actions or breaking page width.</v>
      </c>
      <c r="F500" s="19" t="str">
        <v>Long text</v>
      </c>
      <c r="G500" s="19" t="str">
        <v>P2</v>
      </c>
      <c r="H500" s="19" t="str">
        <v>Tester using relevant account</v>
      </c>
      <c r="I500" s="19" t="str">
        <v>Use prepared QA records and separate accounts. Record the actual URL and build on Run Overview. Capture the current appearance before cosmetic changes.</v>
      </c>
      <c r="J500" s="19" t="str">
        <v>Visual</v>
      </c>
      <c r="K500" s="26"/>
      <c r="L500" s="26"/>
      <c r="M500" s="26"/>
      <c r="N500" s="29"/>
      <c r="O500" s="26"/>
      <c r="P500" s="26"/>
      <c r="Q500" s="26"/>
      <c r="R500" s="19" t="str">
        <v>Core</v>
      </c>
      <c r="S500" s="27" t="str">
        <v>Not Run</v>
      </c>
      <c r="T500" s="27"/>
      <c r="U500" s="27" t="str">
        <v>Updated</v>
      </c>
    </row>
    <row r="501" ht="60" customHeight="1">
      <c r="A501" s="25" t="str">
        <v>Not Run</v>
      </c>
      <c r="B501" s="24" t="str">
        <v>GO-MAN-500</v>
      </c>
      <c r="C501" s="24" t="str">
        <v>Visual &amp; Accessibility</v>
      </c>
      <c r="D501" s="24" t="str">
        <v>Open empty project, mentorship, resource and notification views.</v>
      </c>
      <c r="E501" s="24" t="str">
        <v>Each state explains the absence and provides a relevant next step.</v>
      </c>
      <c r="F501" s="24" t="str">
        <v>Empty states</v>
      </c>
      <c r="G501" s="24" t="str">
        <v>P2</v>
      </c>
      <c r="H501" s="24" t="str">
        <v>Tester using relevant account</v>
      </c>
      <c r="I501" s="24" t="str">
        <v>Use prepared QA records and separate accounts. Record the actual URL and build on Run Overview. Capture the current appearance before cosmetic changes.</v>
      </c>
      <c r="J501" s="24" t="str">
        <v>Visual</v>
      </c>
      <c r="K501" s="26"/>
      <c r="L501" s="26"/>
      <c r="M501" s="26"/>
      <c r="N501" s="29"/>
      <c r="O501" s="26"/>
      <c r="P501" s="26"/>
      <c r="Q501" s="26"/>
      <c r="R501" s="24" t="str">
        <v>Core</v>
      </c>
      <c r="S501" s="28" t="str">
        <v>Not Run</v>
      </c>
      <c r="T501" s="28"/>
      <c r="U501" s="28" t="str">
        <v>Updated</v>
      </c>
    </row>
    <row r="502" ht="60" customHeight="1">
      <c r="A502" s="25" t="str">
        <v>Not Run</v>
      </c>
      <c r="B502" s="19" t="str">
        <v>GO-MAN-501</v>
      </c>
      <c r="C502" s="19" t="str">
        <v>Visual &amp; Accessibility</v>
      </c>
      <c r="D502" s="19" t="str">
        <v>Open paid-only actions as free and expired users.</v>
      </c>
      <c r="E502" s="19" t="str">
        <v>The restriction and applicable next action are explicit.</v>
      </c>
      <c r="F502" s="19" t="str">
        <v>Locked states</v>
      </c>
      <c r="G502" s="19" t="str">
        <v>P1</v>
      </c>
      <c r="H502" s="19" t="str">
        <v>Tester using relevant account</v>
      </c>
      <c r="I502" s="19" t="str">
        <v>Use prepared QA records and separate accounts. Record the actual URL and build on Run Overview. Capture the current appearance before cosmetic changes.</v>
      </c>
      <c r="J502" s="19" t="str">
        <v>Visual</v>
      </c>
      <c r="K502" s="26"/>
      <c r="L502" s="26"/>
      <c r="M502" s="26"/>
      <c r="N502" s="29"/>
      <c r="O502" s="26"/>
      <c r="P502" s="26"/>
      <c r="Q502" s="26"/>
      <c r="R502" s="19" t="str">
        <v>Core</v>
      </c>
      <c r="S502" s="27" t="str">
        <v>Not Run</v>
      </c>
      <c r="T502" s="27"/>
      <c r="U502" s="27" t="str">
        <v>Updated</v>
      </c>
    </row>
    <row r="503" ht="60" customHeight="1">
      <c r="A503" s="25" t="str">
        <v>Not Run</v>
      </c>
      <c r="B503" s="24" t="str">
        <v>GO-MAN-502</v>
      </c>
      <c r="C503" s="24" t="str">
        <v>Visual &amp; Accessibility</v>
      </c>
      <c r="D503" s="24" t="str">
        <v>Throttle network while opening matchmaking, course, resources and profile.</v>
      </c>
      <c r="E503" s="24" t="str">
        <v>A pending state appears without flashing private content or premature success.</v>
      </c>
      <c r="F503" s="24" t="str">
        <v>Loading states</v>
      </c>
      <c r="G503" s="24" t="str">
        <v>P1</v>
      </c>
      <c r="H503" s="24" t="str">
        <v>Tester using relevant account</v>
      </c>
      <c r="I503" s="24" t="str">
        <v>Use prepared QA records and separate accounts. Record the actual URL and build on Run Overview. Capture the current appearance before cosmetic changes.</v>
      </c>
      <c r="J503" s="24" t="str">
        <v>Visual</v>
      </c>
      <c r="K503" s="26"/>
      <c r="L503" s="26"/>
      <c r="M503" s="26"/>
      <c r="N503" s="29"/>
      <c r="O503" s="26"/>
      <c r="P503" s="26"/>
      <c r="Q503" s="26"/>
      <c r="R503" s="24" t="str">
        <v>Core</v>
      </c>
      <c r="S503" s="28" t="str">
        <v>Not Run</v>
      </c>
      <c r="T503" s="28"/>
      <c r="U503" s="28" t="str">
        <v>Updated</v>
      </c>
    </row>
    <row r="504" ht="60" customHeight="1">
      <c r="A504" s="25" t="str">
        <v>Not Run</v>
      </c>
      <c r="B504" s="19" t="str">
        <v>GO-MAN-503</v>
      </c>
      <c r="C504" s="19" t="str">
        <v>Visual &amp; Accessibility</v>
      </c>
      <c r="D504" s="19" t="str">
        <v>Interrupt a QA request on those pages, restore network and retry.</v>
      </c>
      <c r="E504" s="19" t="str">
        <v>Actionable feedback appears and retry does not duplicate saved records.</v>
      </c>
      <c r="F504" s="19" t="str">
        <v>Error states</v>
      </c>
      <c r="G504" s="19" t="str">
        <v>P1</v>
      </c>
      <c r="H504" s="19" t="str">
        <v>Tester using relevant account</v>
      </c>
      <c r="I504" s="19" t="str">
        <v>Use prepared QA records and separate accounts. Record the actual URL and build on Run Overview. Capture the current appearance before cosmetic changes.</v>
      </c>
      <c r="J504" s="19" t="str">
        <v>Visual</v>
      </c>
      <c r="K504" s="26"/>
      <c r="L504" s="26"/>
      <c r="M504" s="26"/>
      <c r="N504" s="29"/>
      <c r="O504" s="26"/>
      <c r="P504" s="26"/>
      <c r="Q504" s="26"/>
      <c r="R504" s="19" t="str">
        <v>Core</v>
      </c>
      <c r="S504" s="27" t="str">
        <v>Not Run</v>
      </c>
      <c r="T504" s="27"/>
      <c r="U504" s="27" t="str">
        <v>Updated</v>
      </c>
    </row>
    <row r="505" ht="60" customHeight="1">
      <c r="A505" s="25" t="str">
        <v>Not Run</v>
      </c>
      <c r="B505" s="24" t="str">
        <v>GO-MAN-504</v>
      </c>
      <c r="C505" s="24" t="str">
        <v>Visual &amp; Accessibility</v>
      </c>
      <c r="D505" s="24" t="str">
        <v>Open and cancel project delete, archive and membership cancellation dialogs.</v>
      </c>
      <c r="E505" s="24" t="str">
        <v>Consequences are clear. Cancel does not mutate records.</v>
      </c>
      <c r="F505" s="24" t="str">
        <v>Confirmation dialogs</v>
      </c>
      <c r="G505" s="24" t="str">
        <v>P1</v>
      </c>
      <c r="H505" s="24" t="str">
        <v>Tester using relevant account</v>
      </c>
      <c r="I505" s="24" t="str">
        <v>Use prepared QA records and separate accounts. Record the actual URL and build on Run Overview. Capture the current appearance before cosmetic changes.</v>
      </c>
      <c r="J505" s="24" t="str">
        <v>Visual</v>
      </c>
      <c r="K505" s="26"/>
      <c r="L505" s="26"/>
      <c r="M505" s="26"/>
      <c r="N505" s="29"/>
      <c r="O505" s="26"/>
      <c r="P505" s="26"/>
      <c r="Q505" s="26"/>
      <c r="R505" s="24" t="str">
        <v>Core</v>
      </c>
      <c r="S505" s="28" t="str">
        <v>Not Run</v>
      </c>
      <c r="T505" s="28"/>
      <c r="U505" s="28" t="str">
        <v>Updated</v>
      </c>
    </row>
    <row r="506" ht="60" customHeight="1">
      <c r="A506" s="25" t="str">
        <v>Not Run</v>
      </c>
      <c r="B506" s="19" t="str">
        <v>GO-MAN-505</v>
      </c>
      <c r="C506" s="19" t="str">
        <v>Visual &amp; Accessibility</v>
      </c>
      <c r="D506" s="19" t="str">
        <v>Open mobile navigation and supported panel drawers, scroll and dismiss.</v>
      </c>
      <c r="E506" s="19" t="str">
        <v>Actions remain reachable and background scrolling/focus behave coherently.</v>
      </c>
      <c r="F506" s="19" t="str">
        <v>Drawers</v>
      </c>
      <c r="G506" s="19" t="str">
        <v>P1</v>
      </c>
      <c r="H506" s="19" t="str">
        <v>Tester using relevant account</v>
      </c>
      <c r="I506" s="19" t="str">
        <v>Use prepared QA records and separate accounts. Record the actual URL and build on Run Overview. Capture the current appearance before cosmetic changes.</v>
      </c>
      <c r="J506" s="19" t="str">
        <v>Visual</v>
      </c>
      <c r="K506" s="26"/>
      <c r="L506" s="26"/>
      <c r="M506" s="26"/>
      <c r="N506" s="29"/>
      <c r="O506" s="26"/>
      <c r="P506" s="26"/>
      <c r="Q506" s="26"/>
      <c r="R506" s="19" t="str">
        <v>Core</v>
      </c>
      <c r="S506" s="27" t="str">
        <v>Not Run</v>
      </c>
      <c r="T506" s="27"/>
      <c r="U506" s="27" t="str">
        <v>Updated</v>
      </c>
    </row>
    <row r="507" ht="60" customHeight="1">
      <c r="A507" s="25" t="str">
        <v>Not Run</v>
      </c>
      <c r="B507" s="24" t="str">
        <v>GO-MAN-506</v>
      </c>
      <c r="C507" s="24" t="str">
        <v>Visual &amp; Accessibility</v>
      </c>
      <c r="D507" s="24" t="str">
        <v>Filter long admin users/projects/support tables at narrow and desktop widths.</v>
      </c>
      <c r="E507" s="24" t="str">
        <v>Headers, identifiers and actions remain usable without hiding critical controls.</v>
      </c>
      <c r="F507" s="24" t="str">
        <v>Admin table usability</v>
      </c>
      <c r="G507" s="24" t="str">
        <v>P0</v>
      </c>
      <c r="H507" s="24" t="str">
        <v>Tester using relevant account</v>
      </c>
      <c r="I507" s="24" t="str">
        <v>Use prepared QA records and separate accounts. Record the actual URL and build on Run Overview. Capture the current appearance before cosmetic changes.</v>
      </c>
      <c r="J507" s="24" t="str">
        <v>Visual</v>
      </c>
      <c r="K507" s="26"/>
      <c r="L507" s="26"/>
      <c r="M507" s="26"/>
      <c r="N507" s="29"/>
      <c r="O507" s="26"/>
      <c r="P507" s="26"/>
      <c r="Q507" s="26"/>
      <c r="R507" s="24" t="str">
        <v>Core</v>
      </c>
      <c r="S507" s="28" t="str">
        <v>Not Run</v>
      </c>
      <c r="T507" s="28"/>
      <c r="U507" s="28" t="str">
        <v>Updated</v>
      </c>
    </row>
    <row r="508" ht="60" customHeight="1">
      <c r="A508" s="25" t="str">
        <v>Not Run</v>
      </c>
      <c r="B508" s="19" t="str">
        <v>GO-MAN-507</v>
      </c>
      <c r="C508" s="19" t="str">
        <v>Visual &amp; Accessibility</v>
      </c>
      <c r="D508" s="19" t="str">
        <v>Inspect free, locked, available and unavailable cards in supported themes.</v>
      </c>
      <c r="E508" s="19" t="str">
        <v>Labels and actions reflect the actual state with consistent readable structure.</v>
      </c>
      <c r="F508" s="19" t="str">
        <v>Product cards</v>
      </c>
      <c r="G508" s="19" t="str">
        <v>P1</v>
      </c>
      <c r="H508" s="19" t="str">
        <v>Tester using relevant account</v>
      </c>
      <c r="I508" s="19" t="str">
        <v>Use prepared QA records and separate accounts. Record the actual URL and build on Run Overview. Capture the current appearance before cosmetic changes.</v>
      </c>
      <c r="J508" s="19" t="str">
        <v>Visual</v>
      </c>
      <c r="K508" s="26"/>
      <c r="L508" s="26"/>
      <c r="M508" s="26"/>
      <c r="N508" s="29"/>
      <c r="O508" s="26"/>
      <c r="P508" s="26"/>
      <c r="Q508" s="26"/>
      <c r="R508" s="19" t="str">
        <v>Core</v>
      </c>
      <c r="S508" s="27" t="str">
        <v>Not Run</v>
      </c>
      <c r="T508" s="27"/>
      <c r="U508" s="27" t="str">
        <v>Updated</v>
      </c>
    </row>
    <row r="509" ht="60" customHeight="1">
      <c r="A509" s="25" t="str">
        <v>Not Run</v>
      </c>
      <c r="B509" s="24" t="str">
        <v>GO-MAN-508</v>
      </c>
      <c r="C509" s="24" t="str">
        <v>Visual &amp; Accessibility</v>
      </c>
      <c r="D509" s="24" t="str">
        <v>Inspect the notification panel at mobile and desktop widths with representative QA data.</v>
      </c>
      <c r="E509" s="24" t="str">
        <v>No clipped labels, overlapping controls or unreadable states. Capture any cosmetic observations in UX Backlog.</v>
      </c>
      <c r="F509" s="24" t="str">
        <v>Notification panel visual baseline</v>
      </c>
      <c r="G509" s="24" t="str">
        <v>P2</v>
      </c>
      <c r="H509" s="24" t="str">
        <v>Tester using relevant account</v>
      </c>
      <c r="I509" s="24" t="str">
        <v>Use prepared QA records and separate accounts. Record the actual URL and build on Run Overview. Capture the current appearance before cosmetic changes.</v>
      </c>
      <c r="J509" s="24" t="str">
        <v>Visual</v>
      </c>
      <c r="K509" s="26"/>
      <c r="L509" s="26"/>
      <c r="M509" s="26"/>
      <c r="N509" s="29"/>
      <c r="O509" s="26"/>
      <c r="P509" s="26"/>
      <c r="Q509" s="26"/>
      <c r="R509" s="24" t="str">
        <v>Core</v>
      </c>
      <c r="S509" s="28" t="str">
        <v>Not Run</v>
      </c>
      <c r="T509" s="28"/>
      <c r="U509" s="28" t="str">
        <v>Updated</v>
      </c>
    </row>
    <row r="510" ht="60" customHeight="1">
      <c r="A510" s="25" t="str">
        <v>Not Run</v>
      </c>
      <c r="B510" s="19" t="str">
        <v>GO-MAN-509</v>
      </c>
      <c r="C510" s="19" t="str">
        <v>Visual &amp; Accessibility</v>
      </c>
      <c r="D510" s="19" t="str">
        <v>Inspect the mentor directory at mobile and desktop widths with representative QA data.</v>
      </c>
      <c r="E510" s="19" t="str">
        <v>No clipped labels, overlapping controls or unreadable states. Capture any cosmetic observations in UX Backlog.</v>
      </c>
      <c r="F510" s="19" t="str">
        <v>Mentor directory visual baseline</v>
      </c>
      <c r="G510" s="19" t="str">
        <v>P2</v>
      </c>
      <c r="H510" s="19" t="str">
        <v>Tester using relevant account</v>
      </c>
      <c r="I510" s="19" t="str">
        <v>Use prepared QA records and separate accounts. Record the actual URL and build on Run Overview. Capture the current appearance before cosmetic changes.</v>
      </c>
      <c r="J510" s="19" t="str">
        <v>Visual</v>
      </c>
      <c r="K510" s="26"/>
      <c r="L510" s="26"/>
      <c r="M510" s="26"/>
      <c r="N510" s="29"/>
      <c r="O510" s="26"/>
      <c r="P510" s="26"/>
      <c r="Q510" s="26"/>
      <c r="R510" s="19" t="str">
        <v>Core</v>
      </c>
      <c r="S510" s="27" t="str">
        <v>Not Run</v>
      </c>
      <c r="T510" s="27"/>
      <c r="U510" s="27" t="str">
        <v>Updated</v>
      </c>
    </row>
    <row r="511" ht="60" customHeight="1">
      <c r="A511" s="25" t="str">
        <v>Not Run</v>
      </c>
      <c r="B511" s="24" t="str">
        <v>GO-MAN-510</v>
      </c>
      <c r="C511" s="24" t="str">
        <v>Visual &amp; Accessibility</v>
      </c>
      <c r="D511" s="24" t="str">
        <v>Inspect the enrollment form at mobile and desktop widths with representative QA data.</v>
      </c>
      <c r="E511" s="24" t="str">
        <v>No clipped labels, overlapping controls or unreadable states. Capture any cosmetic observations in UX Backlog.</v>
      </c>
      <c r="F511" s="24" t="str">
        <v>Enrollment visual baseline</v>
      </c>
      <c r="G511" s="24" t="str">
        <v>P2</v>
      </c>
      <c r="H511" s="24" t="str">
        <v>Tester using relevant account</v>
      </c>
      <c r="I511" s="24" t="str">
        <v>Use prepared QA records and separate accounts. Record the actual URL and build on Run Overview. Capture the current appearance before cosmetic changes.</v>
      </c>
      <c r="J511" s="24" t="str">
        <v>Visual</v>
      </c>
      <c r="K511" s="26"/>
      <c r="L511" s="26"/>
      <c r="M511" s="26"/>
      <c r="N511" s="29"/>
      <c r="O511" s="26"/>
      <c r="P511" s="26"/>
      <c r="Q511" s="26"/>
      <c r="R511" s="24" t="str">
        <v>Core</v>
      </c>
      <c r="S511" s="28" t="str">
        <v>Not Run</v>
      </c>
      <c r="T511" s="28"/>
      <c r="U511" s="28" t="str">
        <v>Updated</v>
      </c>
    </row>
    <row r="512" ht="60" customHeight="1">
      <c r="A512" s="25" t="str">
        <v>Not Run</v>
      </c>
      <c r="B512" s="19" t="str">
        <v>GO-MAN-511</v>
      </c>
      <c r="C512" s="19" t="str">
        <v>Visual &amp; Accessibility</v>
      </c>
      <c r="D512" s="19" t="str">
        <v>Inspect the bundle detail at mobile and desktop widths with representative QA data.</v>
      </c>
      <c r="E512" s="19" t="str">
        <v>No clipped labels, overlapping controls or unreadable states. Capture any cosmetic observations in UX Backlog.</v>
      </c>
      <c r="F512" s="19" t="str">
        <v>Video bundles visual baseline</v>
      </c>
      <c r="G512" s="19" t="str">
        <v>P2</v>
      </c>
      <c r="H512" s="19" t="str">
        <v>Tester using relevant account</v>
      </c>
      <c r="I512" s="19" t="str">
        <v>Use prepared QA records and separate accounts. Record the actual URL and build on Run Overview. Capture the current appearance before cosmetic changes.</v>
      </c>
      <c r="J512" s="19" t="str">
        <v>Visual</v>
      </c>
      <c r="K512" s="26"/>
      <c r="L512" s="26"/>
      <c r="M512" s="26"/>
      <c r="N512" s="29"/>
      <c r="O512" s="26"/>
      <c r="P512" s="26"/>
      <c r="Q512" s="26"/>
      <c r="R512" s="19" t="str">
        <v>Core</v>
      </c>
      <c r="S512" s="27" t="str">
        <v>Not Run</v>
      </c>
      <c r="T512" s="27"/>
      <c r="U512" s="27" t="str">
        <v>Updated</v>
      </c>
    </row>
    <row r="513" ht="60" customHeight="1">
      <c r="A513" s="25" t="str">
        <v>Not Run</v>
      </c>
      <c r="B513" s="24" t="str">
        <v>GO-MAN-512</v>
      </c>
      <c r="C513" s="24" t="str">
        <v>Visual &amp; Accessibility</v>
      </c>
      <c r="D513" s="24" t="str">
        <v>Inspect the asset submission form at mobile and desktop widths with representative QA data.</v>
      </c>
      <c r="E513" s="24" t="str">
        <v>No clipped labels, overlapping controls or unreadable states. Capture any cosmetic observations in UX Backlog.</v>
      </c>
      <c r="F513" s="24" t="str">
        <v>Asset submission visual baseline</v>
      </c>
      <c r="G513" s="24" t="str">
        <v>P2</v>
      </c>
      <c r="H513" s="24" t="str">
        <v>Tester using relevant account</v>
      </c>
      <c r="I513" s="24" t="str">
        <v>Use prepared QA records and separate accounts. Record the actual URL and build on Run Overview. Capture the current appearance before cosmetic changes.</v>
      </c>
      <c r="J513" s="24" t="str">
        <v>Visual</v>
      </c>
      <c r="K513" s="26"/>
      <c r="L513" s="26"/>
      <c r="M513" s="26"/>
      <c r="N513" s="29"/>
      <c r="O513" s="26"/>
      <c r="P513" s="26"/>
      <c r="Q513" s="26"/>
      <c r="R513" s="24" t="str">
        <v>Core</v>
      </c>
      <c r="S513" s="28" t="str">
        <v>Not Run</v>
      </c>
      <c r="T513" s="28"/>
      <c r="U513" s="28" t="str">
        <v>Updated</v>
      </c>
    </row>
    <row r="514" ht="60" customHeight="1">
      <c r="A514" s="25" t="str">
        <v>Not Run</v>
      </c>
      <c r="B514" s="19" t="str">
        <v>GO-MAN-513</v>
      </c>
      <c r="C514" s="19" t="str">
        <v>Visual &amp; Accessibility</v>
      </c>
      <c r="D514" s="19" t="str">
        <v>Inspect the admin dashboard at mobile and desktop widths with representative QA data.</v>
      </c>
      <c r="E514" s="19" t="str">
        <v>No clipped labels, overlapping controls or unreadable states. Capture any cosmetic observations in UX Backlog.</v>
      </c>
      <c r="F514" s="19" t="str">
        <v>Admin visual baseline</v>
      </c>
      <c r="G514" s="19" t="str">
        <v>P0</v>
      </c>
      <c r="H514" s="19" t="str">
        <v>Tester using relevant account</v>
      </c>
      <c r="I514" s="19" t="str">
        <v>Use prepared QA records and separate accounts. Record the actual URL and build on Run Overview. Capture the current appearance before cosmetic changes.</v>
      </c>
      <c r="J514" s="19" t="str">
        <v>Visual</v>
      </c>
      <c r="K514" s="26"/>
      <c r="L514" s="26"/>
      <c r="M514" s="26"/>
      <c r="N514" s="29"/>
      <c r="O514" s="26"/>
      <c r="P514" s="26"/>
      <c r="Q514" s="26"/>
      <c r="R514" s="19" t="str">
        <v>Core</v>
      </c>
      <c r="S514" s="27" t="str">
        <v>Not Run</v>
      </c>
      <c r="T514" s="27"/>
      <c r="U514" s="27" t="str">
        <v>Updated</v>
      </c>
    </row>
    <row r="515" ht="60" customHeight="1">
      <c r="A515" s="25" t="str">
        <v>Not Run</v>
      </c>
      <c r="B515" s="24" t="str">
        <v>GO-MAN-514</v>
      </c>
      <c r="C515" s="24" t="str">
        <v>Visual &amp; Accessibility</v>
      </c>
      <c r="D515" s="24" t="str">
        <v>At 390px open all primary public and signed-in destinations, including long QA data.</v>
      </c>
      <c r="E515" s="24" t="str">
        <v>Page content fits. Intentional table-local scrolling does not force whole-page scrolling.</v>
      </c>
      <c r="F515" s="24" t="str">
        <v>No horizontal overflow</v>
      </c>
      <c r="G515" s="24" t="str">
        <v>P1</v>
      </c>
      <c r="H515" s="24" t="str">
        <v>Tester using relevant account</v>
      </c>
      <c r="I515" s="24" t="str">
        <v>Use prepared QA records and separate accounts. Record the actual URL and build on Run Overview. Capture the current appearance before cosmetic changes.</v>
      </c>
      <c r="J515" s="24" t="str">
        <v>Visual</v>
      </c>
      <c r="K515" s="26"/>
      <c r="L515" s="26"/>
      <c r="M515" s="26"/>
      <c r="N515" s="29"/>
      <c r="O515" s="26"/>
      <c r="P515" s="26"/>
      <c r="Q515" s="26"/>
      <c r="R515" s="24" t="str">
        <v>Core</v>
      </c>
      <c r="S515" s="28" t="str">
        <v>Not Run</v>
      </c>
      <c r="T515" s="28"/>
      <c r="U515" s="28" t="str">
        <v>Updated</v>
      </c>
    </row>
    <row r="516" ht="60" customHeight="1">
      <c r="A516" s="25" t="str">
        <v>Not Run</v>
      </c>
      <c r="B516" s="19" t="str">
        <v>GO-MAN-515</v>
      </c>
      <c r="C516" s="19" t="str">
        <v>Visual &amp; Accessibility</v>
      </c>
      <c r="D516" s="19" t="str">
        <v>Scroll pages with sticky header, cookie banner, dialogs and long validation messages.</v>
      </c>
      <c r="E516" s="19" t="str">
        <v>Content and important actions do not overlap or become inaccessible.</v>
      </c>
      <c r="F516" s="19" t="str">
        <v>No overlapping content</v>
      </c>
      <c r="G516" s="19" t="str">
        <v>P1</v>
      </c>
      <c r="H516" s="19" t="str">
        <v>Tester using relevant account</v>
      </c>
      <c r="I516" s="19" t="str">
        <v>Use prepared QA records and separate accounts. Record the actual URL and build on Run Overview. Capture the current appearance before cosmetic changes.</v>
      </c>
      <c r="J516" s="19" t="str">
        <v>Visual</v>
      </c>
      <c r="K516" s="26"/>
      <c r="L516" s="26"/>
      <c r="M516" s="26"/>
      <c r="N516" s="29"/>
      <c r="O516" s="26"/>
      <c r="P516" s="26"/>
      <c r="Q516" s="26"/>
      <c r="R516" s="19" t="str">
        <v>Core</v>
      </c>
      <c r="S516" s="27" t="str">
        <v>Not Run</v>
      </c>
      <c r="T516" s="27"/>
      <c r="U516" s="27" t="str">
        <v>Updated</v>
      </c>
    </row>
    <row r="517" ht="60" customHeight="1">
      <c r="A517" s="25" t="str">
        <v>Not Run</v>
      </c>
      <c r="B517" s="24" t="str">
        <v>GO-MAN-516</v>
      </c>
      <c r="C517" s="24" t="str">
        <v>Visual &amp; Accessibility</v>
      </c>
      <c r="D517" s="24" t="str">
        <v>Tab through navigation, forms and action buttons in both supported themes.</v>
      </c>
      <c r="E517" s="24" t="str">
        <v>Every focused interactive control has a visible indicator.</v>
      </c>
      <c r="F517" s="24" t="str">
        <v>Visible keyboard focus</v>
      </c>
      <c r="G517" s="24" t="str">
        <v>P1</v>
      </c>
      <c r="H517" s="24" t="str">
        <v>Tester using relevant account</v>
      </c>
      <c r="I517" s="24" t="str">
        <v>Use prepared QA records and separate accounts. Record the actual URL and build on Run Overview. Capture the current appearance before cosmetic changes.</v>
      </c>
      <c r="J517" s="24" t="str">
        <v>Visual</v>
      </c>
      <c r="K517" s="26"/>
      <c r="L517" s="26"/>
      <c r="M517" s="26"/>
      <c r="N517" s="29"/>
      <c r="O517" s="26"/>
      <c r="P517" s="26"/>
      <c r="Q517" s="26"/>
      <c r="R517" s="24" t="str">
        <v>Core</v>
      </c>
      <c r="S517" s="28" t="str">
        <v>Not Run</v>
      </c>
      <c r="T517" s="28"/>
      <c r="U517" s="28" t="str">
        <v>Updated</v>
      </c>
    </row>
    <row r="518" ht="60" customHeight="1">
      <c r="A518" s="25" t="str">
        <v>Not Run</v>
      </c>
      <c r="B518" s="19" t="str">
        <v>GO-MAN-517</v>
      </c>
      <c r="C518" s="19" t="str">
        <v>Visual &amp; Accessibility</v>
      </c>
      <c r="D518" s="19" t="str">
        <v>Complete sign-in, profile save, project application and a permitted matching action using keyboard.</v>
      </c>
      <c r="E518" s="19" t="str">
        <v>Each main flow is possible without pointer input.</v>
      </c>
      <c r="F518" s="19" t="str">
        <v>Keyboard-only journeys</v>
      </c>
      <c r="G518" s="19" t="str">
        <v>P1</v>
      </c>
      <c r="H518" s="19" t="str">
        <v>Tester using relevant account</v>
      </c>
      <c r="I518" s="19" t="str">
        <v>Use prepared QA records and separate accounts. Record the actual URL and build on Run Overview. Capture the current appearance before cosmetic changes.</v>
      </c>
      <c r="J518" s="19" t="str">
        <v>Visual</v>
      </c>
      <c r="K518" s="26"/>
      <c r="L518" s="26"/>
      <c r="M518" s="26"/>
      <c r="N518" s="29"/>
      <c r="O518" s="26"/>
      <c r="P518" s="26"/>
      <c r="Q518" s="26"/>
      <c r="R518" s="19" t="str">
        <v>Core</v>
      </c>
      <c r="S518" s="27" t="str">
        <v>Not Run</v>
      </c>
      <c r="T518" s="27"/>
      <c r="U518" s="27" t="str">
        <v>Updated</v>
      </c>
    </row>
    <row r="519" ht="60" customHeight="1">
      <c r="A519" s="25" t="str">
        <v>Not Run</v>
      </c>
      <c r="B519" s="24" t="str">
        <v>GO-MAN-518</v>
      </c>
      <c r="C519" s="24" t="str">
        <v>Visual &amp; Accessibility</v>
      </c>
      <c r="D519" s="24" t="str">
        <v>Inspect forms, menus, state messages and icon buttons with a screen reader.</v>
      </c>
      <c r="E519" s="24" t="str">
        <v>Controls have useful names and loading/error/success changes are understandable.</v>
      </c>
      <c r="F519" s="24" t="str">
        <v>Screen-reader control labels</v>
      </c>
      <c r="G519" s="24" t="str">
        <v>P1</v>
      </c>
      <c r="H519" s="24" t="str">
        <v>Tester using relevant account</v>
      </c>
      <c r="I519" s="24" t="str">
        <v>Use prepared QA records and separate accounts. Record the actual URL and build on Run Overview. Capture the current appearance before cosmetic changes.</v>
      </c>
      <c r="J519" s="24" t="str">
        <v>Visual</v>
      </c>
      <c r="K519" s="26"/>
      <c r="L519" s="26"/>
      <c r="M519" s="26"/>
      <c r="N519" s="29"/>
      <c r="O519" s="26"/>
      <c r="P519" s="26"/>
      <c r="Q519" s="26"/>
      <c r="R519" s="24" t="str">
        <v>Core</v>
      </c>
      <c r="S519" s="28" t="str">
        <v>Not Run</v>
      </c>
      <c r="T519" s="28"/>
      <c r="U519" s="28" t="str">
        <v>Updated</v>
      </c>
    </row>
    <row r="520" ht="60" customHeight="1">
      <c r="A520" s="25" t="str">
        <v>Not Run</v>
      </c>
      <c r="B520" s="19" t="str">
        <v>GO-MAN-519</v>
      </c>
      <c r="C520" s="19" t="str">
        <v>Visual &amp; Accessibility</v>
      </c>
      <c r="D520" s="19" t="str">
        <v>Submit invalid profile, project and merch forms using keyboard and screen reader.</v>
      </c>
      <c r="E520" s="19" t="str">
        <v>Each error identifies its field and corrective action. Focus allows recovery.</v>
      </c>
      <c r="F520" s="19" t="str">
        <v>Form error association</v>
      </c>
      <c r="G520" s="19" t="str">
        <v>P1</v>
      </c>
      <c r="H520" s="19" t="str">
        <v>Tester using relevant account</v>
      </c>
      <c r="I520" s="19" t="str">
        <v>Use prepared QA records and separate accounts. Record the actual URL and build on Run Overview. Capture the current appearance before cosmetic changes.</v>
      </c>
      <c r="J520" s="19" t="str">
        <v>Visual</v>
      </c>
      <c r="K520" s="26"/>
      <c r="L520" s="26"/>
      <c r="M520" s="26"/>
      <c r="N520" s="29"/>
      <c r="O520" s="26"/>
      <c r="P520" s="26"/>
      <c r="Q520" s="26"/>
      <c r="R520" s="19" t="str">
        <v>Core</v>
      </c>
      <c r="S520" s="27" t="str">
        <v>Not Run</v>
      </c>
      <c r="T520" s="27"/>
      <c r="U520" s="27" t="str">
        <v>Updated</v>
      </c>
    </row>
    <row r="521" ht="60" customHeight="1">
      <c r="A521" s="25" t="str">
        <v>Not Run</v>
      </c>
      <c r="B521" s="24" t="str">
        <v>GO-MAN-520</v>
      </c>
      <c r="C521" s="24" t="str">
        <v>Visual &amp; Accessibility</v>
      </c>
      <c r="D521" s="24" t="str">
        <v>Inspect text, input borders, focus, error and disabled states in light and dark themes.</v>
      </c>
      <c r="E521" s="24" t="str">
        <v>Information remains readable in each supported state. Record uncertain measurements for review.</v>
      </c>
      <c r="F521" s="24" t="str">
        <v>Readable contrast</v>
      </c>
      <c r="G521" s="24" t="str">
        <v>P2</v>
      </c>
      <c r="H521" s="24" t="str">
        <v>Tester using relevant account</v>
      </c>
      <c r="I521" s="24" t="str">
        <v>Use prepared QA records and separate accounts. Record the actual URL and build on Run Overview. Capture the current appearance before cosmetic changes.</v>
      </c>
      <c r="J521" s="24" t="str">
        <v>Visual</v>
      </c>
      <c r="K521" s="26"/>
      <c r="L521" s="26"/>
      <c r="M521" s="26"/>
      <c r="N521" s="29"/>
      <c r="O521" s="26"/>
      <c r="P521" s="26"/>
      <c r="Q521" s="26"/>
      <c r="R521" s="24" t="str">
        <v>Core</v>
      </c>
      <c r="S521" s="28" t="str">
        <v>Not Run</v>
      </c>
      <c r="T521" s="28"/>
      <c r="U521" s="28" t="str">
        <v>Updated</v>
      </c>
    </row>
    <row r="522" ht="60" customHeight="1">
      <c r="A522" s="25" t="str">
        <v>Not Run</v>
      </c>
      <c r="B522" s="19" t="str">
        <v>GO-MAN-521</v>
      </c>
      <c r="C522" s="19" t="str">
        <v>Visual &amp; Accessibility</v>
      </c>
      <c r="D522" s="19" t="str">
        <v>Inspect membership, matching, learning and feedback status without relying on color.</v>
      </c>
      <c r="E522" s="19" t="str">
        <v>Text or symbols convey the same state.</v>
      </c>
      <c r="F522" s="19" t="str">
        <v>Status beyond color</v>
      </c>
      <c r="G522" s="19" t="str">
        <v>P1</v>
      </c>
      <c r="H522" s="19" t="str">
        <v>Tester using relevant account</v>
      </c>
      <c r="I522" s="19" t="str">
        <v>Use prepared QA records and separate accounts. Record the actual URL and build on Run Overview. Capture the current appearance before cosmetic changes.</v>
      </c>
      <c r="J522" s="19" t="str">
        <v>Visual</v>
      </c>
      <c r="K522" s="26"/>
      <c r="L522" s="26"/>
      <c r="M522" s="26"/>
      <c r="N522" s="29"/>
      <c r="O522" s="26"/>
      <c r="P522" s="26"/>
      <c r="Q522" s="26"/>
      <c r="R522" s="19" t="str">
        <v>Core</v>
      </c>
      <c r="S522" s="27" t="str">
        <v>Not Run</v>
      </c>
      <c r="T522" s="27"/>
      <c r="U522" s="27" t="str">
        <v>Updated</v>
      </c>
    </row>
    <row r="523" ht="60" customHeight="1">
      <c r="A523" s="25" t="str">
        <v>Not Run</v>
      </c>
      <c r="B523" s="24" t="str">
        <v>GO-MAN-522</v>
      </c>
      <c r="C523" s="24" t="str">
        <v>Visual &amp; Accessibility</v>
      </c>
      <c r="D523" s="24" t="str">
        <v>Enable OS/browser reduced motion. Use hero, stamp activation and learning transitions.</v>
      </c>
      <c r="E523" s="24" t="str">
        <v>Main journeys work with reduced animation and no loss of information.</v>
      </c>
      <c r="F523" s="24" t="str">
        <v>Reduced motion</v>
      </c>
      <c r="G523" s="24" t="str">
        <v>P1</v>
      </c>
      <c r="H523" s="24" t="str">
        <v>Tester using relevant account</v>
      </c>
      <c r="I523" s="24" t="str">
        <v>Use prepared QA records and separate accounts. Record the actual URL and build on Run Overview. Capture the current appearance before cosmetic changes.</v>
      </c>
      <c r="J523" s="24" t="str">
        <v>Visual</v>
      </c>
      <c r="K523" s="26"/>
      <c r="L523" s="26"/>
      <c r="M523" s="26"/>
      <c r="N523" s="29"/>
      <c r="O523" s="26"/>
      <c r="P523" s="26"/>
      <c r="Q523" s="26"/>
      <c r="R523" s="24" t="str">
        <v>Core</v>
      </c>
      <c r="S523" s="28" t="str">
        <v>Not Run</v>
      </c>
      <c r="T523" s="28"/>
      <c r="U523" s="28" t="str">
        <v>Updated</v>
      </c>
    </row>
    <row r="524" ht="60" customHeight="1">
      <c r="A524" s="25" t="str">
        <v>Not Run</v>
      </c>
      <c r="B524" s="19" t="str">
        <v>GO-MAN-523</v>
      </c>
      <c r="C524" s="19" t="str">
        <v>Visual &amp; Accessibility</v>
      </c>
      <c r="D524" s="19" t="str">
        <v>Use a real phone to operate header, cards, forms and dialog controls.</v>
      </c>
      <c r="E524" s="19" t="str">
        <v>Actions can be selected reliably without accidental neighboring activation.</v>
      </c>
      <c r="F524" s="19" t="str">
        <v>Touch targets</v>
      </c>
      <c r="G524" s="19" t="str">
        <v>P2</v>
      </c>
      <c r="H524" s="19" t="str">
        <v>Tester using relevant account</v>
      </c>
      <c r="I524" s="19" t="str">
        <v>Use prepared QA records and separate accounts. Record the actual URL and build on Run Overview. Capture the current appearance before cosmetic changes.</v>
      </c>
      <c r="J524" s="19" t="str">
        <v>Visual</v>
      </c>
      <c r="K524" s="26"/>
      <c r="L524" s="26"/>
      <c r="M524" s="26"/>
      <c r="N524" s="29"/>
      <c r="O524" s="26"/>
      <c r="P524" s="26"/>
      <c r="Q524" s="26"/>
      <c r="R524" s="19" t="str">
        <v>Core</v>
      </c>
      <c r="S524" s="27" t="str">
        <v>Not Run</v>
      </c>
      <c r="T524" s="27"/>
      <c r="U524" s="27" t="str">
        <v>Updated</v>
      </c>
    </row>
    <row r="525" ht="60" customHeight="1">
      <c r="A525" s="25" t="str">
        <v>Not Run</v>
      </c>
      <c r="B525" s="24" t="str">
        <v>GO-MAN-524</v>
      </c>
      <c r="C525" s="24" t="str">
        <v>Visual &amp; Accessibility</v>
      </c>
      <c r="D525" s="24" t="str">
        <v>Open a dialog and repeatedly Tab/Shift+Tab. Close it.</v>
      </c>
      <c r="E525" s="24" t="str">
        <v>Focus stays in the open modal and returns to its trigger.</v>
      </c>
      <c r="F525" s="24" t="str">
        <v>Dialog focus containment</v>
      </c>
      <c r="G525" s="24" t="str">
        <v>P1</v>
      </c>
      <c r="H525" s="24" t="str">
        <v>Tester using relevant account</v>
      </c>
      <c r="I525" s="24" t="str">
        <v>Use prepared QA records and separate accounts. Record the actual URL and build on Run Overview. Capture the current appearance before cosmetic changes.</v>
      </c>
      <c r="J525" s="24" t="str">
        <v>Visual</v>
      </c>
      <c r="K525" s="26"/>
      <c r="L525" s="26"/>
      <c r="M525" s="26"/>
      <c r="N525" s="29"/>
      <c r="O525" s="26"/>
      <c r="P525" s="26"/>
      <c r="Q525" s="26"/>
      <c r="R525" s="24" t="str">
        <v>Core</v>
      </c>
      <c r="S525" s="28" t="str">
        <v>Not Run</v>
      </c>
      <c r="T525" s="28"/>
      <c r="U525" s="28" t="str">
        <v>Updated</v>
      </c>
    </row>
    <row r="526" ht="60" customHeight="1">
      <c r="A526" s="25" t="str">
        <v>Not Run</v>
      </c>
      <c r="B526" s="19" t="str">
        <v>GO-MAN-525</v>
      </c>
      <c r="C526" s="19" t="str">
        <v>Visual &amp; Accessibility</v>
      </c>
      <c r="D526" s="19" t="str">
        <v>Open a dismissible dialog, use Escape and the close control, then reopen.</v>
      </c>
      <c r="E526" s="19" t="str">
        <v>Both supported dismissal paths work without unintended submission.</v>
      </c>
      <c r="F526" s="19" t="str">
        <v>Dialog dismissal</v>
      </c>
      <c r="G526" s="19" t="str">
        <v>P1</v>
      </c>
      <c r="H526" s="19" t="str">
        <v>Tester using relevant account</v>
      </c>
      <c r="I526" s="19" t="str">
        <v>Use prepared QA records and separate accounts. Record the actual URL and build on Run Overview. Capture the current appearance before cosmetic changes.</v>
      </c>
      <c r="J526" s="19" t="str">
        <v>Visual</v>
      </c>
      <c r="K526" s="26"/>
      <c r="L526" s="26"/>
      <c r="M526" s="26"/>
      <c r="N526" s="29"/>
      <c r="O526" s="26"/>
      <c r="P526" s="26"/>
      <c r="Q526" s="26"/>
      <c r="R526" s="19" t="str">
        <v>Core</v>
      </c>
      <c r="S526" s="27" t="str">
        <v>Not Run</v>
      </c>
      <c r="T526" s="27"/>
      <c r="U526" s="27" t="str">
        <v>Updated</v>
      </c>
    </row>
    <row r="527" ht="60" customHeight="1">
      <c r="A527" s="25" t="str">
        <v>Not Run</v>
      </c>
      <c r="B527" s="24" t="str">
        <v>GO-MAN-526</v>
      </c>
      <c r="C527" s="24" t="str">
        <v>Visual &amp; Accessibility</v>
      </c>
      <c r="D527" s="24" t="str">
        <v>Inspect main headings on home, membership, course and profile pages.</v>
      </c>
      <c r="E527" s="24" t="str">
        <v>Headings describe page structure in a logical order.</v>
      </c>
      <c r="F527" s="24" t="str">
        <v>Heading hierarchy</v>
      </c>
      <c r="G527" s="24" t="str">
        <v>P1</v>
      </c>
      <c r="H527" s="24" t="str">
        <v>Tester using relevant account</v>
      </c>
      <c r="I527" s="24" t="str">
        <v>Use prepared QA records and separate accounts. Record the actual URL and build on Run Overview. Capture the current appearance before cosmetic changes.</v>
      </c>
      <c r="J527" s="24" t="str">
        <v>Visual</v>
      </c>
      <c r="K527" s="26"/>
      <c r="L527" s="26"/>
      <c r="M527" s="26"/>
      <c r="N527" s="29"/>
      <c r="O527" s="26"/>
      <c r="P527" s="26"/>
      <c r="Q527" s="26"/>
      <c r="R527" s="24" t="str">
        <v>Core</v>
      </c>
      <c r="S527" s="28" t="str">
        <v>Not Run</v>
      </c>
      <c r="T527" s="28"/>
      <c r="U527" s="28" t="str">
        <v>Updated</v>
      </c>
    </row>
    <row r="528" ht="60" customHeight="1">
      <c r="A528" s="25" t="str">
        <v>Not Run</v>
      </c>
      <c r="B528" s="19" t="str">
        <v>GO-MAN-527</v>
      </c>
      <c r="C528" s="19" t="str">
        <v>Visual &amp; Accessibility</v>
      </c>
      <c r="D528" s="19" t="str">
        <v>Review repeated card links and icon actions with a screen reader.</v>
      </c>
      <c r="E528" s="19" t="str">
        <v>Their accessible names identify purpose or destination.</v>
      </c>
      <c r="F528" s="19" t="str">
        <v>Descriptive links</v>
      </c>
      <c r="G528" s="19" t="str">
        <v>P1</v>
      </c>
      <c r="H528" s="19" t="str">
        <v>Tester using relevant account</v>
      </c>
      <c r="I528" s="19" t="str">
        <v>Use prepared QA records and separate accounts. Record the actual URL and build on Run Overview. Capture the current appearance before cosmetic changes.</v>
      </c>
      <c r="J528" s="19" t="str">
        <v>Visual</v>
      </c>
      <c r="K528" s="26"/>
      <c r="L528" s="26"/>
      <c r="M528" s="26"/>
      <c r="N528" s="29"/>
      <c r="O528" s="26"/>
      <c r="P528" s="26"/>
      <c r="Q528" s="26"/>
      <c r="R528" s="19" t="str">
        <v>Core</v>
      </c>
      <c r="S528" s="27" t="str">
        <v>Not Run</v>
      </c>
      <c r="T528" s="27"/>
      <c r="U528" s="27" t="str">
        <v>Updated</v>
      </c>
    </row>
    <row r="529" ht="60" customHeight="1">
      <c r="A529" s="25" t="str">
        <v>Not Run</v>
      </c>
      <c r="B529" s="24" t="str">
        <v>GO-MAN-528</v>
      </c>
      <c r="C529" s="24" t="str">
        <v>Visual &amp; Accessibility</v>
      </c>
      <c r="D529" s="24" t="str">
        <v>Open external community, resource and portfolio links.</v>
      </c>
      <c r="E529" s="24" t="str">
        <v>Destination intent is understandable and new-tab behavior is consistent.</v>
      </c>
      <c r="F529" s="24" t="str">
        <v>External link indication</v>
      </c>
      <c r="G529" s="24" t="str">
        <v>P1</v>
      </c>
      <c r="H529" s="24" t="str">
        <v>Tester using relevant account</v>
      </c>
      <c r="I529" s="24" t="str">
        <v>Use prepared QA records and separate accounts. Record the actual URL and build on Run Overview. Capture the current appearance before cosmetic changes.</v>
      </c>
      <c r="J529" s="24" t="str">
        <v>Visual</v>
      </c>
      <c r="K529" s="26"/>
      <c r="L529" s="26"/>
      <c r="M529" s="26"/>
      <c r="N529" s="29"/>
      <c r="O529" s="26"/>
      <c r="P529" s="26"/>
      <c r="Q529" s="26"/>
      <c r="R529" s="24" t="str">
        <v>Core</v>
      </c>
      <c r="S529" s="28" t="str">
        <v>Not Run</v>
      </c>
      <c r="T529" s="28"/>
      <c r="U529" s="28" t="str">
        <v>Updated</v>
      </c>
    </row>
    <row r="530" ht="64" customHeight="1">
      <c r="A530" s="25" t="str">
        <v>Not Run</v>
      </c>
      <c r="B530" s="19" t="str">
        <v>GO-MAN-529</v>
      </c>
      <c r="C530" s="19" t="str">
        <v>Auth &amp; Account Recovery</v>
      </c>
      <c r="D530" s="19" t="str">
        <v>Sign up with a fresh QA address. Inspect inbox and follow the verification link. Sign in again.</v>
      </c>
      <c r="E530" s="19" t="str">
        <v>One valid verification message arrives and verified state refreshes without a redirect loop.</v>
      </c>
      <c r="F530" s="19" t="str">
        <v>Signup verification email</v>
      </c>
      <c r="G530" s="19" t="str">
        <v>P0</v>
      </c>
      <c r="H530" s="19" t="str">
        <v>Visitor and controlled QA account</v>
      </c>
      <c r="I530" s="19" t="str">
        <v>Use prepared QA records and separate accounts. Record the actual URL and build on Run Overview. Controlled email inbox and unverified email account available.</v>
      </c>
      <c r="J530" s="19" t="str">
        <v>Smoke</v>
      </c>
      <c r="K530" s="26"/>
      <c r="L530" s="26"/>
      <c r="M530" s="26"/>
      <c r="N530" s="29"/>
      <c r="O530" s="26"/>
      <c r="P530" s="26"/>
      <c r="Q530" s="26"/>
      <c r="R530" s="19" t="str">
        <v>Core</v>
      </c>
      <c r="S530" s="27" t="str">
        <v>New</v>
      </c>
      <c r="T530" s="27"/>
      <c r="U530" s="27" t="str">
        <v>New</v>
      </c>
    </row>
    <row r="531" ht="64" customHeight="1">
      <c r="A531" s="25" t="str">
        <v>Not Run</v>
      </c>
      <c r="B531" s="24" t="str">
        <v>GO-MAN-530</v>
      </c>
      <c r="C531" s="24" t="str">
        <v>Auth &amp; Account Recovery</v>
      </c>
      <c r="D531" s="24" t="str">
        <v>As unverified user resend verification, then immediately resend again.</v>
      </c>
      <c r="E531" s="24" t="str">
        <v>The first allowed resend is sent. Cooldown is explained. Repeated actions do not flood the inbox.</v>
      </c>
      <c r="F531" s="24" t="str">
        <v>Resend verification controls</v>
      </c>
      <c r="G531" s="24" t="str">
        <v>P1</v>
      </c>
      <c r="H531" s="24" t="str">
        <v>Visitor and controlled QA account</v>
      </c>
      <c r="I531" s="24" t="str">
        <v>Use prepared QA records and separate accounts. Record the actual URL and build on Run Overview. Controlled email inbox and unverified email account available.</v>
      </c>
      <c r="J531" s="24" t="str">
        <v>Regression</v>
      </c>
      <c r="K531" s="26"/>
      <c r="L531" s="26"/>
      <c r="M531" s="26"/>
      <c r="N531" s="29"/>
      <c r="O531" s="26"/>
      <c r="P531" s="26"/>
      <c r="Q531" s="26"/>
      <c r="R531" s="24" t="str">
        <v>Core</v>
      </c>
      <c r="S531" s="28" t="str">
        <v>New</v>
      </c>
      <c r="T531" s="28"/>
      <c r="U531" s="28" t="str">
        <v>New</v>
      </c>
    </row>
    <row r="532" ht="64" customHeight="1">
      <c r="A532" s="25" t="str">
        <v>Not Run</v>
      </c>
      <c r="B532" s="19" t="str">
        <v>GO-MAN-531</v>
      </c>
      <c r="C532" s="19" t="str">
        <v>Auth &amp; Account Recovery</v>
      </c>
      <c r="D532" s="19" t="str">
        <v>Open a prepared expired or altered verification link, then request a new one.</v>
      </c>
      <c r="E532" s="19" t="str">
        <v>The invalid link cannot verify the account. A clear recovery path provides a new email.</v>
      </c>
      <c r="F532" s="19" t="str">
        <v>Expired verification link</v>
      </c>
      <c r="G532" s="19" t="str">
        <v>P1</v>
      </c>
      <c r="H532" s="19" t="str">
        <v>Visitor and controlled QA account</v>
      </c>
      <c r="I532" s="19" t="str">
        <v>Use prepared QA records and separate accounts. Record the actual URL and build on Run Overview. Controlled email inbox and unverified email account available.</v>
      </c>
      <c r="J532" s="19" t="str">
        <v>Regression</v>
      </c>
      <c r="K532" s="26"/>
      <c r="L532" s="26"/>
      <c r="M532" s="26"/>
      <c r="N532" s="29"/>
      <c r="O532" s="26"/>
      <c r="P532" s="26"/>
      <c r="Q532" s="26"/>
      <c r="R532" s="19" t="str">
        <v>Core</v>
      </c>
      <c r="S532" s="27" t="str">
        <v>New</v>
      </c>
      <c r="T532" s="27"/>
      <c r="U532" s="27" t="str">
        <v>New</v>
      </c>
    </row>
    <row r="533" ht="64" customHeight="1">
      <c r="A533" s="25" t="str">
        <v>Not Run</v>
      </c>
      <c r="B533" s="24" t="str">
        <v>GO-MAN-532</v>
      </c>
      <c r="C533" s="24" t="str">
        <v>Auth &amp; Account Recovery</v>
      </c>
      <c r="D533" s="24" t="str">
        <v>Request reset, open the QA email, set a new password and sign in with it. Retry the old password.</v>
      </c>
      <c r="E533" s="24" t="str">
        <v>New password works. Old password does not. No reset token is disclosed in public views.</v>
      </c>
      <c r="F533" s="24" t="str">
        <v>Password reset completion</v>
      </c>
      <c r="G533" s="24" t="str">
        <v>P0</v>
      </c>
      <c r="H533" s="24" t="str">
        <v>Visitor and controlled QA account</v>
      </c>
      <c r="I533" s="24" t="str">
        <v>Use prepared QA records and separate accounts. Record the actual URL and build on Run Overview. Controlled email inbox and unverified email account available.</v>
      </c>
      <c r="J533" s="24" t="str">
        <v>Regression</v>
      </c>
      <c r="K533" s="26"/>
      <c r="L533" s="26"/>
      <c r="M533" s="26"/>
      <c r="N533" s="29"/>
      <c r="O533" s="26"/>
      <c r="P533" s="26"/>
      <c r="Q533" s="26"/>
      <c r="R533" s="24" t="str">
        <v>Core</v>
      </c>
      <c r="S533" s="28" t="str">
        <v>New</v>
      </c>
      <c r="T533" s="28"/>
      <c r="U533" s="28" t="str">
        <v>New</v>
      </c>
    </row>
    <row r="534" ht="64" customHeight="1">
      <c r="A534" s="25" t="str">
        <v>Not Run</v>
      </c>
      <c r="B534" s="19" t="str">
        <v>GO-MAN-533</v>
      </c>
      <c r="C534" s="19" t="str">
        <v>Auth &amp; Account Recovery</v>
      </c>
      <c r="D534" s="19" t="str">
        <v>Start Google sign-in from a protected destination, complete authentication, refresh and sign out.</v>
      </c>
      <c r="E534" s="19" t="str">
        <v>Correct identity and destination load without the prior authStateVersion error.</v>
      </c>
      <c r="F534" s="19" t="str">
        <v>Google sign-in return</v>
      </c>
      <c r="G534" s="19" t="str">
        <v>P0</v>
      </c>
      <c r="H534" s="19" t="str">
        <v>Visitor and controlled QA account</v>
      </c>
      <c r="I534" s="19" t="str">
        <v>Use prepared QA records and separate accounts. Record the actual URL and build on Run Overview. Controlled email inbox and unverified email account available.</v>
      </c>
      <c r="J534" s="19" t="str">
        <v>Smoke</v>
      </c>
      <c r="K534" s="26"/>
      <c r="L534" s="26"/>
      <c r="M534" s="26"/>
      <c r="N534" s="29"/>
      <c r="O534" s="26"/>
      <c r="P534" s="26"/>
      <c r="Q534" s="26"/>
      <c r="R534" s="19" t="str">
        <v>Core</v>
      </c>
      <c r="S534" s="27" t="str">
        <v>New</v>
      </c>
      <c r="T534" s="27"/>
      <c r="U534" s="27" t="str">
        <v>New</v>
      </c>
    </row>
    <row r="535" ht="64" customHeight="1">
      <c r="A535" s="25" t="str">
        <v>Not Run</v>
      </c>
      <c r="B535" s="24" t="str">
        <v>GO-MAN-534</v>
      </c>
      <c r="C535" s="24" t="str">
        <v>Auth &amp; Account Recovery</v>
      </c>
      <c r="D535" s="24" t="str">
        <v>Edit profile or start a learning draft as account A. Sign out and sign in as B in the same browser.</v>
      </c>
      <c r="E535" s="24" t="str">
        <v>A’s drafts, private records and membership state are not displayed or saved to B.</v>
      </c>
      <c r="F535" s="24" t="str">
        <v>Account switch isolation</v>
      </c>
      <c r="G535" s="24" t="str">
        <v>P0</v>
      </c>
      <c r="H535" s="24" t="str">
        <v>Visitor and controlled QA account</v>
      </c>
      <c r="I535" s="24" t="str">
        <v>Use prepared QA records and separate accounts. Record the actual URL and build on Run Overview. Controlled email inbox and unverified email account available.</v>
      </c>
      <c r="J535" s="24" t="str">
        <v>Regression</v>
      </c>
      <c r="K535" s="26"/>
      <c r="L535" s="26"/>
      <c r="M535" s="26"/>
      <c r="N535" s="29"/>
      <c r="O535" s="26"/>
      <c r="P535" s="26"/>
      <c r="Q535" s="26"/>
      <c r="R535" s="24" t="str">
        <v>Core</v>
      </c>
      <c r="S535" s="28" t="str">
        <v>New</v>
      </c>
      <c r="T535" s="28"/>
      <c r="U535" s="28" t="str">
        <v>New</v>
      </c>
    </row>
    <row r="536" ht="60" customHeight="1">
      <c r="A536" s="25" t="str">
        <v>Not Run</v>
      </c>
      <c r="B536" s="19" t="str">
        <v>GO-MAN-535</v>
      </c>
      <c r="C536" s="19" t="str">
        <v>Profile &amp; Passport Regression</v>
      </c>
      <c r="D536" s="19" t="str">
        <v>Change username and two skills in profile, save and reload. Compare public permitted view.</v>
      </c>
      <c r="E536" s="19" t="str">
        <v>Valid values persist in every permitted view. No false success or silent rollback.</v>
      </c>
      <c r="F536" s="19" t="str">
        <v>Username and skill persistence</v>
      </c>
      <c r="G536" s="19" t="str">
        <v>P0</v>
      </c>
      <c r="H536" s="19" t="str">
        <v>Free user and active member</v>
      </c>
      <c r="I536" s="19" t="str">
        <v>Use prepared QA records and separate accounts. Record the actual URL and build on Run Overview. Prepare an editable profile and a second unrelated viewer.</v>
      </c>
      <c r="J536" s="19" t="str">
        <v>Smoke</v>
      </c>
      <c r="K536" s="26"/>
      <c r="L536" s="26"/>
      <c r="M536" s="26"/>
      <c r="N536" s="29"/>
      <c r="O536" s="26"/>
      <c r="P536" s="26"/>
      <c r="Q536" s="26"/>
      <c r="R536" s="19" t="str">
        <v>Core</v>
      </c>
      <c r="S536" s="27" t="str">
        <v>New</v>
      </c>
      <c r="T536" s="27"/>
      <c r="U536" s="27" t="str">
        <v>New</v>
      </c>
    </row>
    <row r="537" ht="60" customHeight="1">
      <c r="A537" s="25" t="str">
        <v>Not Run</v>
      </c>
      <c r="B537" s="24" t="str">
        <v>GO-MAN-536</v>
      </c>
      <c r="C537" s="24" t="str">
        <v>Profile &amp; Passport Regression</v>
      </c>
      <c r="D537" s="24" t="str">
        <v>Save a short bio and a different long About text, reload profile and generate Passport.</v>
      </c>
      <c r="E537" s="24" t="str">
        <v>Each field stays separate and appears in its intended place.</v>
      </c>
      <c r="F537" s="24" t="str">
        <v>Short bio and About separation</v>
      </c>
      <c r="G537" s="24" t="str">
        <v>P1</v>
      </c>
      <c r="H537" s="24" t="str">
        <v>Free user and active member</v>
      </c>
      <c r="I537" s="24" t="str">
        <v>Use prepared QA records and separate accounts. Record the actual URL and build on Run Overview. Prepare an editable profile and a second unrelated viewer.</v>
      </c>
      <c r="J537" s="24" t="str">
        <v>Regression</v>
      </c>
      <c r="K537" s="26"/>
      <c r="L537" s="26"/>
      <c r="M537" s="26"/>
      <c r="N537" s="29"/>
      <c r="O537" s="26"/>
      <c r="P537" s="26"/>
      <c r="Q537" s="26"/>
      <c r="R537" s="24" t="str">
        <v>Core</v>
      </c>
      <c r="S537" s="28" t="str">
        <v>New</v>
      </c>
      <c r="T537" s="28"/>
      <c r="U537" s="28" t="str">
        <v>New</v>
      </c>
    </row>
    <row r="538" ht="60" customHeight="1">
      <c r="A538" s="25" t="str">
        <v>Not Run</v>
      </c>
      <c r="B538" s="19" t="str">
        <v>GO-MAN-537</v>
      </c>
      <c r="C538" s="19" t="str">
        <v>Profile &amp; Passport Regression</v>
      </c>
      <c r="D538" s="19" t="str">
        <v>Choose a catalog primary skill, add custom secondary tags and attempt duplicates.</v>
      </c>
      <c r="E538" s="19" t="str">
        <v>Supported catalog/custom tags persist with normalization and limits. Primary choice is not restricted to an obsolete short role list.</v>
      </c>
      <c r="F538" s="19" t="str">
        <v>Primary and secondary skill tags</v>
      </c>
      <c r="G538" s="19" t="str">
        <v>P1</v>
      </c>
      <c r="H538" s="19" t="str">
        <v>Free user and active member</v>
      </c>
      <c r="I538" s="19" t="str">
        <v>Use prepared QA records and separate accounts. Record the actual URL and build on Run Overview. Prepare an editable profile and a second unrelated viewer.</v>
      </c>
      <c r="J538" s="19" t="str">
        <v>Regression</v>
      </c>
      <c r="K538" s="26"/>
      <c r="L538" s="26"/>
      <c r="M538" s="26"/>
      <c r="N538" s="29"/>
      <c r="O538" s="26"/>
      <c r="P538" s="26"/>
      <c r="Q538" s="26"/>
      <c r="R538" s="19" t="str">
        <v>Core</v>
      </c>
      <c r="S538" s="27" t="str">
        <v>New</v>
      </c>
      <c r="T538" s="27"/>
      <c r="U538" s="27" t="str">
        <v>New</v>
      </c>
    </row>
    <row r="539" ht="60" customHeight="1">
      <c r="A539" s="25" t="str">
        <v>Not Run</v>
      </c>
      <c r="B539" s="24" t="str">
        <v>GO-MAN-538</v>
      </c>
      <c r="C539" s="24" t="str">
        <v>Profile &amp; Passport Regression</v>
      </c>
      <c r="D539" s="24" t="str">
        <v>Complete tools, portfolio links and a project entry once in onboarding. Generate Passport and reopen profile.</v>
      </c>
      <c r="E539" s="24" t="str">
        <v>The same facts persist without requiring duplicate entry or inventing experience.</v>
      </c>
      <c r="F539" s="24" t="str">
        <v>Tools and portfolio facts</v>
      </c>
      <c r="G539" s="24" t="str">
        <v>P1</v>
      </c>
      <c r="H539" s="24" t="str">
        <v>Free user and active member</v>
      </c>
      <c r="I539" s="24" t="str">
        <v>Use prepared QA records and separate accounts. Record the actual URL and build on Run Overview. Prepare an editable profile and a second unrelated viewer.</v>
      </c>
      <c r="J539" s="24" t="str">
        <v>Regression</v>
      </c>
      <c r="K539" s="26"/>
      <c r="L539" s="26"/>
      <c r="M539" s="26"/>
      <c r="N539" s="29"/>
      <c r="O539" s="26"/>
      <c r="P539" s="26"/>
      <c r="Q539" s="26"/>
      <c r="R539" s="24" t="str">
        <v>Core</v>
      </c>
      <c r="S539" s="28" t="str">
        <v>New</v>
      </c>
      <c r="T539" s="28"/>
      <c r="U539" s="28" t="str">
        <v>New</v>
      </c>
    </row>
    <row r="540" ht="60" customHeight="1">
      <c r="A540" s="25" t="str">
        <v>Not Run</v>
      </c>
      <c r="B540" s="19" t="str">
        <v>GO-MAN-539</v>
      </c>
      <c r="C540" s="19" t="str">
        <v>Profile &amp; Passport Regression</v>
      </c>
      <c r="D540" s="19" t="str">
        <v>Compare a paid account with a prepared legacy/free account.</v>
      </c>
      <c r="E540" s="19" t="str">
        <v>Paid membership date uses available first-activation evidence. A fallback is clearly understandable.</v>
      </c>
      <c r="F540" s="19" t="str">
        <v>Member since date</v>
      </c>
      <c r="G540" s="19" t="str">
        <v>P1</v>
      </c>
      <c r="H540" s="19" t="str">
        <v>Free user and active member</v>
      </c>
      <c r="I540" s="19" t="str">
        <v>Use prepared QA records and separate accounts. Record the actual URL and build on Run Overview. Prepare an editable profile and a second unrelated viewer.</v>
      </c>
      <c r="J540" s="19" t="str">
        <v>Regression</v>
      </c>
      <c r="K540" s="26"/>
      <c r="L540" s="26"/>
      <c r="M540" s="26"/>
      <c r="N540" s="29"/>
      <c r="O540" s="26"/>
      <c r="P540" s="26"/>
      <c r="Q540" s="26"/>
      <c r="R540" s="19" t="str">
        <v>Core</v>
      </c>
      <c r="S540" s="27" t="str">
        <v>New</v>
      </c>
      <c r="T540" s="27"/>
      <c r="U540" s="27" t="str">
        <v>New</v>
      </c>
    </row>
    <row r="541" ht="60" customHeight="1">
      <c r="A541" s="25" t="str">
        <v>Not Run</v>
      </c>
      <c r="B541" s="24" t="str">
        <v>GO-MAN-540</v>
      </c>
      <c r="C541" s="24" t="str">
        <v>Profile &amp; Passport Regression</v>
      </c>
      <c r="D541" s="24" t="str">
        <v>Open email-signup and Google-signup profiles, then a profile whose image fails.</v>
      </c>
      <c r="E541" s="24" t="str">
        <v>Generated/provider avatar and fallback remain usable. Custom photo upload is not assumed to exist.</v>
      </c>
      <c r="F541" s="24" t="str">
        <v>Avatar fallback</v>
      </c>
      <c r="G541" s="24" t="str">
        <v>P2</v>
      </c>
      <c r="H541" s="24" t="str">
        <v>Free user and active member</v>
      </c>
      <c r="I541" s="24" t="str">
        <v>Use prepared QA records and separate accounts. Record the actual URL and build on Run Overview. Prepare an editable profile and a second unrelated viewer.</v>
      </c>
      <c r="J541" s="24" t="str">
        <v>Regression</v>
      </c>
      <c r="K541" s="26"/>
      <c r="L541" s="26"/>
      <c r="M541" s="26"/>
      <c r="N541" s="29"/>
      <c r="O541" s="26"/>
      <c r="P541" s="26"/>
      <c r="Q541" s="26"/>
      <c r="R541" s="24" t="str">
        <v>Core</v>
      </c>
      <c r="S541" s="28" t="str">
        <v>New</v>
      </c>
      <c r="T541" s="28"/>
      <c r="U541" s="28" t="str">
        <v>New</v>
      </c>
    </row>
    <row r="542" ht="60" customHeight="1">
      <c r="A542" s="25" t="str">
        <v>Not Run</v>
      </c>
      <c r="B542" s="19" t="str">
        <v>GO-MAN-541</v>
      </c>
      <c r="C542" s="19" t="str">
        <v>Profile &amp; Passport Regression</v>
      </c>
      <c r="D542" s="19" t="str">
        <v>Complete onboarding with no Discord username. Compare joined and not-yet-joined states.</v>
      </c>
      <c r="E542" s="19" t="str">
        <v>Optional username does not block completion. A safe invite is available where relevant.</v>
      </c>
      <c r="F542" s="19" t="str">
        <v>Optional Discord username</v>
      </c>
      <c r="G542" s="19" t="str">
        <v>P1</v>
      </c>
      <c r="H542" s="19" t="str">
        <v>Free user and active member</v>
      </c>
      <c r="I542" s="19" t="str">
        <v>Use prepared QA records and separate accounts. Record the actual URL and build on Run Overview. Prepare an editable profile and a second unrelated viewer.</v>
      </c>
      <c r="J542" s="19" t="str">
        <v>Regression</v>
      </c>
      <c r="K542" s="26"/>
      <c r="L542" s="26"/>
      <c r="M542" s="26"/>
      <c r="N542" s="29"/>
      <c r="O542" s="26"/>
      <c r="P542" s="26"/>
      <c r="Q542" s="26"/>
      <c r="R542" s="19" t="str">
        <v>Core</v>
      </c>
      <c r="S542" s="27" t="str">
        <v>New</v>
      </c>
      <c r="T542" s="27"/>
      <c r="U542" s="27" t="str">
        <v>New</v>
      </c>
    </row>
    <row r="543" ht="60" customHeight="1">
      <c r="A543" s="25" t="str">
        <v>Not Run</v>
      </c>
      <c r="B543" s="24" t="str">
        <v>GO-MAN-542</v>
      </c>
      <c r="C543" s="24" t="str">
        <v>Profile &amp; Passport Regression</v>
      </c>
      <c r="D543" s="24" t="str">
        <v>Complete onboarding once and inspect the controlled inbox/outbox.</v>
      </c>
      <c r="E543" s="24" t="str">
        <v>No obsolete profile-complete email is sent. Required welcome/verification messages remain separate.</v>
      </c>
      <c r="F543" s="24" t="str">
        <v>No completion email</v>
      </c>
      <c r="G543" s="24" t="str">
        <v>P1</v>
      </c>
      <c r="H543" s="24" t="str">
        <v>Free user and active member</v>
      </c>
      <c r="I543" s="24" t="str">
        <v>Use prepared QA records and separate accounts. Record the actual URL and build on Run Overview. Prepare an editable profile and a second unrelated viewer.</v>
      </c>
      <c r="J543" s="24" t="str">
        <v>Regression</v>
      </c>
      <c r="K543" s="26"/>
      <c r="L543" s="26"/>
      <c r="M543" s="26"/>
      <c r="N543" s="29"/>
      <c r="O543" s="26"/>
      <c r="P543" s="26"/>
      <c r="Q543" s="26"/>
      <c r="R543" s="24" t="str">
        <v>Core</v>
      </c>
      <c r="S543" s="28" t="str">
        <v>New</v>
      </c>
      <c r="T543" s="28"/>
      <c r="U543" s="28" t="str">
        <v>New</v>
      </c>
    </row>
    <row r="544" ht="60" customHeight="1">
      <c r="A544" s="25" t="str">
        <v>Not Run</v>
      </c>
      <c r="B544" s="19" t="str">
        <v>GO-MAN-543</v>
      </c>
      <c r="C544" s="19" t="str">
        <v>Profile &amp; Passport Regression</v>
      </c>
      <c r="D544" s="19" t="str">
        <v>Download a populated permitted Passport PDF, open it and inspect long text and links.</v>
      </c>
      <c r="E544" s="19" t="str">
        <v>Correct user facts and privacy choices appear in a readable PDF without clipped sections.</v>
      </c>
      <c r="F544" s="19" t="str">
        <v>Passport PDF export</v>
      </c>
      <c r="G544" s="19" t="str">
        <v>P1</v>
      </c>
      <c r="H544" s="19" t="str">
        <v>Free user and active member</v>
      </c>
      <c r="I544" s="19" t="str">
        <v>Use prepared QA records and separate accounts. Record the actual URL and build on Run Overview. Prepare an editable profile and a second unrelated viewer.</v>
      </c>
      <c r="J544" s="19" t="str">
        <v>Regression</v>
      </c>
      <c r="K544" s="26"/>
      <c r="L544" s="26"/>
      <c r="M544" s="26"/>
      <c r="N544" s="29"/>
      <c r="O544" s="26"/>
      <c r="P544" s="26"/>
      <c r="Q544" s="26"/>
      <c r="R544" s="19" t="str">
        <v>Core</v>
      </c>
      <c r="S544" s="27" t="str">
        <v>New</v>
      </c>
      <c r="T544" s="27"/>
      <c r="U544" s="27" t="str">
        <v>New</v>
      </c>
    </row>
    <row r="545" ht="60" customHeight="1">
      <c r="A545" s="25" t="str">
        <v>Not Run</v>
      </c>
      <c r="B545" s="24" t="str">
        <v>GO-MAN-544</v>
      </c>
      <c r="C545" s="24" t="str">
        <v>Profile &amp; Passport Regression</v>
      </c>
      <c r="D545" s="24" t="str">
        <v>Move between Profile, Passport, Learning and public profile through tabs and browser Back.</v>
      </c>
      <c r="E545" s="24" t="str">
        <v>Each destination has a clear purpose and preserves the correct user and tab state. Log overlap suggestions in UX Backlog.</v>
      </c>
      <c r="F545" s="24" t="str">
        <v>Profile and Passport navigation</v>
      </c>
      <c r="G545" s="24" t="str">
        <v>P1</v>
      </c>
      <c r="H545" s="24" t="str">
        <v>Free user and active member</v>
      </c>
      <c r="I545" s="24" t="str">
        <v>Use prepared QA records and separate accounts. Record the actual URL and build on Run Overview. Prepare an editable profile and a second unrelated viewer.</v>
      </c>
      <c r="J545" s="24" t="str">
        <v>Regression</v>
      </c>
      <c r="K545" s="26"/>
      <c r="L545" s="26"/>
      <c r="M545" s="26"/>
      <c r="N545" s="29"/>
      <c r="O545" s="26"/>
      <c r="P545" s="26"/>
      <c r="Q545" s="26"/>
      <c r="R545" s="24" t="str">
        <v>Core</v>
      </c>
      <c r="S545" s="28" t="str">
        <v>New</v>
      </c>
      <c r="T545" s="28"/>
      <c r="U545" s="28" t="str">
        <v>New</v>
      </c>
    </row>
    <row r="546" ht="64" customHeight="1">
      <c r="A546" s="25" t="str">
        <v>Not Run</v>
      </c>
      <c r="B546" s="19" t="str">
        <v>GO-MAN-545</v>
      </c>
      <c r="C546" s="19" t="str">
        <v>Creator Capacity &amp; Publishing</v>
      </c>
      <c r="D546" s="19" t="str">
        <v>As active Mentor with no occupied slot create an own-game project.</v>
      </c>
      <c r="E546" s="19" t="str">
        <v>One unreleased creator slot is available independently of mentor verification.</v>
      </c>
      <c r="F546" s="19" t="str">
        <v>Mentor creator allowance</v>
      </c>
      <c r="G546" s="19" t="str">
        <v>P1</v>
      </c>
      <c r="H546" s="19" t="str">
        <v>Community, Mentor, Business and admin</v>
      </c>
      <c r="I546" s="19" t="str">
        <v>Use prepared QA records and separate accounts. Record the actual URL and build on Run Overview. Prepare new members, occupied capacity and approved-release fixtures.</v>
      </c>
      <c r="J546" s="19" t="str">
        <v>Regression</v>
      </c>
      <c r="K546" s="26"/>
      <c r="L546" s="26"/>
      <c r="M546" s="26"/>
      <c r="N546" s="29"/>
      <c r="O546" s="26"/>
      <c r="P546" s="26"/>
      <c r="Q546" s="26"/>
      <c r="R546" s="19" t="str">
        <v>Core</v>
      </c>
      <c r="S546" s="27" t="str">
        <v>New</v>
      </c>
      <c r="T546" s="27"/>
      <c r="U546" s="27" t="str">
        <v>New</v>
      </c>
    </row>
    <row r="547" ht="64" customHeight="1">
      <c r="A547" s="25" t="str">
        <v>Not Run</v>
      </c>
      <c r="B547" s="24" t="str">
        <v>GO-MAN-546</v>
      </c>
      <c r="C547" s="24" t="str">
        <v>Creator Capacity &amp; Publishing</v>
      </c>
      <c r="D547" s="24" t="str">
        <v>As Community with one unreleased project, attempt another creation in two tabs.</v>
      </c>
      <c r="E547" s="24" t="str">
        <v>No second unreleased project is created. The message explains GO release approval.</v>
      </c>
      <c r="F547" s="24" t="str">
        <v>Creator slot limit</v>
      </c>
      <c r="G547" s="24" t="str">
        <v>P0</v>
      </c>
      <c r="H547" s="24" t="str">
        <v>Community, Mentor, Business and admin</v>
      </c>
      <c r="I547" s="24" t="str">
        <v>Use prepared QA records and separate accounts. Record the actual URL and build on Run Overview. Prepare new members, occupied capacity and approved-release fixtures.</v>
      </c>
      <c r="J547" s="24" t="str">
        <v>Smoke</v>
      </c>
      <c r="K547" s="26"/>
      <c r="L547" s="26"/>
      <c r="M547" s="26"/>
      <c r="N547" s="29"/>
      <c r="O547" s="26"/>
      <c r="P547" s="26"/>
      <c r="Q547" s="26"/>
      <c r="R547" s="24" t="str">
        <v>Core</v>
      </c>
      <c r="S547" s="28" t="str">
        <v>New</v>
      </c>
      <c r="T547" s="28"/>
      <c r="U547" s="28" t="str">
        <v>New</v>
      </c>
    </row>
    <row r="548" ht="64" customHeight="1">
      <c r="A548" s="25" t="str">
        <v>Not Run</v>
      </c>
      <c r="B548" s="19" t="str">
        <v>GO-MAN-547</v>
      </c>
      <c r="C548" s="19" t="str">
        <v>Creator Capacity &amp; Publishing</v>
      </c>
      <c r="D548" s="19" t="str">
        <v>Delete an unfinished QA project, then attempt another creator project.</v>
      </c>
      <c r="E548" s="19" t="str">
        <v>The occupied ledger prevents deleting unfinished work to gain a new slot.</v>
      </c>
      <c r="F548" s="19" t="str">
        <v>Deleting does not reset allowance</v>
      </c>
      <c r="G548" s="19" t="str">
        <v>P0</v>
      </c>
      <c r="H548" s="19" t="str">
        <v>Community, Mentor, Business and admin</v>
      </c>
      <c r="I548" s="19" t="str">
        <v>Use prepared QA records and separate accounts. Record the actual URL and build on Run Overview. Prepare new members, occupied capacity and approved-release fixtures.</v>
      </c>
      <c r="J548" s="19" t="str">
        <v>Regression</v>
      </c>
      <c r="K548" s="26"/>
      <c r="L548" s="26"/>
      <c r="M548" s="26"/>
      <c r="N548" s="29"/>
      <c r="O548" s="26"/>
      <c r="P548" s="26"/>
      <c r="Q548" s="26"/>
      <c r="R548" s="19" t="str">
        <v>Core</v>
      </c>
      <c r="S548" s="27" t="str">
        <v>New</v>
      </c>
      <c r="T548" s="27"/>
      <c r="U548" s="27" t="str">
        <v>New</v>
      </c>
    </row>
    <row r="549" ht="64" customHeight="1">
      <c r="A549" s="25" t="str">
        <v>Not Run</v>
      </c>
      <c r="B549" s="24" t="str">
        <v>GO-MAN-548</v>
      </c>
      <c r="C549" s="24" t="str">
        <v>Creator Capacity &amp; Publishing</v>
      </c>
      <c r="D549" s="24" t="str">
        <v>Archive an unreleased project and retry creator creation.</v>
      </c>
      <c r="E549" s="24" t="str">
        <v>The occupied slot remains used until GO approves a release.</v>
      </c>
      <c r="F549" s="24" t="str">
        <v>Archive does not reset allowance</v>
      </c>
      <c r="G549" s="24" t="str">
        <v>P1</v>
      </c>
      <c r="H549" s="24" t="str">
        <v>Community, Mentor, Business and admin</v>
      </c>
      <c r="I549" s="24" t="str">
        <v>Use prepared QA records and separate accounts. Record the actual URL and build on Run Overview. Prepare new members, occupied capacity and approved-release fixtures.</v>
      </c>
      <c r="J549" s="24" t="str">
        <v>Regression</v>
      </c>
      <c r="K549" s="26"/>
      <c r="L549" s="26"/>
      <c r="M549" s="26"/>
      <c r="N549" s="29"/>
      <c r="O549" s="26"/>
      <c r="P549" s="26"/>
      <c r="Q549" s="26"/>
      <c r="R549" s="24" t="str">
        <v>Core</v>
      </c>
      <c r="S549" s="28" t="str">
        <v>New</v>
      </c>
      <c r="T549" s="28"/>
      <c r="U549" s="28" t="str">
        <v>New</v>
      </c>
    </row>
    <row r="550" ht="64" customHeight="1">
      <c r="A550" s="25" t="str">
        <v>Not Run</v>
      </c>
      <c r="B550" s="19" t="str">
        <v>GO-MAN-549</v>
      </c>
      <c r="C550" s="19" t="str">
        <v>Creator Capacity &amp; Publishing</v>
      </c>
      <c r="D550" s="19" t="str">
        <v>Have admin approve release with evidence, refresh owner capacity and create a next project.</v>
      </c>
      <c r="E550" s="19" t="str">
        <v>A valid GO approval frees the prior slot once. Owner cannot self-award release approval.</v>
      </c>
      <c r="F550" s="19" t="str">
        <v>GO-approved release frees slot</v>
      </c>
      <c r="G550" s="19" t="str">
        <v>P0</v>
      </c>
      <c r="H550" s="19" t="str">
        <v>Community, Mentor, Business and admin</v>
      </c>
      <c r="I550" s="19" t="str">
        <v>Use prepared QA records and separate accounts. Record the actual URL and build on Run Overview. Prepare new members, occupied capacity and approved-release fixtures.</v>
      </c>
      <c r="J550" s="19" t="str">
        <v>Regression</v>
      </c>
      <c r="K550" s="26"/>
      <c r="L550" s="26"/>
      <c r="M550" s="26"/>
      <c r="N550" s="29"/>
      <c r="O550" s="26"/>
      <c r="P550" s="26"/>
      <c r="Q550" s="26"/>
      <c r="R550" s="19" t="str">
        <v>Core</v>
      </c>
      <c r="S550" s="27" t="str">
        <v>New</v>
      </c>
      <c r="T550" s="27"/>
      <c r="U550" s="27" t="str">
        <v>New</v>
      </c>
    </row>
    <row r="551" ht="64" customHeight="1">
      <c r="A551" s="25" t="str">
        <v>Not Run</v>
      </c>
      <c r="B551" s="24" t="str">
        <v>GO-MAN-550</v>
      </c>
      <c r="C551" s="24" t="str">
        <v>Creator Capacity &amp; Publishing</v>
      </c>
      <c r="D551" s="24" t="str">
        <v>As Community choose the hire-talent project intent and submit via UI/direct request.</v>
      </c>
      <c r="E551" s="24" t="str">
        <v>GO Business is required for hiring briefs. Own-game creator allowance remains distinct.</v>
      </c>
      <c r="F551" s="24" t="str">
        <v>Community hiring-brief gate</v>
      </c>
      <c r="G551" s="24" t="str">
        <v>P0</v>
      </c>
      <c r="H551" s="24" t="str">
        <v>Community, Mentor, Business and admin</v>
      </c>
      <c r="I551" s="24" t="str">
        <v>Use prepared QA records and separate accounts. Record the actual URL and build on Run Overview. Prepare new members, occupied capacity and approved-release fixtures.</v>
      </c>
      <c r="J551" s="24" t="str">
        <v>Regression</v>
      </c>
      <c r="K551" s="26"/>
      <c r="L551" s="26"/>
      <c r="M551" s="26"/>
      <c r="N551" s="29"/>
      <c r="O551" s="26"/>
      <c r="P551" s="26"/>
      <c r="Q551" s="26"/>
      <c r="R551" s="24" t="str">
        <v>Core</v>
      </c>
      <c r="S551" s="28" t="str">
        <v>New</v>
      </c>
      <c r="T551" s="28"/>
      <c r="U551" s="28" t="str">
        <v>New</v>
      </c>
    </row>
    <row r="552" ht="64" customHeight="1">
      <c r="A552" s="25" t="str">
        <v>Not Run</v>
      </c>
      <c r="B552" s="19" t="str">
        <v>GO-MAN-551</v>
      </c>
      <c r="C552" s="19" t="str">
        <v>Creator Capacity &amp; Publishing</v>
      </c>
      <c r="D552" s="19" t="str">
        <v>As Business with limit two and one occupied slot, submit two creations concurrently.</v>
      </c>
      <c r="E552" s="19" t="str">
        <v>Only one additional project succeeds and agreed capacity is not exceeded.</v>
      </c>
      <c r="F552" s="19" t="str">
        <v>Business capacity boundary</v>
      </c>
      <c r="G552" s="19" t="str">
        <v>P0</v>
      </c>
      <c r="H552" s="19" t="str">
        <v>Community, Mentor, Business and admin</v>
      </c>
      <c r="I552" s="19" t="str">
        <v>Use prepared QA records and separate accounts. Record the actual URL and build on Run Overview. Prepare new members, occupied capacity and approved-release fixtures.</v>
      </c>
      <c r="J552" s="19" t="str">
        <v>Regression</v>
      </c>
      <c r="K552" s="26"/>
      <c r="L552" s="26"/>
      <c r="M552" s="26"/>
      <c r="N552" s="29"/>
      <c r="O552" s="26"/>
      <c r="P552" s="26"/>
      <c r="Q552" s="26"/>
      <c r="R552" s="19" t="str">
        <v>Core</v>
      </c>
      <c r="S552" s="27" t="str">
        <v>New</v>
      </c>
      <c r="T552" s="27"/>
      <c r="U552" s="27" t="str">
        <v>New</v>
      </c>
    </row>
    <row r="553" ht="64" customHeight="1">
      <c r="A553" s="25" t="str">
        <v>Not Run</v>
      </c>
      <c r="B553" s="24" t="str">
        <v>GO-MAN-552</v>
      </c>
      <c r="C553" s="24" t="str">
        <v>Creator Capacity &amp; Publishing</v>
      </c>
      <c r="D553" s="24" t="str">
        <v>As a former paid creator open an owned project and try new creation and release/publishing review requests.</v>
      </c>
      <c r="E553" s="24" t="str">
        <v>Permitted owner visibility remains distinct from paid actions. New creation and release/publishing requests require current entitlement.</v>
      </c>
      <c r="F553" s="24" t="str">
        <v>Expired creator workspace</v>
      </c>
      <c r="G553" s="24" t="str">
        <v>P1</v>
      </c>
      <c r="H553" s="24" t="str">
        <v>Community, Mentor, Business and admin</v>
      </c>
      <c r="I553" s="24" t="str">
        <v>Use prepared QA records and separate accounts. Record the actual URL and build on Run Overview. Prepare new members, occupied capacity and approved-release fixtures.</v>
      </c>
      <c r="J553" s="24" t="str">
        <v>Regression</v>
      </c>
      <c r="K553" s="26"/>
      <c r="L553" s="26"/>
      <c r="M553" s="26"/>
      <c r="N553" s="29"/>
      <c r="O553" s="26"/>
      <c r="P553" s="26"/>
      <c r="Q553" s="26"/>
      <c r="R553" s="24" t="str">
        <v>Core</v>
      </c>
      <c r="S553" s="28" t="str">
        <v>New</v>
      </c>
      <c r="T553" s="28"/>
      <c r="U553" s="28" t="str">
        <v>New</v>
      </c>
    </row>
    <row r="554" ht="64" customHeight="1">
      <c r="A554" s="25" t="str">
        <v>Not Run</v>
      </c>
      <c r="B554" s="19" t="str">
        <v>GO-MAN-553</v>
      </c>
      <c r="C554" s="19" t="str">
        <v>Creator Capacity &amp; Publishing</v>
      </c>
      <c r="D554" s="19" t="str">
        <v>View a project team as visitor and inspect its API payload.</v>
      </c>
      <c r="E554" s="19" t="str">
        <v>Names, profile links and avatars work without exposing team email addresses.</v>
      </c>
      <c r="F554" s="19" t="str">
        <v>Public team email removal</v>
      </c>
      <c r="G554" s="19" t="str">
        <v>P0</v>
      </c>
      <c r="H554" s="19" t="str">
        <v>Community, Mentor, Business and admin</v>
      </c>
      <c r="I554" s="19" t="str">
        <v>Use prepared QA records and separate accounts. Record the actual URL and build on Run Overview. Prepare new members, occupied capacity and approved-release fixtures.</v>
      </c>
      <c r="J554" s="19" t="str">
        <v>Regression</v>
      </c>
      <c r="K554" s="26"/>
      <c r="L554" s="26"/>
      <c r="M554" s="26"/>
      <c r="N554" s="29"/>
      <c r="O554" s="26"/>
      <c r="P554" s="26"/>
      <c r="Q554" s="26"/>
      <c r="R554" s="19" t="str">
        <v>Core</v>
      </c>
      <c r="S554" s="27" t="str">
        <v>New</v>
      </c>
      <c r="T554" s="27"/>
      <c r="U554" s="27" t="str">
        <v>New</v>
      </c>
    </row>
    <row r="555" ht="64" customHeight="1">
      <c r="A555" s="25" t="str">
        <v>Not Run</v>
      </c>
      <c r="B555" s="24" t="str">
        <v>GO-MAN-554</v>
      </c>
      <c r="C555" s="24" t="str">
        <v>Creator Capacity &amp; Publishing</v>
      </c>
      <c r="D555" s="24" t="str">
        <v>Submit an application, open own Applications, cancel it and refresh.</v>
      </c>
      <c r="E555" s="24" t="str">
        <v>The correct project and application state remain visible after each action.</v>
      </c>
      <c r="F555" s="24" t="str">
        <v>Application appears in own workspace</v>
      </c>
      <c r="G555" s="24" t="str">
        <v>P0</v>
      </c>
      <c r="H555" s="24" t="str">
        <v>Community, Mentor, Business and admin</v>
      </c>
      <c r="I555" s="24" t="str">
        <v>Use prepared QA records and separate accounts. Record the actual URL and build on Run Overview. Prepare new members, occupied capacity and approved-release fixtures.</v>
      </c>
      <c r="J555" s="24" t="str">
        <v>Regression</v>
      </c>
      <c r="K555" s="26"/>
      <c r="L555" s="26"/>
      <c r="M555" s="26"/>
      <c r="N555" s="29"/>
      <c r="O555" s="26"/>
      <c r="P555" s="26"/>
      <c r="Q555" s="26"/>
      <c r="R555" s="24" t="str">
        <v>Core</v>
      </c>
      <c r="S555" s="28" t="str">
        <v>New</v>
      </c>
      <c r="T555" s="28"/>
      <c r="U555" s="28" t="str">
        <v>New</v>
      </c>
    </row>
    <row r="556" ht="64" customHeight="1">
      <c r="A556" s="25" t="str">
        <v>Not Run</v>
      </c>
      <c r="B556" s="19" t="str">
        <v>GO-MAN-555</v>
      </c>
      <c r="C556" s="19" t="str">
        <v>Creator Capacity &amp; Publishing</v>
      </c>
      <c r="D556" s="19" t="str">
        <v>Create/edit with optional budget blank, fail one save in QA and retry.</v>
      </c>
      <c r="E556" s="19" t="str">
        <v>Valid input persists, blank budget is supported and one successful save results.</v>
      </c>
      <c r="F556" s="19" t="str">
        <v>Project save recovery</v>
      </c>
      <c r="G556" s="19" t="str">
        <v>P1</v>
      </c>
      <c r="H556" s="19" t="str">
        <v>Community, Mentor, Business and admin</v>
      </c>
      <c r="I556" s="19" t="str">
        <v>Use prepared QA records and separate accounts. Record the actual URL and build on Run Overview. Prepare new members, occupied capacity and approved-release fixtures.</v>
      </c>
      <c r="J556" s="19" t="str">
        <v>Regression</v>
      </c>
      <c r="K556" s="26"/>
      <c r="L556" s="26"/>
      <c r="M556" s="26"/>
      <c r="N556" s="29"/>
      <c r="O556" s="26"/>
      <c r="P556" s="26"/>
      <c r="Q556" s="26"/>
      <c r="R556" s="19" t="str">
        <v>Core</v>
      </c>
      <c r="S556" s="27" t="str">
        <v>New</v>
      </c>
      <c r="T556" s="27"/>
      <c r="U556" s="27" t="str">
        <v>New</v>
      </c>
    </row>
    <row r="557" ht="64" customHeight="1">
      <c r="A557" s="25" t="str">
        <v>Not Run</v>
      </c>
      <c r="B557" s="24" t="str">
        <v>GO-MAN-556</v>
      </c>
      <c r="C557" s="24" t="str">
        <v>Creator Capacity &amp; Publishing</v>
      </c>
      <c r="D557" s="24" t="str">
        <v>As owner remove a QA member with any required confirmation. Compare unrelated-user attempt.</v>
      </c>
      <c r="E557" s="24" t="str">
        <v>Authorized removal persists and unauthorized removal is denied.</v>
      </c>
      <c r="F557" s="24" t="str">
        <v>Owner removes team member</v>
      </c>
      <c r="G557" s="24" t="str">
        <v>P1</v>
      </c>
      <c r="H557" s="24" t="str">
        <v>Community, Mentor, Business and admin</v>
      </c>
      <c r="I557" s="24" t="str">
        <v>Use prepared QA records and separate accounts. Record the actual URL and build on Run Overview. Prepare new members, occupied capacity and approved-release fixtures.</v>
      </c>
      <c r="J557" s="24" t="str">
        <v>Regression</v>
      </c>
      <c r="K557" s="26"/>
      <c r="L557" s="26"/>
      <c r="M557" s="26"/>
      <c r="N557" s="29"/>
      <c r="O557" s="26"/>
      <c r="P557" s="26"/>
      <c r="Q557" s="26"/>
      <c r="R557" s="24" t="str">
        <v>Core</v>
      </c>
      <c r="S557" s="28" t="str">
        <v>New</v>
      </c>
      <c r="T557" s="28"/>
      <c r="U557" s="28" t="str">
        <v>New</v>
      </c>
    </row>
    <row r="558" ht="64" customHeight="1">
      <c r="A558" s="25" t="str">
        <v>Not Run</v>
      </c>
      <c r="B558" s="19" t="str">
        <v>GO-MAN-557</v>
      </c>
      <c r="C558" s="19" t="str">
        <v>Creator Capacity &amp; Publishing</v>
      </c>
      <c r="D558" s="19" t="str">
        <v>Reject a prepared application, then inspect applicant state and available reapplication controls.</v>
      </c>
      <c r="E558" s="19" t="str">
        <v>Existing rejection works. Record missing rejection reasons or creator-controlled reapplication as product decisions, not assumed implemented features.</v>
      </c>
      <c r="F558" s="19" t="str">
        <v>Rejected application current behavior</v>
      </c>
      <c r="G558" s="19" t="str">
        <v>P1</v>
      </c>
      <c r="H558" s="19" t="str">
        <v>Community, Mentor, Business and admin</v>
      </c>
      <c r="I558" s="19" t="str">
        <v>Use prepared QA records and separate accounts. Record the actual URL and build on Run Overview. Prepare new members, occupied capacity and approved-release fixtures.</v>
      </c>
      <c r="J558" s="19" t="str">
        <v>Regression</v>
      </c>
      <c r="K558" s="26"/>
      <c r="L558" s="26"/>
      <c r="M558" s="26"/>
      <c r="N558" s="29"/>
      <c r="O558" s="26"/>
      <c r="P558" s="26"/>
      <c r="Q558" s="26"/>
      <c r="R558" s="19" t="str">
        <v>Core</v>
      </c>
      <c r="S558" s="27" t="str">
        <v>New</v>
      </c>
      <c r="T558" s="27"/>
      <c r="U558" s="27" t="str">
        <v>New</v>
      </c>
    </row>
    <row r="559" ht="64" customHeight="1">
      <c r="A559" s="25" t="str">
        <v>Not Run</v>
      </c>
      <c r="B559" s="24" t="str">
        <v>GO-MAN-558</v>
      </c>
      <c r="C559" s="24" t="str">
        <v>Team Matchmaking</v>
      </c>
      <c r="D559" s="24" t="str">
        <v>Record matchmaking availability on the identified production-like and preview QA builds.</v>
      </c>
      <c r="E559" s="24" t="str">
        <v>Current code defaults on in production and off in previews. Overrides are recorded; a preview-disabled state is not a production outage.</v>
      </c>
      <c r="F559" s="24" t="str">
        <v>Production and preview flag defaults</v>
      </c>
      <c r="G559" s="24" t="str">
        <v>P0</v>
      </c>
      <c r="H559" s="24" t="str">
        <v>Two eligible opted-in creators and an unrelated account</v>
      </c>
      <c r="I559" s="24" t="str">
        <v>Use prepared QA records and separate accounts. Record the actual URL and build on Run Overview. Use two browsers and prepared compatible profiles. Confirm the effective matchmaking flag.</v>
      </c>
      <c r="J559" s="24" t="str">
        <v>Smoke</v>
      </c>
      <c r="K559" s="26"/>
      <c r="L559" s="26"/>
      <c r="M559" s="26"/>
      <c r="N559" s="29"/>
      <c r="O559" s="26"/>
      <c r="P559" s="26"/>
      <c r="Q559" s="26"/>
      <c r="R559" s="24" t="str">
        <v>GO_MATCHMAKING_ENABLED</v>
      </c>
      <c r="S559" s="28" t="str">
        <v>New</v>
      </c>
      <c r="T559" s="28"/>
      <c r="U559" s="28" t="str">
        <v>New</v>
      </c>
    </row>
    <row r="560" ht="64" customHeight="1">
      <c r="A560" s="25" t="str">
        <v>Not Run</v>
      </c>
      <c r="B560" s="19" t="str">
        <v>GO-MAN-559</v>
      </c>
      <c r="C560" s="19" t="str">
        <v>Team Matchmaking</v>
      </c>
      <c r="D560" s="19" t="str">
        <v>Open /matchmaking as visitor, free, expired, Community and Business users. Inspect /api/matchmaking responses.</v>
      </c>
      <c r="E560" s="19" t="str">
        <v>Only current Community-content-entitled accounts can use matching. Visitors/free users get the appropriate sign-in or membership path.</v>
      </c>
      <c r="F560" s="19" t="str">
        <v>Membership enforcement</v>
      </c>
      <c r="G560" s="19" t="str">
        <v>P0</v>
      </c>
      <c r="H560" s="19" t="str">
        <v>Two eligible opted-in creators and an unrelated account</v>
      </c>
      <c r="I560" s="19" t="str">
        <v>Use prepared QA records and separate accounts. Record the actual URL and build on Run Overview. Use two browsers and prepared compatible profiles. Confirm the effective matchmaking flag.</v>
      </c>
      <c r="J560" s="19" t="str">
        <v>Smoke</v>
      </c>
      <c r="K560" s="26"/>
      <c r="L560" s="26"/>
      <c r="M560" s="26"/>
      <c r="N560" s="29"/>
      <c r="O560" s="26"/>
      <c r="P560" s="26"/>
      <c r="Q560" s="26"/>
      <c r="R560" s="19" t="str">
        <v>GO_MATCHMAKING_ENABLED</v>
      </c>
      <c r="S560" s="27" t="str">
        <v>New</v>
      </c>
      <c r="T560" s="27"/>
      <c r="U560" s="27" t="str">
        <v>New</v>
      </c>
    </row>
    <row r="561" ht="64" customHeight="1">
      <c r="A561" s="25" t="str">
        <v>Not Run</v>
      </c>
      <c r="B561" s="24" t="str">
        <v>GO-MAN-560</v>
      </c>
      <c r="C561" s="24" t="str">
        <v>Team Matchmaking</v>
      </c>
      <c r="D561" s="24" t="str">
        <v>Open a fresh eligible account’s matching preferences before saving. Compare suggestions from another account.</v>
      </c>
      <c r="E561" s="24" t="str">
        <v>Default is not opted in. No profile is offered to others until explicit opt-in.</v>
      </c>
      <c r="F561" s="24" t="str">
        <v>Explicit opt-in</v>
      </c>
      <c r="G561" s="24" t="str">
        <v>P0</v>
      </c>
      <c r="H561" s="24" t="str">
        <v>Two eligible opted-in creators and an unrelated account</v>
      </c>
      <c r="I561" s="24" t="str">
        <v>Use prepared QA records and separate accounts. Record the actual URL and build on Run Overview. Use two browsers and prepared compatible profiles. Confirm the effective matchmaking flag.</v>
      </c>
      <c r="J561" s="24" t="str">
        <v>Regression</v>
      </c>
      <c r="K561" s="26"/>
      <c r="L561" s="26"/>
      <c r="M561" s="26"/>
      <c r="N561" s="29"/>
      <c r="O561" s="26"/>
      <c r="P561" s="26"/>
      <c r="Q561" s="26"/>
      <c r="R561" s="24" t="str">
        <v>GO_MATCHMAKING_ENABLED</v>
      </c>
      <c r="S561" s="28" t="str">
        <v>New</v>
      </c>
      <c r="T561" s="28"/>
      <c r="U561" s="28" t="str">
        <v>New</v>
      </c>
    </row>
    <row r="562" ht="64" customHeight="1">
      <c r="A562" s="25" t="str">
        <v>Not Run</v>
      </c>
      <c r="B562" s="19" t="str">
        <v>GO-MAN-561</v>
      </c>
      <c r="C562" s="19" t="str">
        <v>Team Matchmaking</v>
      </c>
      <c r="D562" s="19" t="str">
        <v>Opt in, choose goal, desired skills, interests and timezone. Save and reload.</v>
      </c>
      <c r="E562" s="19" t="str">
        <v>Saved preferences persist for the correct user. No private profile fields are added to the shared projection.</v>
      </c>
      <c r="F562" s="19" t="str">
        <v>Preference persistence</v>
      </c>
      <c r="G562" s="19" t="str">
        <v>P0</v>
      </c>
      <c r="H562" s="19" t="str">
        <v>Two eligible opted-in creators and an unrelated account</v>
      </c>
      <c r="I562" s="19" t="str">
        <v>Use prepared QA records and separate accounts. Record the actual URL and build on Run Overview. Use two browsers and prepared compatible profiles. Confirm the effective matchmaking flag.</v>
      </c>
      <c r="J562" s="19" t="str">
        <v>Smoke</v>
      </c>
      <c r="K562" s="26"/>
      <c r="L562" s="26"/>
      <c r="M562" s="26"/>
      <c r="N562" s="29"/>
      <c r="O562" s="26"/>
      <c r="P562" s="26"/>
      <c r="Q562" s="26"/>
      <c r="R562" s="19" t="str">
        <v>GO_MATCHMAKING_ENABLED</v>
      </c>
      <c r="S562" s="27" t="str">
        <v>New</v>
      </c>
      <c r="T562" s="27"/>
      <c r="U562" s="27" t="str">
        <v>New</v>
      </c>
    </row>
    <row r="563" ht="64" customHeight="1">
      <c r="A563" s="25" t="str">
        <v>Not Run</v>
      </c>
      <c r="B563" s="24" t="str">
        <v>GO-MAN-562</v>
      </c>
      <c r="C563" s="24" t="str">
        <v>Team Matchmaking</v>
      </c>
      <c r="D563" s="24" t="str">
        <v>Update skills and project availability in profile, then reload matching.</v>
      </c>
      <c r="E563" s="24" t="str">
        <v>Matching uses current profile skills and availability instead of a conflicting second source.</v>
      </c>
      <c r="F563" s="24" t="str">
        <v>Existing skills and availability</v>
      </c>
      <c r="G563" s="24" t="str">
        <v>P1</v>
      </c>
      <c r="H563" s="24" t="str">
        <v>Two eligible opted-in creators and an unrelated account</v>
      </c>
      <c r="I563" s="24" t="str">
        <v>Use prepared QA records and separate accounts. Record the actual URL and build on Run Overview. Use two browsers and prepared compatible profiles. Confirm the effective matchmaking flag.</v>
      </c>
      <c r="J563" s="24" t="str">
        <v>Regression</v>
      </c>
      <c r="K563" s="26"/>
      <c r="L563" s="26"/>
      <c r="M563" s="26"/>
      <c r="N563" s="29"/>
      <c r="O563" s="26"/>
      <c r="P563" s="26"/>
      <c r="Q563" s="26"/>
      <c r="R563" s="24" t="str">
        <v>GO_MATCHMAKING_ENABLED</v>
      </c>
      <c r="S563" s="28" t="str">
        <v>New</v>
      </c>
      <c r="T563" s="28"/>
      <c r="U563" s="28" t="str">
        <v>New</v>
      </c>
    </row>
    <row r="564" ht="64" customHeight="1">
      <c r="A564" s="25" t="str">
        <v>Not Run</v>
      </c>
      <c r="B564" s="19" t="str">
        <v>GO-MAN-563</v>
      </c>
      <c r="C564" s="19" t="str">
        <v>Team Matchmaking</v>
      </c>
      <c r="D564" s="19" t="str">
        <v>Try an invalid timezone and more than the supported desired skills/interests through a QA request.</v>
      </c>
      <c r="E564" s="19" t="str">
        <v>Invalid values are rejected or bounded as documented. Previously saved valid preferences remain.</v>
      </c>
      <c r="F564" s="19" t="str">
        <v>Invalid preference boundary</v>
      </c>
      <c r="G564" s="19" t="str">
        <v>P1</v>
      </c>
      <c r="H564" s="19" t="str">
        <v>Two eligible opted-in creators and an unrelated account</v>
      </c>
      <c r="I564" s="19" t="str">
        <v>Use prepared QA records and separate accounts. Record the actual URL and build on Run Overview. Use two browsers and prepared compatible profiles. Confirm the effective matchmaking flag.</v>
      </c>
      <c r="J564" s="19" t="str">
        <v>Regression</v>
      </c>
      <c r="K564" s="26"/>
      <c r="L564" s="26"/>
      <c r="M564" s="26"/>
      <c r="N564" s="29"/>
      <c r="O564" s="26"/>
      <c r="P564" s="26"/>
      <c r="Q564" s="26"/>
      <c r="R564" s="19" t="str">
        <v>GO_MATCHMAKING_ENABLED</v>
      </c>
      <c r="S564" s="27" t="str">
        <v>New</v>
      </c>
      <c r="T564" s="27"/>
      <c r="U564" s="27" t="str">
        <v>New</v>
      </c>
    </row>
    <row r="565" ht="64" customHeight="1">
      <c r="A565" s="25" t="str">
        <v>Not Run</v>
      </c>
      <c r="B565" s="24" t="str">
        <v>GO-MAN-564</v>
      </c>
      <c r="C565" s="24" t="str">
        <v>Team Matchmaking</v>
      </c>
      <c r="D565" s="24" t="str">
        <v>Use profiles with complementary skills, shared interests and goals. Inspect suggestion reasons.</v>
      </c>
      <c r="E565" s="24" t="str">
        <v>Reasons reflect the chosen shared data and do not claim guaranteed outcomes.</v>
      </c>
      <c r="F565" s="24" t="str">
        <v>Suggestion reasons</v>
      </c>
      <c r="G565" s="24" t="str">
        <v>P1</v>
      </c>
      <c r="H565" s="24" t="str">
        <v>Two eligible opted-in creators and an unrelated account</v>
      </c>
      <c r="I565" s="24" t="str">
        <v>Use prepared QA records and separate accounts. Record the actual URL and build on Run Overview. Use two browsers and prepared compatible profiles. Confirm the effective matchmaking flag.</v>
      </c>
      <c r="J565" s="24" t="str">
        <v>Regression</v>
      </c>
      <c r="K565" s="26"/>
      <c r="L565" s="26"/>
      <c r="M565" s="26"/>
      <c r="N565" s="29"/>
      <c r="O565" s="26"/>
      <c r="P565" s="26"/>
      <c r="Q565" s="26"/>
      <c r="R565" s="24" t="str">
        <v>GO_MATCHMAKING_ENABLED</v>
      </c>
      <c r="S565" s="28" t="str">
        <v>New</v>
      </c>
      <c r="T565" s="28"/>
      <c r="U565" s="28" t="str">
        <v>New</v>
      </c>
    </row>
    <row r="566" ht="64" customHeight="1">
      <c r="A566" s="25" t="str">
        <v>Not Run</v>
      </c>
      <c r="B566" s="19" t="str">
        <v>GO-MAN-565</v>
      </c>
      <c r="C566" s="19" t="str">
        <v>Team Matchmaking</v>
      </c>
      <c r="D566" s="19" t="str">
        <v>Mark a prepared candidate unavailable for projects and refresh suggestions/requests.</v>
      </c>
      <c r="E566" s="19" t="str">
        <v>They cannot be accepted as a new available match. Stale cards do not bypass revalidation.</v>
      </c>
      <c r="F566" s="19" t="str">
        <v>Unavailable creators excluded</v>
      </c>
      <c r="G566" s="19" t="str">
        <v>P0</v>
      </c>
      <c r="H566" s="19" t="str">
        <v>Two eligible opted-in creators and an unrelated account</v>
      </c>
      <c r="I566" s="19" t="str">
        <v>Use prepared QA records and separate accounts. Record the actual URL and build on Run Overview. Use two browsers and prepared compatible profiles. Confirm the effective matchmaking flag.</v>
      </c>
      <c r="J566" s="19" t="str">
        <v>Regression</v>
      </c>
      <c r="K566" s="26"/>
      <c r="L566" s="26"/>
      <c r="M566" s="26"/>
      <c r="N566" s="29"/>
      <c r="O566" s="26"/>
      <c r="P566" s="26"/>
      <c r="Q566" s="26"/>
      <c r="R566" s="19" t="str">
        <v>GO_MATCHMAKING_ENABLED</v>
      </c>
      <c r="S566" s="27" t="str">
        <v>New</v>
      </c>
      <c r="T566" s="27"/>
      <c r="U566" s="27" t="str">
        <v>New</v>
      </c>
    </row>
    <row r="567" ht="64" customHeight="1">
      <c r="A567" s="25" t="str">
        <v>Not Run</v>
      </c>
      <c r="B567" s="24" t="str">
        <v>GO-MAN-566</v>
      </c>
      <c r="C567" s="24" t="str">
        <v>Team Matchmaking</v>
      </c>
      <c r="D567" s="24" t="str">
        <v>Accept creator B as A. Refresh both browsers before B responds.</v>
      </c>
      <c r="E567" s="24" t="str">
        <v>One pending request appears. A single acceptance does not create a mutual match.</v>
      </c>
      <c r="F567" s="24" t="str">
        <v>Single acceptance stays pending</v>
      </c>
      <c r="G567" s="24" t="str">
        <v>P0</v>
      </c>
      <c r="H567" s="24" t="str">
        <v>Two eligible opted-in creators and an unrelated account</v>
      </c>
      <c r="I567" s="24" t="str">
        <v>Use prepared QA records and separate accounts. Record the actual URL and build on Run Overview. Use two browsers and prepared compatible profiles. Confirm the effective matchmaking flag.</v>
      </c>
      <c r="J567" s="24" t="str">
        <v>Smoke</v>
      </c>
      <c r="K567" s="26"/>
      <c r="L567" s="26"/>
      <c r="M567" s="26"/>
      <c r="N567" s="29"/>
      <c r="O567" s="26"/>
      <c r="P567" s="26"/>
      <c r="Q567" s="26"/>
      <c r="R567" s="24" t="str">
        <v>GO_MATCHMAKING_ENABLED</v>
      </c>
      <c r="S567" s="28" t="str">
        <v>New</v>
      </c>
      <c r="T567" s="28"/>
      <c r="U567" s="28" t="str">
        <v>New</v>
      </c>
    </row>
    <row r="568" ht="64" customHeight="1">
      <c r="A568" s="25" t="str">
        <v>Not Run</v>
      </c>
      <c r="B568" s="19" t="str">
        <v>GO-MAN-567</v>
      </c>
      <c r="C568" s="19" t="str">
        <v>Team Matchmaking</v>
      </c>
      <c r="D568" s="19" t="str">
        <v>As B accept A’s pending request. Refresh both accounts.</v>
      </c>
      <c r="E568" s="19" t="str">
        <v>Both see one accepted match and permitted profile links. No automatic team assignment or contact message is sent.</v>
      </c>
      <c r="F568" s="19" t="str">
        <v>Mutual acceptance</v>
      </c>
      <c r="G568" s="19" t="str">
        <v>P0</v>
      </c>
      <c r="H568" s="19" t="str">
        <v>Two eligible opted-in creators and an unrelated account</v>
      </c>
      <c r="I568" s="19" t="str">
        <v>Use prepared QA records and separate accounts. Record the actual URL and build on Run Overview. Use two browsers and prepared compatible profiles. Confirm the effective matchmaking flag.</v>
      </c>
      <c r="J568" s="19" t="str">
        <v>Smoke</v>
      </c>
      <c r="K568" s="26"/>
      <c r="L568" s="26"/>
      <c r="M568" s="26"/>
      <c r="N568" s="29"/>
      <c r="O568" s="26"/>
      <c r="P568" s="26"/>
      <c r="Q568" s="26"/>
      <c r="R568" s="19" t="str">
        <v>GO_MATCHMAKING_ENABLED</v>
      </c>
      <c r="S568" s="27" t="str">
        <v>New</v>
      </c>
      <c r="T568" s="27"/>
      <c r="U568" s="27" t="str">
        <v>New</v>
      </c>
    </row>
    <row r="569" ht="64" customHeight="1">
      <c r="A569" s="25" t="str">
        <v>Not Run</v>
      </c>
      <c r="B569" s="24" t="str">
        <v>GO-MAN-568</v>
      </c>
      <c r="C569" s="24" t="str">
        <v>Team Matchmaking</v>
      </c>
      <c r="D569" s="24" t="str">
        <v>Decline a prepared pending request and refresh both accounts.</v>
      </c>
      <c r="E569" s="24" t="str">
        <v>The declined request does not become matched or keep an actionable stale acceptance.</v>
      </c>
      <c r="F569" s="24" t="str">
        <v>Decline request</v>
      </c>
      <c r="G569" s="24" t="str">
        <v>P1</v>
      </c>
      <c r="H569" s="24" t="str">
        <v>Two eligible opted-in creators and an unrelated account</v>
      </c>
      <c r="I569" s="24" t="str">
        <v>Use prepared QA records and separate accounts. Record the actual URL and build on Run Overview. Use two browsers and prepared compatible profiles. Confirm the effective matchmaking flag.</v>
      </c>
      <c r="J569" s="24" t="str">
        <v>Regression</v>
      </c>
      <c r="K569" s="26"/>
      <c r="L569" s="26"/>
      <c r="M569" s="26"/>
      <c r="N569" s="29"/>
      <c r="O569" s="26"/>
      <c r="P569" s="26"/>
      <c r="Q569" s="26"/>
      <c r="R569" s="24" t="str">
        <v>GO_MATCHMAKING_ENABLED</v>
      </c>
      <c r="S569" s="28" t="str">
        <v>New</v>
      </c>
      <c r="T569" s="28"/>
      <c r="U569" s="28" t="str">
        <v>New</v>
      </c>
    </row>
    <row r="570" ht="64" customHeight="1">
      <c r="A570" s="25" t="str">
        <v>Not Run</v>
      </c>
      <c r="B570" s="19" t="str">
        <v>GO-MAN-569</v>
      </c>
      <c r="C570" s="19" t="str">
        <v>Team Matchmaking</v>
      </c>
      <c r="D570" s="19" t="str">
        <v>Block a suggested candidate, then refresh both browsers and retry an old action.</v>
      </c>
      <c r="E570" s="19" t="str">
        <v>The blocked pair cannot continue matching and is removed from actionable results.</v>
      </c>
      <c r="F570" s="19" t="str">
        <v>Block candidate</v>
      </c>
      <c r="G570" s="19" t="str">
        <v>P0</v>
      </c>
      <c r="H570" s="19" t="str">
        <v>Two eligible opted-in creators and an unrelated account</v>
      </c>
      <c r="I570" s="19" t="str">
        <v>Use prepared QA records and separate accounts. Record the actual URL and build on Run Overview. Use two browsers and prepared compatible profiles. Confirm the effective matchmaking flag.</v>
      </c>
      <c r="J570" s="19" t="str">
        <v>Regression</v>
      </c>
      <c r="K570" s="26"/>
      <c r="L570" s="26"/>
      <c r="M570" s="26"/>
      <c r="N570" s="29"/>
      <c r="O570" s="26"/>
      <c r="P570" s="26"/>
      <c r="Q570" s="26"/>
      <c r="R570" s="19" t="str">
        <v>GO_MATCHMAKING_ENABLED</v>
      </c>
      <c r="S570" s="27" t="str">
        <v>New</v>
      </c>
      <c r="T570" s="27"/>
      <c r="U570" s="27" t="str">
        <v>New</v>
      </c>
    </row>
    <row r="571" ht="64" customHeight="1">
      <c r="A571" s="25" t="str">
        <v>Not Run</v>
      </c>
      <c r="B571" s="24" t="str">
        <v>GO-MAN-570</v>
      </c>
      <c r="C571" s="24" t="str">
        <v>Team Matchmaking</v>
      </c>
      <c r="D571" s="24" t="str">
        <v>Block from an accepted match. Reload both accounts and use an old request URL.</v>
      </c>
      <c r="E571" s="24" t="str">
        <v>The mutual match ends and cannot be reactivated through a stale action.</v>
      </c>
      <c r="F571" s="24" t="str">
        <v>End match and block</v>
      </c>
      <c r="G571" s="24" t="str">
        <v>P0</v>
      </c>
      <c r="H571" s="24" t="str">
        <v>Two eligible opted-in creators and an unrelated account</v>
      </c>
      <c r="I571" s="24" t="str">
        <v>Use prepared QA records and separate accounts. Record the actual URL and build on Run Overview. Use two browsers and prepared compatible profiles. Confirm the effective matchmaking flag.</v>
      </c>
      <c r="J571" s="24" t="str">
        <v>Regression</v>
      </c>
      <c r="K571" s="26"/>
      <c r="L571" s="26"/>
      <c r="M571" s="26"/>
      <c r="N571" s="29"/>
      <c r="O571" s="26"/>
      <c r="P571" s="26"/>
      <c r="Q571" s="26"/>
      <c r="R571" s="24" t="str">
        <v>GO_MATCHMAKING_ENABLED</v>
      </c>
      <c r="S571" s="28" t="str">
        <v>New</v>
      </c>
      <c r="T571" s="28"/>
      <c r="U571" s="28" t="str">
        <v>New</v>
      </c>
    </row>
    <row r="572" ht="64" customHeight="1">
      <c r="A572" s="25" t="str">
        <v>Not Run</v>
      </c>
      <c r="B572" s="19" t="str">
        <v>GO-MAN-571</v>
      </c>
      <c r="C572" s="19" t="str">
        <v>Team Matchmaking</v>
      </c>
      <c r="D572" s="19" t="str">
        <v>Opt out after receiving a request, then try accepting from the other browser.</v>
      </c>
      <c r="E572" s="19" t="str">
        <v>Current opt-in is rechecked and the opted-out profile is not exposed as available.</v>
      </c>
      <c r="F572" s="19" t="str">
        <v>Opt-out after request</v>
      </c>
      <c r="G572" s="19" t="str">
        <v>P0</v>
      </c>
      <c r="H572" s="19" t="str">
        <v>Two eligible opted-in creators and an unrelated account</v>
      </c>
      <c r="I572" s="19" t="str">
        <v>Use prepared QA records and separate accounts. Record the actual URL and build on Run Overview. Use two browsers and prepared compatible profiles. Confirm the effective matchmaking flag.</v>
      </c>
      <c r="J572" s="19" t="str">
        <v>Regression</v>
      </c>
      <c r="K572" s="26"/>
      <c r="L572" s="26"/>
      <c r="M572" s="26"/>
      <c r="N572" s="29"/>
      <c r="O572" s="26"/>
      <c r="P572" s="26"/>
      <c r="Q572" s="26"/>
      <c r="R572" s="19" t="str">
        <v>GO_MATCHMAKING_ENABLED</v>
      </c>
      <c r="S572" s="27" t="str">
        <v>New</v>
      </c>
      <c r="T572" s="27"/>
      <c r="U572" s="27" t="str">
        <v>New</v>
      </c>
    </row>
    <row r="573" ht="64" customHeight="1">
      <c r="A573" s="25" t="str">
        <v>Not Run</v>
      </c>
      <c r="B573" s="24" t="str">
        <v>GO-MAN-572</v>
      </c>
      <c r="C573" s="24" t="str">
        <v>Team Matchmaking</v>
      </c>
      <c r="D573" s="24" t="str">
        <v>Expire one prepared account after a request is created and before acceptance.</v>
      </c>
      <c r="E573" s="24" t="str">
        <v>Acceptance rechecks current entitlement and does not create a match.</v>
      </c>
      <c r="F573" s="24" t="str">
        <v>Membership expiry during request</v>
      </c>
      <c r="G573" s="24" t="str">
        <v>P0</v>
      </c>
      <c r="H573" s="24" t="str">
        <v>Two eligible opted-in creators and an unrelated account</v>
      </c>
      <c r="I573" s="24" t="str">
        <v>Use prepared QA records and separate accounts. Record the actual URL and build on Run Overview. Use two browsers and prepared compatible profiles. Confirm the effective matchmaking flag.</v>
      </c>
      <c r="J573" s="24" t="str">
        <v>Regression</v>
      </c>
      <c r="K573" s="26"/>
      <c r="L573" s="26"/>
      <c r="M573" s="26"/>
      <c r="N573" s="29"/>
      <c r="O573" s="26"/>
      <c r="P573" s="26"/>
      <c r="Q573" s="26"/>
      <c r="R573" s="24" t="str">
        <v>GO_MATCHMAKING_ENABLED</v>
      </c>
      <c r="S573" s="28" t="str">
        <v>New</v>
      </c>
      <c r="T573" s="28"/>
      <c r="U573" s="28" t="str">
        <v>New</v>
      </c>
    </row>
    <row r="574" ht="64" customHeight="1">
      <c r="A574" s="25" t="str">
        <v>Not Run</v>
      </c>
      <c r="B574" s="19" t="str">
        <v>GO-MAN-573</v>
      </c>
      <c r="C574" s="19" t="str">
        <v>Team Matchmaking</v>
      </c>
      <c r="D574" s="19" t="str">
        <v>Inspect suggestions, pending requests and accepted-match payloads from both accounts.</v>
      </c>
      <c r="E574" s="19" t="str">
        <v>Private email, phone and nonpublic Passport fields are absent. Mutual matching does not override Passport privacy.</v>
      </c>
      <c r="F574" s="19" t="str">
        <v>Private contact data</v>
      </c>
      <c r="G574" s="19" t="str">
        <v>P0</v>
      </c>
      <c r="H574" s="19" t="str">
        <v>Two eligible opted-in creators and an unrelated account</v>
      </c>
      <c r="I574" s="19" t="str">
        <v>Use prepared QA records and separate accounts. Record the actual URL and build on Run Overview. Use two browsers and prepared compatible profiles. Confirm the effective matchmaking flag.</v>
      </c>
      <c r="J574" s="19" t="str">
        <v>Regression</v>
      </c>
      <c r="K574" s="26"/>
      <c r="L574" s="26"/>
      <c r="M574" s="26"/>
      <c r="N574" s="29"/>
      <c r="O574" s="26"/>
      <c r="P574" s="26"/>
      <c r="Q574" s="26"/>
      <c r="R574" s="19" t="str">
        <v>GO_MATCHMAKING_ENABLED</v>
      </c>
      <c r="S574" s="27" t="str">
        <v>New</v>
      </c>
      <c r="T574" s="27"/>
      <c r="U574" s="27" t="str">
        <v>New</v>
      </c>
    </row>
    <row r="575" ht="64" customHeight="1">
      <c r="A575" s="25" t="str">
        <v>Not Run</v>
      </c>
      <c r="B575" s="24" t="str">
        <v>GO-MAN-574</v>
      </c>
      <c r="C575" s="24" t="str">
        <v>Team Matchmaking</v>
      </c>
      <c r="D575" s="24" t="str">
        <v>Accept the same request in two tabs, then refresh both accounts.</v>
      </c>
      <c r="E575" s="24" t="str">
        <v>One pair and one mutual-match milestone per user exist.</v>
      </c>
      <c r="F575" s="24" t="str">
        <v>Concurrent acceptance idempotency</v>
      </c>
      <c r="G575" s="24" t="str">
        <v>P1</v>
      </c>
      <c r="H575" s="24" t="str">
        <v>Two eligible opted-in creators and an unrelated account</v>
      </c>
      <c r="I575" s="24" t="str">
        <v>Use prepared QA records and separate accounts. Record the actual URL and build on Run Overview. Use two browsers and prepared compatible profiles. Confirm the effective matchmaking flag.</v>
      </c>
      <c r="J575" s="24" t="str">
        <v>Regression</v>
      </c>
      <c r="K575" s="26"/>
      <c r="L575" s="26"/>
      <c r="M575" s="26"/>
      <c r="N575" s="29"/>
      <c r="O575" s="26"/>
      <c r="P575" s="26"/>
      <c r="Q575" s="26"/>
      <c r="R575" s="24" t="str">
        <v>GO_MATCHMAKING_ENABLED</v>
      </c>
      <c r="S575" s="28" t="str">
        <v>New</v>
      </c>
      <c r="T575" s="28"/>
      <c r="U575" s="28" t="str">
        <v>New</v>
      </c>
    </row>
    <row r="576" ht="64" customHeight="1">
      <c r="A576" s="25" t="str">
        <v>Not Run</v>
      </c>
      <c r="B576" s="19" t="str">
        <v>GO-MAN-575</v>
      </c>
      <c r="C576" s="19" t="str">
        <v>Team Matchmaking</v>
      </c>
      <c r="D576" s="19" t="str">
        <v>As a third account attempt action on another pair or use another user’s ID.</v>
      </c>
      <c r="E576" s="19" t="str">
        <v>The server denies unauthorized actions without returning private pair data.</v>
      </c>
      <c r="F576" s="19" t="str">
        <v>Unrelated pair access</v>
      </c>
      <c r="G576" s="19" t="str">
        <v>P0</v>
      </c>
      <c r="H576" s="19" t="str">
        <v>Two eligible opted-in creators and an unrelated account</v>
      </c>
      <c r="I576" s="19" t="str">
        <v>Use prepared QA records and separate accounts. Record the actual URL and build on Run Overview. Use two browsers and prepared compatible profiles. Confirm the effective matchmaking flag.</v>
      </c>
      <c r="J576" s="19" t="str">
        <v>Regression</v>
      </c>
      <c r="K576" s="26"/>
      <c r="L576" s="26"/>
      <c r="M576" s="26"/>
      <c r="N576" s="29"/>
      <c r="O576" s="26"/>
      <c r="P576" s="26"/>
      <c r="Q576" s="26"/>
      <c r="R576" s="19" t="str">
        <v>GO_MATCHMAKING_ENABLED</v>
      </c>
      <c r="S576" s="27" t="str">
        <v>New</v>
      </c>
      <c r="T576" s="27"/>
      <c r="U576" s="27" t="str">
        <v>New</v>
      </c>
    </row>
    <row r="577" ht="64" customHeight="1">
      <c r="A577" s="25" t="str">
        <v>Not Run</v>
      </c>
      <c r="B577" s="24" t="str">
        <v>GO-MAN-576</v>
      </c>
      <c r="C577" s="24" t="str">
        <v>Team Matchmaking</v>
      </c>
      <c r="D577" s="24" t="str">
        <v>With fresh linked Discord role, compare share-hunger off and on. Disconnect and refresh.</v>
      </c>
      <c r="E577" s="24" t="str">
        <v>Hunger is shared only by explicit choice with current eligible sync. Disconnect removes the signal.</v>
      </c>
      <c r="F577" s="24" t="str">
        <v>Discord hunger opt-in</v>
      </c>
      <c r="G577" s="24" t="str">
        <v>P1</v>
      </c>
      <c r="H577" s="24" t="str">
        <v>Two eligible opted-in creators and an unrelated account</v>
      </c>
      <c r="I577" s="24" t="str">
        <v>Use prepared QA records and separate accounts. Record the actual URL and build on Run Overview. Use two browsers and prepared compatible profiles. Confirm the effective matchmaking flag.</v>
      </c>
      <c r="J577" s="24" t="str">
        <v>Regression</v>
      </c>
      <c r="K577" s="26"/>
      <c r="L577" s="26"/>
      <c r="M577" s="26"/>
      <c r="N577" s="29"/>
      <c r="O577" s="26"/>
      <c r="P577" s="26"/>
      <c r="Q577" s="26"/>
      <c r="R577" s="24" t="str">
        <v>GO_MATCHMAKING_ENABLED</v>
      </c>
      <c r="S577" s="28" t="str">
        <v>New</v>
      </c>
      <c r="T577" s="28"/>
      <c r="U577" s="28" t="str">
        <v>New</v>
      </c>
    </row>
    <row r="578" ht="64" customHeight="1">
      <c r="A578" s="25" t="str">
        <v>Not Run</v>
      </c>
      <c r="B578" s="19" t="str">
        <v>GO-MAN-577</v>
      </c>
      <c r="C578" s="19" t="str">
        <v>Team Matchmaking</v>
      </c>
      <c r="D578" s="19" t="str">
        <v>Use no compatible candidates, then simulate a failed request and retry.</v>
      </c>
      <c r="E578" s="19" t="str">
        <v>Empty and error states are distinct. A saved preference is not falsely reported matched.</v>
      </c>
      <c r="F578" s="19" t="str">
        <v>Empty and failed matching</v>
      </c>
      <c r="G578" s="19" t="str">
        <v>P1</v>
      </c>
      <c r="H578" s="19" t="str">
        <v>Two eligible opted-in creators and an unrelated account</v>
      </c>
      <c r="I578" s="19" t="str">
        <v>Use prepared QA records and separate accounts. Record the actual URL and build on Run Overview. Use two browsers and prepared compatible profiles. Confirm the effective matchmaking flag.</v>
      </c>
      <c r="J578" s="19" t="str">
        <v>Regression</v>
      </c>
      <c r="K578" s="26"/>
      <c r="L578" s="26"/>
      <c r="M578" s="26"/>
      <c r="N578" s="29"/>
      <c r="O578" s="26"/>
      <c r="P578" s="26"/>
      <c r="Q578" s="26"/>
      <c r="R578" s="19" t="str">
        <v>GO_MATCHMAKING_ENABLED</v>
      </c>
      <c r="S578" s="27" t="str">
        <v>New</v>
      </c>
      <c r="T578" s="27"/>
      <c r="U578" s="27" t="str">
        <v>New</v>
      </c>
    </row>
    <row r="579" ht="64" customHeight="1">
      <c r="A579" s="25" t="str">
        <v>Not Run</v>
      </c>
      <c r="B579" s="24" t="str">
        <v>GO-MAN-578</v>
      </c>
      <c r="C579" s="24" t="str">
        <v>Monday Builds &amp; Voting</v>
      </c>
      <c r="D579" s="24" t="str">
        <v>Open /community-builds as visitor and inspect current tasks/results.</v>
      </c>
      <c r="E579" s="24" t="str">
        <v>Public board loads with truthful candidates, timing and results. No ballot can be cast as visitor.</v>
      </c>
      <c r="F579" s="24" t="str">
        <v>Public feature board</v>
      </c>
      <c r="G579" s="24" t="str">
        <v>P1</v>
      </c>
      <c r="H579" s="24" t="str">
        <v>Visitor, eligible contributor, member without a pack and admin</v>
      </c>
      <c r="I579" s="24" t="str">
        <v>Use prepared QA records and separate accounts. Record the actual URL and build on Run Overview. Prepare published reviewed asset packs, current memberships and a QA voting cycle.</v>
      </c>
      <c r="J579" s="24" t="str">
        <v>Smoke</v>
      </c>
      <c r="K579" s="26"/>
      <c r="L579" s="26"/>
      <c r="M579" s="26"/>
      <c r="N579" s="29"/>
      <c r="O579" s="26"/>
      <c r="P579" s="26"/>
      <c r="Q579" s="26"/>
      <c r="R579" s="24" t="str">
        <v>Core</v>
      </c>
      <c r="S579" s="28" t="str">
        <v>New</v>
      </c>
      <c r="T579" s="28"/>
      <c r="U579" s="28" t="str">
        <v>New</v>
      </c>
    </row>
    <row r="580" ht="64" customHeight="1">
      <c r="A580" s="25" t="str">
        <v>Not Run</v>
      </c>
      <c r="B580" s="19" t="str">
        <v>GO-MAN-579</v>
      </c>
      <c r="C580" s="19" t="str">
        <v>Monday Builds &amp; Voting</v>
      </c>
      <c r="D580" s="19" t="str">
        <v>As active Community-content member with a reviewed published pack, cast a vote.</v>
      </c>
      <c r="E580" s="19" t="str">
        <v>Exactly one weekly ballot is accepted. Publication and active membership are checked on the server.</v>
      </c>
      <c r="F580" s="19" t="str">
        <v>Contributor vote eligibility</v>
      </c>
      <c r="G580" s="19" t="str">
        <v>P0</v>
      </c>
      <c r="H580" s="19" t="str">
        <v>Visitor, eligible contributor, member without a pack and admin</v>
      </c>
      <c r="I580" s="19" t="str">
        <v>Use prepared QA records and separate accounts. Record the actual URL and build on Run Overview. Prepare published reviewed asset packs, current memberships and a QA voting cycle.</v>
      </c>
      <c r="J580" s="19" t="str">
        <v>Smoke</v>
      </c>
      <c r="K580" s="26"/>
      <c r="L580" s="26"/>
      <c r="M580" s="26"/>
      <c r="N580" s="29"/>
      <c r="O580" s="26"/>
      <c r="P580" s="26"/>
      <c r="Q580" s="26"/>
      <c r="R580" s="19" t="str">
        <v>Core</v>
      </c>
      <c r="S580" s="27" t="str">
        <v>New</v>
      </c>
      <c r="T580" s="27"/>
      <c r="U580" s="27" t="str">
        <v>New</v>
      </c>
    </row>
    <row r="581" ht="64" customHeight="1">
      <c r="A581" s="25" t="str">
        <v>Not Run</v>
      </c>
      <c r="B581" s="24" t="str">
        <v>GO-MAN-580</v>
      </c>
      <c r="C581" s="24" t="str">
        <v>Monday Builds &amp; Voting</v>
      </c>
      <c r="D581" s="24" t="str">
        <v>Attempt voting with no pack, a submitted pack and an approved-but-unpublished pack.</v>
      </c>
      <c r="E581" s="24" t="str">
        <v>None supplies official published-contributor voting eligibility.</v>
      </c>
      <c r="F581" s="24" t="str">
        <v>No-pack and unpublished-pack gate</v>
      </c>
      <c r="G581" s="24" t="str">
        <v>P0</v>
      </c>
      <c r="H581" s="24" t="str">
        <v>Visitor, eligible contributor, member without a pack and admin</v>
      </c>
      <c r="I581" s="24" t="str">
        <v>Use prepared QA records and separate accounts. Record the actual URL and build on Run Overview. Prepare published reviewed asset packs, current memberships and a QA voting cycle.</v>
      </c>
      <c r="J581" s="24" t="str">
        <v>Regression</v>
      </c>
      <c r="K581" s="26"/>
      <c r="L581" s="26"/>
      <c r="M581" s="26"/>
      <c r="N581" s="29"/>
      <c r="O581" s="26"/>
      <c r="P581" s="26"/>
      <c r="Q581" s="26"/>
      <c r="R581" s="24" t="str">
        <v>Core</v>
      </c>
      <c r="S581" s="28" t="str">
        <v>New</v>
      </c>
      <c r="T581" s="28"/>
      <c r="U581" s="28" t="str">
        <v>New</v>
      </c>
    </row>
    <row r="582" ht="64" customHeight="1">
      <c r="A582" s="25" t="str">
        <v>Not Run</v>
      </c>
      <c r="B582" s="19" t="str">
        <v>GO-MAN-581</v>
      </c>
      <c r="C582" s="19" t="str">
        <v>Monday Builds &amp; Voting</v>
      </c>
      <c r="D582" s="19" t="str">
        <v>As contributor with two qualifying packs, vote twice including from a second tab.</v>
      </c>
      <c r="E582" s="19" t="str">
        <v>Only one ballot exists for the user and cycle. Packs do not multiply votes.</v>
      </c>
      <c r="F582" s="19" t="str">
        <v>One vote across multiple packs</v>
      </c>
      <c r="G582" s="19" t="str">
        <v>P0</v>
      </c>
      <c r="H582" s="19" t="str">
        <v>Visitor, eligible contributor, member without a pack and admin</v>
      </c>
      <c r="I582" s="19" t="str">
        <v>Use prepared QA records and separate accounts. Record the actual URL and build on Run Overview. Prepare published reviewed asset packs, current memberships and a QA voting cycle.</v>
      </c>
      <c r="J582" s="19" t="str">
        <v>Regression</v>
      </c>
      <c r="K582" s="26"/>
      <c r="L582" s="26"/>
      <c r="M582" s="26"/>
      <c r="N582" s="29"/>
      <c r="O582" s="26"/>
      <c r="P582" s="26"/>
      <c r="Q582" s="26"/>
      <c r="R582" s="19" t="str">
        <v>Core</v>
      </c>
      <c r="S582" s="27" t="str">
        <v>New</v>
      </c>
      <c r="T582" s="27"/>
      <c r="U582" s="27" t="str">
        <v>New</v>
      </c>
    </row>
    <row r="583" ht="64" customHeight="1">
      <c r="A583" s="25" t="str">
        <v>Not Run</v>
      </c>
      <c r="B583" s="24" t="str">
        <v>GO-MAN-582</v>
      </c>
      <c r="C583" s="24" t="str">
        <v>Monday Builds &amp; Voting</v>
      </c>
      <c r="D583" s="24" t="str">
        <v>Expire a contributor membership and attempt another current-cycle ballot.</v>
      </c>
      <c r="E583" s="24" t="str">
        <v>An inactive membership cannot supply new voting eligibility.</v>
      </c>
      <c r="F583" s="24" t="str">
        <v>Expired member voting gate</v>
      </c>
      <c r="G583" s="24" t="str">
        <v>P0</v>
      </c>
      <c r="H583" s="24" t="str">
        <v>Visitor, eligible contributor, member without a pack and admin</v>
      </c>
      <c r="I583" s="24" t="str">
        <v>Use prepared QA records and separate accounts. Record the actual URL and build on Run Overview. Prepare published reviewed asset packs, current memberships and a QA voting cycle.</v>
      </c>
      <c r="J583" s="24" t="str">
        <v>Regression</v>
      </c>
      <c r="K583" s="26"/>
      <c r="L583" s="26"/>
      <c r="M583" s="26"/>
      <c r="N583" s="29"/>
      <c r="O583" s="26"/>
      <c r="P583" s="26"/>
      <c r="Q583" s="26"/>
      <c r="R583" s="24" t="str">
        <v>Core</v>
      </c>
      <c r="S583" s="28" t="str">
        <v>New</v>
      </c>
      <c r="T583" s="28"/>
      <c r="U583" s="28" t="str">
        <v>New</v>
      </c>
    </row>
    <row r="584" ht="64" customHeight="1">
      <c r="A584" s="25" t="str">
        <v>Not Run</v>
      </c>
      <c r="B584" s="19" t="str">
        <v>GO-MAN-583</v>
      </c>
      <c r="C584" s="19" t="str">
        <v>Monday Builds &amp; Voting</v>
      </c>
      <c r="D584" s="19" t="str">
        <v>Archive every qualifying pack, then attempt a new ballot.</v>
      </c>
      <c r="E584" s="19" t="str">
        <v>Current publication eligibility is rechecked and the new vote is rejected.</v>
      </c>
      <c r="F584" s="19" t="str">
        <v>Archived pack eligibility</v>
      </c>
      <c r="G584" s="19" t="str">
        <v>P1</v>
      </c>
      <c r="H584" s="19" t="str">
        <v>Visitor, eligible contributor, member without a pack and admin</v>
      </c>
      <c r="I584" s="19" t="str">
        <v>Use prepared QA records and separate accounts. Record the actual URL and build on Run Overview. Prepare published reviewed asset packs, current memberships and a QA voting cycle.</v>
      </c>
      <c r="J584" s="19" t="str">
        <v>Regression</v>
      </c>
      <c r="K584" s="26"/>
      <c r="L584" s="26"/>
      <c r="M584" s="26"/>
      <c r="N584" s="29"/>
      <c r="O584" s="26"/>
      <c r="P584" s="26"/>
      <c r="Q584" s="26"/>
      <c r="R584" s="19" t="str">
        <v>Core</v>
      </c>
      <c r="S584" s="27" t="str">
        <v>New</v>
      </c>
      <c r="T584" s="27"/>
      <c r="U584" s="27" t="str">
        <v>New</v>
      </c>
    </row>
    <row r="585" ht="64" customHeight="1">
      <c r="A585" s="25" t="str">
        <v>Not Run</v>
      </c>
      <c r="B585" s="24" t="str">
        <v>GO-MAN-584</v>
      </c>
      <c r="C585" s="24" t="str">
        <v>Monday Builds &amp; Voting</v>
      </c>
      <c r="D585" s="24" t="str">
        <v>On a controlled clock/cycle fixture compare before 07:00 and at 07:00 Europe/Warsaw on Monday.</v>
      </c>
      <c r="E585" s="24" t="str">
        <v>Voting is accepted before cutoff and closes at 07:00. Test-clock setup missing means Blocked.</v>
      </c>
      <c r="F585" s="24" t="str">
        <v>Voting closes Monday 07:00</v>
      </c>
      <c r="G585" s="24" t="str">
        <v>P1</v>
      </c>
      <c r="H585" s="24" t="str">
        <v>Visitor, eligible contributor, member without a pack and admin</v>
      </c>
      <c r="I585" s="24" t="str">
        <v>Use prepared QA records and separate accounts. Record the actual URL and build on Run Overview. Prepare published reviewed asset packs, current memberships and a QA voting cycle.</v>
      </c>
      <c r="J585" s="24" t="str">
        <v>Regression</v>
      </c>
      <c r="K585" s="26"/>
      <c r="L585" s="26"/>
      <c r="M585" s="26"/>
      <c r="N585" s="29"/>
      <c r="O585" s="26"/>
      <c r="P585" s="26"/>
      <c r="Q585" s="26"/>
      <c r="R585" s="24" t="str">
        <v>Core</v>
      </c>
      <c r="S585" s="28" t="str">
        <v>New</v>
      </c>
      <c r="T585" s="28"/>
      <c r="U585" s="28" t="str">
        <v>New</v>
      </c>
    </row>
    <row r="586" ht="64" customHeight="1">
      <c r="A586" s="25" t="str">
        <v>Not Run</v>
      </c>
      <c r="B586" s="19" t="str">
        <v>GO-MAN-585</v>
      </c>
      <c r="C586" s="19" t="str">
        <v>Monday Builds &amp; Voting</v>
      </c>
      <c r="D586" s="19" t="str">
        <v>Inspect a controlled cycle at 07:30 and 08:00 Europe/Warsaw.</v>
      </c>
      <c r="E586" s="19" t="str">
        <v>The build window is closed to new voting. A fresh allowance begins with the next cycle at 08:00.</v>
      </c>
      <c r="F586" s="19" t="str">
        <v>Next cycle Monday 08:00</v>
      </c>
      <c r="G586" s="19" t="str">
        <v>P1</v>
      </c>
      <c r="H586" s="19" t="str">
        <v>Visitor, eligible contributor, member without a pack and admin</v>
      </c>
      <c r="I586" s="19" t="str">
        <v>Use prepared QA records and separate accounts. Record the actual URL and build on Run Overview. Prepare published reviewed asset packs, current memberships and a QA voting cycle.</v>
      </c>
      <c r="J586" s="19" t="str">
        <v>Regression</v>
      </c>
      <c r="K586" s="26"/>
      <c r="L586" s="26"/>
      <c r="M586" s="26"/>
      <c r="N586" s="29"/>
      <c r="O586" s="26"/>
      <c r="P586" s="26"/>
      <c r="Q586" s="26"/>
      <c r="R586" s="19" t="str">
        <v>Core</v>
      </c>
      <c r="S586" s="27" t="str">
        <v>New</v>
      </c>
      <c r="T586" s="27"/>
      <c r="U586" s="27" t="str">
        <v>New</v>
      </c>
    </row>
    <row r="587" ht="64" customHeight="1">
      <c r="A587" s="25" t="str">
        <v>Not Run</v>
      </c>
      <c r="B587" s="24" t="str">
        <v>GO-MAN-586</v>
      </c>
      <c r="C587" s="24" t="str">
        <v>Monday Builds &amp; Voting</v>
      </c>
      <c r="D587" s="24" t="str">
        <v>Use prepared Europe/Warsaw cycles around the daylight-saving transition and skip one cycle.</v>
      </c>
      <c r="E587" s="24" t="str">
        <v>Local Monday boundaries remain correct. Unused ballots do not accumulate.</v>
      </c>
      <c r="F587" s="24" t="str">
        <v>DST and unused votes</v>
      </c>
      <c r="G587" s="24" t="str">
        <v>P1</v>
      </c>
      <c r="H587" s="24" t="str">
        <v>Visitor, eligible contributor, member without a pack and admin</v>
      </c>
      <c r="I587" s="24" t="str">
        <v>Use prepared QA records and separate accounts. Record the actual URL and build on Run Overview. Prepare published reviewed asset packs, current memberships and a QA voting cycle.</v>
      </c>
      <c r="J587" s="24" t="str">
        <v>Regression</v>
      </c>
      <c r="K587" s="26"/>
      <c r="L587" s="26"/>
      <c r="M587" s="26"/>
      <c r="N587" s="29"/>
      <c r="O587" s="26"/>
      <c r="P587" s="26"/>
      <c r="Q587" s="26"/>
      <c r="R587" s="24" t="str">
        <v>Core</v>
      </c>
      <c r="S587" s="28" t="str">
        <v>New</v>
      </c>
      <c r="T587" s="28"/>
      <c r="U587" s="28" t="str">
        <v>New</v>
      </c>
    </row>
    <row r="588" ht="64" customHeight="1">
      <c r="A588" s="25" t="str">
        <v>Not Run</v>
      </c>
      <c r="B588" s="19" t="str">
        <v>GO-MAN-587</v>
      </c>
      <c r="C588" s="19" t="str">
        <v>Monday Builds &amp; Voting</v>
      </c>
      <c r="D588" s="19" t="str">
        <v>As admin publish a candidate, record selected work and completed/deferred result. View public board.</v>
      </c>
      <c r="E588" s="19" t="str">
        <v>Only curated tasks appear. Result/tie decision is clear without promising every top vote will ship.</v>
      </c>
      <c r="F588" s="19" t="str">
        <v>Admin task publication and result</v>
      </c>
      <c r="G588" s="19" t="str">
        <v>P1</v>
      </c>
      <c r="H588" s="19" t="str">
        <v>Visitor, eligible contributor, member without a pack and admin</v>
      </c>
      <c r="I588" s="19" t="str">
        <v>Use prepared QA records and separate accounts. Record the actual URL and build on Run Overview. Prepare published reviewed asset packs, current memberships and a QA voting cycle.</v>
      </c>
      <c r="J588" s="19" t="str">
        <v>Regression</v>
      </c>
      <c r="K588" s="26"/>
      <c r="L588" s="26"/>
      <c r="M588" s="26"/>
      <c r="N588" s="29"/>
      <c r="O588" s="26"/>
      <c r="P588" s="26"/>
      <c r="Q588" s="26"/>
      <c r="R588" s="19" t="str">
        <v>Core</v>
      </c>
      <c r="S588" s="27" t="str">
        <v>New</v>
      </c>
      <c r="T588" s="27"/>
      <c r="U588" s="27" t="str">
        <v>New</v>
      </c>
    </row>
    <row r="589" ht="64" customHeight="1">
      <c r="A589" s="25" t="str">
        <v>Not Run</v>
      </c>
      <c r="B589" s="24" t="str">
        <v>GO-MAN-588</v>
      </c>
      <c r="C589" s="24" t="str">
        <v>Monday Builds &amp; Voting</v>
      </c>
      <c r="D589" s="24" t="str">
        <v>Attempt task publication or result changes as normal contributor.</v>
      </c>
      <c r="E589" s="24" t="str">
        <v>Server denies admin-only changes.</v>
      </c>
      <c r="F589" s="24" t="str">
        <v>Non-admin board mutation</v>
      </c>
      <c r="G589" s="24" t="str">
        <v>P0</v>
      </c>
      <c r="H589" s="24" t="str">
        <v>Visitor, eligible contributor, member without a pack and admin</v>
      </c>
      <c r="I589" s="24" t="str">
        <v>Use prepared QA records and separate accounts. Record the actual URL and build on Run Overview. Prepare published reviewed asset packs, current memberships and a QA voting cycle.</v>
      </c>
      <c r="J589" s="24" t="str">
        <v>Regression</v>
      </c>
      <c r="K589" s="26"/>
      <c r="L589" s="26"/>
      <c r="M589" s="26"/>
      <c r="N589" s="29"/>
      <c r="O589" s="26"/>
      <c r="P589" s="26"/>
      <c r="Q589" s="26"/>
      <c r="R589" s="24" t="str">
        <v>Core</v>
      </c>
      <c r="S589" s="28" t="str">
        <v>New</v>
      </c>
      <c r="T589" s="28"/>
      <c r="U589" s="28" t="str">
        <v>New</v>
      </c>
    </row>
    <row r="590" ht="64" customHeight="1">
      <c r="A590" s="25" t="str">
        <v>Not Run</v>
      </c>
      <c r="B590" s="19" t="str">
        <v>GO-MAN-589</v>
      </c>
      <c r="C590" s="19" t="str">
        <v>Monday Builds &amp; Voting</v>
      </c>
      <c r="D590" s="19" t="str">
        <v>Open a cycle with no published tasks.</v>
      </c>
      <c r="E590" s="19" t="str">
        <v>An honest empty state appears without fabricated candidates or votes.</v>
      </c>
      <c r="F590" s="19" t="str">
        <v>No candidates</v>
      </c>
      <c r="G590" s="19" t="str">
        <v>P2</v>
      </c>
      <c r="H590" s="19" t="str">
        <v>Visitor, eligible contributor, member without a pack and admin</v>
      </c>
      <c r="I590" s="19" t="str">
        <v>Use prepared QA records and separate accounts. Record the actual URL and build on Run Overview. Prepare published reviewed asset packs, current memberships and a QA voting cycle.</v>
      </c>
      <c r="J590" s="19" t="str">
        <v>Regression</v>
      </c>
      <c r="K590" s="26"/>
      <c r="L590" s="26"/>
      <c r="M590" s="26"/>
      <c r="N590" s="29"/>
      <c r="O590" s="26"/>
      <c r="P590" s="26"/>
      <c r="Q590" s="26"/>
      <c r="R590" s="19" t="str">
        <v>Core</v>
      </c>
      <c r="S590" s="27" t="str">
        <v>New</v>
      </c>
      <c r="T590" s="27"/>
      <c r="U590" s="27" t="str">
        <v>New</v>
      </c>
    </row>
    <row r="591" ht="64" customHeight="1">
      <c r="A591" s="25" t="str">
        <v>Not Run</v>
      </c>
      <c r="B591" s="24" t="str">
        <v>GO-MAN-590</v>
      </c>
      <c r="C591" s="24" t="str">
        <v>Official Passport Stamps</v>
      </c>
      <c r="D591" s="24" t="str">
        <v>As active contributing member reconcile a published pack and reload Passport.</v>
      </c>
      <c r="E591" s="24" t="str">
        <v>One official contribution stamp is associated with reviewed publication evidence.</v>
      </c>
      <c r="F591" s="24" t="str">
        <v>Official contribution stamp</v>
      </c>
      <c r="G591" s="24" t="str">
        <v>P1</v>
      </c>
      <c r="H591" s="24" t="str">
        <v>Contributor, private/public profile owner and admin</v>
      </c>
      <c r="I591" s="24" t="str">
        <v>Use prepared QA records and separate accounts. Record the actual URL and build on Run Overview. Prepare a reviewed published pack and an attendance event with evidence.</v>
      </c>
      <c r="J591" s="24" t="str">
        <v>Smoke</v>
      </c>
      <c r="K591" s="26"/>
      <c r="L591" s="26"/>
      <c r="M591" s="26"/>
      <c r="N591" s="29"/>
      <c r="O591" s="26"/>
      <c r="P591" s="26"/>
      <c r="Q591" s="26"/>
      <c r="R591" s="24" t="str">
        <v>Core</v>
      </c>
      <c r="S591" s="28" t="str">
        <v>New</v>
      </c>
      <c r="T591" s="28"/>
      <c r="U591" s="28" t="str">
        <v>New</v>
      </c>
    </row>
    <row r="592" ht="64" customHeight="1">
      <c r="A592" s="25" t="str">
        <v>Not Run</v>
      </c>
      <c r="B592" s="19" t="str">
        <v>GO-MAN-591</v>
      </c>
      <c r="C592" s="19" t="str">
        <v>Official Passport Stamps</v>
      </c>
      <c r="D592" s="19" t="str">
        <v>Use an existing published-pack owner who later joins. Run the supported reconciliation.</v>
      </c>
      <c r="E592" s="19" t="str">
        <v>Eligible past contribution is recognized once without changing the billing tier.</v>
      </c>
      <c r="F592" s="19" t="str">
        <v>Reconcile after joining</v>
      </c>
      <c r="G592" s="19" t="str">
        <v>P1</v>
      </c>
      <c r="H592" s="19" t="str">
        <v>Contributor, private/public profile owner and admin</v>
      </c>
      <c r="I592" s="19" t="str">
        <v>Use prepared QA records and separate accounts. Record the actual URL and build on Run Overview. Prepare a reviewed published pack and an attendance event with evidence.</v>
      </c>
      <c r="J592" s="19" t="str">
        <v>Regression</v>
      </c>
      <c r="K592" s="26"/>
      <c r="L592" s="26"/>
      <c r="M592" s="26"/>
      <c r="N592" s="29"/>
      <c r="O592" s="26"/>
      <c r="P592" s="26"/>
      <c r="Q592" s="26"/>
      <c r="R592" s="19" t="str">
        <v>Core</v>
      </c>
      <c r="S592" s="27" t="str">
        <v>New</v>
      </c>
      <c r="T592" s="27"/>
      <c r="U592" s="27" t="str">
        <v>New</v>
      </c>
    </row>
    <row r="593" ht="64" customHeight="1">
      <c r="A593" s="25" t="str">
        <v>Not Run</v>
      </c>
      <c r="B593" s="24" t="str">
        <v>GO-MAN-592</v>
      </c>
      <c r="C593" s="24" t="str">
        <v>Official Passport Stamps</v>
      </c>
      <c r="D593" s="24" t="str">
        <v>As admin issue an event/LAN attendance stamp with an internal evidence note.</v>
      </c>
      <c r="E593" s="24" t="str">
        <v>The owner receives the official stamp. Evidence remains private to authorized staff.</v>
      </c>
      <c r="F593" s="24" t="str">
        <v>Staff attendance stamp</v>
      </c>
      <c r="G593" s="24" t="str">
        <v>P1</v>
      </c>
      <c r="H593" s="24" t="str">
        <v>Contributor, private/public profile owner and admin</v>
      </c>
      <c r="I593" s="24" t="str">
        <v>Use prepared QA records and separate accounts. Record the actual URL and build on Run Overview. Prepare a reviewed published pack and an attendance event with evidence.</v>
      </c>
      <c r="J593" s="24" t="str">
        <v>Regression</v>
      </c>
      <c r="K593" s="26"/>
      <c r="L593" s="26"/>
      <c r="M593" s="26"/>
      <c r="N593" s="29"/>
      <c r="O593" s="26"/>
      <c r="P593" s="26"/>
      <c r="Q593" s="26"/>
      <c r="R593" s="24" t="str">
        <v>Core</v>
      </c>
      <c r="S593" s="28" t="str">
        <v>New</v>
      </c>
      <c r="T593" s="28"/>
      <c r="U593" s="28" t="str">
        <v>New</v>
      </c>
    </row>
    <row r="594" ht="64" customHeight="1">
      <c r="A594" s="25" t="str">
        <v>Not Run</v>
      </c>
      <c r="B594" s="19" t="str">
        <v>GO-MAN-593</v>
      </c>
      <c r="C594" s="19" t="str">
        <v>Official Passport Stamps</v>
      </c>
      <c r="D594" s="19" t="str">
        <v>As member attempt attendance-stamp issuance directly.</v>
      </c>
      <c r="E594" s="19" t="str">
        <v>Server denies self-award and no official stamp is created.</v>
      </c>
      <c r="F594" s="19" t="str">
        <v>No self-awarded official stamp</v>
      </c>
      <c r="G594" s="19" t="str">
        <v>P0</v>
      </c>
      <c r="H594" s="19" t="str">
        <v>Contributor, private/public profile owner and admin</v>
      </c>
      <c r="I594" s="19" t="str">
        <v>Use prepared QA records and separate accounts. Record the actual URL and build on Run Overview. Prepare a reviewed published pack and an attendance event with evidence.</v>
      </c>
      <c r="J594" s="19" t="str">
        <v>Regression</v>
      </c>
      <c r="K594" s="26"/>
      <c r="L594" s="26"/>
      <c r="M594" s="26"/>
      <c r="N594" s="29"/>
      <c r="O594" s="26"/>
      <c r="P594" s="26"/>
      <c r="Q594" s="26"/>
      <c r="R594" s="19" t="str">
        <v>Core</v>
      </c>
      <c r="S594" s="27" t="str">
        <v>New</v>
      </c>
      <c r="T594" s="27"/>
      <c r="U594" s="27" t="str">
        <v>New</v>
      </c>
    </row>
    <row r="595" ht="64" customHeight="1">
      <c r="A595" s="25" t="str">
        <v>Not Run</v>
      </c>
      <c r="B595" s="24" t="str">
        <v>GO-MAN-594</v>
      </c>
      <c r="C595" s="24" t="str">
        <v>Official Passport Stamps</v>
      </c>
      <c r="D595" s="24" t="str">
        <v>Make Passport/profile private and inspect as visitor and unrelated user.</v>
      </c>
      <c r="E595" s="24" t="str">
        <v>Stamps and attendance are not disclosed outside permitted visibility.</v>
      </c>
      <c r="F595" s="24" t="str">
        <v>Private Passport stamp protection</v>
      </c>
      <c r="G595" s="24" t="str">
        <v>P0</v>
      </c>
      <c r="H595" s="24" t="str">
        <v>Contributor, private/public profile owner and admin</v>
      </c>
      <c r="I595" s="24" t="str">
        <v>Use prepared QA records and separate accounts. Record the actual URL and build on Run Overview. Prepare a reviewed published pack and an attendance event with evidence.</v>
      </c>
      <c r="J595" s="24" t="str">
        <v>Regression</v>
      </c>
      <c r="K595" s="26"/>
      <c r="L595" s="26"/>
      <c r="M595" s="26"/>
      <c r="N595" s="29"/>
      <c r="O595" s="26"/>
      <c r="P595" s="26"/>
      <c r="Q595" s="26"/>
      <c r="R595" s="24" t="str">
        <v>Core</v>
      </c>
      <c r="S595" s="28" t="str">
        <v>New</v>
      </c>
      <c r="T595" s="28"/>
      <c r="U595" s="28" t="str">
        <v>New</v>
      </c>
    </row>
    <row r="596" ht="64" customHeight="1">
      <c r="A596" s="25" t="str">
        <v>Not Run</v>
      </c>
      <c r="B596" s="19" t="str">
        <v>GO-MAN-595</v>
      </c>
      <c r="C596" s="19" t="str">
        <v>Official Passport Stamps</v>
      </c>
      <c r="D596" s="19" t="str">
        <v>Publish an explicitly public Passport and view it as visitor.</v>
      </c>
      <c r="E596" s="19" t="str">
        <v>Only permitted nonrevoked stamps appear with no internal evidence notes.</v>
      </c>
      <c r="F596" s="19" t="str">
        <v>Public stamp projection</v>
      </c>
      <c r="G596" s="19" t="str">
        <v>P1</v>
      </c>
      <c r="H596" s="19" t="str">
        <v>Contributor, private/public profile owner and admin</v>
      </c>
      <c r="I596" s="19" t="str">
        <v>Use prepared QA records and separate accounts. Record the actual URL and build on Run Overview. Prepare a reviewed published pack and an attendance event with evidence.</v>
      </c>
      <c r="J596" s="19" t="str">
        <v>Regression</v>
      </c>
      <c r="K596" s="26"/>
      <c r="L596" s="26"/>
      <c r="M596" s="26"/>
      <c r="N596" s="29"/>
      <c r="O596" s="26"/>
      <c r="P596" s="26"/>
      <c r="Q596" s="26"/>
      <c r="R596" s="19" t="str">
        <v>Core</v>
      </c>
      <c r="S596" s="27" t="str">
        <v>New</v>
      </c>
      <c r="T596" s="27"/>
      <c r="U596" s="27" t="str">
        <v>New</v>
      </c>
    </row>
    <row r="597" ht="64" customHeight="1">
      <c r="A597" s="25" t="str">
        <v>Not Run</v>
      </c>
      <c r="B597" s="24" t="str">
        <v>GO-MAN-596</v>
      </c>
      <c r="C597" s="24" t="str">
        <v>Official Passport Stamps</v>
      </c>
      <c r="D597" s="24" t="str">
        <v>Expire the owner’s membership and inspect own stamp ledger.</v>
      </c>
      <c r="E597" s="24" t="str">
        <v>Earned history remains unless staff revoke an award. Membership expiry does not invent new eligibility.</v>
      </c>
      <c r="F597" s="24" t="str">
        <v>Stamp history after membership ends</v>
      </c>
      <c r="G597" s="24" t="str">
        <v>P1</v>
      </c>
      <c r="H597" s="24" t="str">
        <v>Contributor, private/public profile owner and admin</v>
      </c>
      <c r="I597" s="24" t="str">
        <v>Use prepared QA records and separate accounts. Record the actual URL and build on Run Overview. Prepare a reviewed published pack and an attendance event with evidence.</v>
      </c>
      <c r="J597" s="24" t="str">
        <v>Regression</v>
      </c>
      <c r="K597" s="26"/>
      <c r="L597" s="26"/>
      <c r="M597" s="26"/>
      <c r="N597" s="29"/>
      <c r="O597" s="26"/>
      <c r="P597" s="26"/>
      <c r="Q597" s="26"/>
      <c r="R597" s="24" t="str">
        <v>Core</v>
      </c>
      <c r="S597" s="28" t="str">
        <v>New</v>
      </c>
      <c r="T597" s="28"/>
      <c r="U597" s="28" t="str">
        <v>New</v>
      </c>
    </row>
    <row r="598" ht="64" customHeight="1">
      <c r="A598" s="25" t="str">
        <v>Not Run</v>
      </c>
      <c r="B598" s="19" t="str">
        <v>GO-MAN-597</v>
      </c>
      <c r="C598" s="19" t="str">
        <v>Official Passport Stamps</v>
      </c>
      <c r="D598" s="19" t="str">
        <v>Revoke a prepared award as staff and refresh public and owner views.</v>
      </c>
      <c r="E598" s="19" t="str">
        <v>The revoked award no longer appears publicly and its private history remains auditable.</v>
      </c>
      <c r="F598" s="19" t="str">
        <v>Stamp revocation</v>
      </c>
      <c r="G598" s="19" t="str">
        <v>P0</v>
      </c>
      <c r="H598" s="19" t="str">
        <v>Contributor, private/public profile owner and admin</v>
      </c>
      <c r="I598" s="19" t="str">
        <v>Use prepared QA records and separate accounts. Record the actual URL and build on Run Overview. Prepare a reviewed published pack and an attendance event with evidence.</v>
      </c>
      <c r="J598" s="19" t="str">
        <v>Regression</v>
      </c>
      <c r="K598" s="26"/>
      <c r="L598" s="26"/>
      <c r="M598" s="26"/>
      <c r="N598" s="29"/>
      <c r="O598" s="26"/>
      <c r="P598" s="26"/>
      <c r="Q598" s="26"/>
      <c r="R598" s="19" t="str">
        <v>Core</v>
      </c>
      <c r="S598" s="27" t="str">
        <v>New</v>
      </c>
      <c r="T598" s="27"/>
      <c r="U598" s="27" t="str">
        <v>New</v>
      </c>
    </row>
    <row r="599" ht="64" customHeight="1">
      <c r="A599" s="25" t="str">
        <v>Not Run</v>
      </c>
      <c r="B599" s="24" t="str">
        <v>GO-MAN-598</v>
      </c>
      <c r="C599" s="24" t="str">
        <v>Official Passport Stamps</v>
      </c>
      <c r="D599" s="24" t="str">
        <v>Click and keyboard-activate a stamp repeatedly, then refresh totals and voting.</v>
      </c>
      <c r="E599" s="24" t="str">
        <v>Activation is local visual feedback. No extra award, vote, XP or attendance is created.</v>
      </c>
      <c r="F599" s="24" t="str">
        <v>Stamp local activation</v>
      </c>
      <c r="G599" s="24" t="str">
        <v>P1</v>
      </c>
      <c r="H599" s="24" t="str">
        <v>Contributor, private/public profile owner and admin</v>
      </c>
      <c r="I599" s="24" t="str">
        <v>Use prepared QA records and separate accounts. Record the actual URL and build on Run Overview. Prepare a reviewed published pack and an attendance event with evidence.</v>
      </c>
      <c r="J599" s="24" t="str">
        <v>Regression</v>
      </c>
      <c r="K599" s="26"/>
      <c r="L599" s="26"/>
      <c r="M599" s="26"/>
      <c r="N599" s="29"/>
      <c r="O599" s="26"/>
      <c r="P599" s="26"/>
      <c r="Q599" s="26"/>
      <c r="R599" s="24" t="str">
        <v>Core</v>
      </c>
      <c r="S599" s="28" t="str">
        <v>New</v>
      </c>
      <c r="T599" s="28"/>
      <c r="U599" s="28" t="str">
        <v>New</v>
      </c>
    </row>
    <row r="600" ht="64" customHeight="1">
      <c r="A600" s="25" t="str">
        <v>Not Run</v>
      </c>
      <c r="B600" s="19" t="str">
        <v>GO-MAN-599</v>
      </c>
      <c r="C600" s="19" t="str">
        <v>Official Passport Stamps</v>
      </c>
      <c r="D600" s="19" t="str">
        <v>Enable reduced motion and activate the stamp with keyboard and touch.</v>
      </c>
      <c r="E600" s="19" t="str">
        <v>The stamp remains understandable without depending on the animation.</v>
      </c>
      <c r="F600" s="19" t="str">
        <v>Stamp reduced motion</v>
      </c>
      <c r="G600" s="19" t="str">
        <v>P1</v>
      </c>
      <c r="H600" s="19" t="str">
        <v>Contributor, private/public profile owner and admin</v>
      </c>
      <c r="I600" s="19" t="str">
        <v>Use prepared QA records and separate accounts. Record the actual URL and build on Run Overview. Prepare a reviewed published pack and an attendance event with evidence.</v>
      </c>
      <c r="J600" s="19" t="str">
        <v>Regression</v>
      </c>
      <c r="K600" s="26"/>
      <c r="L600" s="26"/>
      <c r="M600" s="26"/>
      <c r="N600" s="29"/>
      <c r="O600" s="26"/>
      <c r="P600" s="26"/>
      <c r="Q600" s="26"/>
      <c r="R600" s="19" t="str">
        <v>Core</v>
      </c>
      <c r="S600" s="27" t="str">
        <v>New</v>
      </c>
      <c r="T600" s="27"/>
      <c r="U600" s="27" t="str">
        <v>New</v>
      </c>
    </row>
    <row r="601" ht="64" customHeight="1">
      <c r="A601" s="25" t="str">
        <v>Not Run</v>
      </c>
      <c r="B601" s="24" t="str">
        <v>GO-MAN-600</v>
      </c>
      <c r="C601" s="24" t="str">
        <v>GO Merch Reservations</v>
      </c>
      <c r="D601" s="24" t="str">
        <v>Open /merch and switch both designs and fits.</v>
      </c>
      <c r="E601" s="24" t="str">
        <v>The four configured variant images and selection labels match.</v>
      </c>
      <c r="F601" s="24" t="str">
        <v>T-shirt designs and fits</v>
      </c>
      <c r="G601" s="24" t="str">
        <v>P1</v>
      </c>
      <c r="H601" s="24" t="str">
        <v>Visitor and merch admin</v>
      </c>
      <c r="I601" s="24" t="str">
        <v>Use prepared QA records and separate accounts. Record the actual URL and build on Run Overview. Use controlled QA mailbox and synthetic phone/address. This flow reserves shirts without payment.</v>
      </c>
      <c r="J601" s="24" t="str">
        <v>Smoke</v>
      </c>
      <c r="K601" s="26"/>
      <c r="L601" s="26"/>
      <c r="M601" s="26"/>
      <c r="N601" s="29"/>
      <c r="O601" s="26"/>
      <c r="P601" s="26"/>
      <c r="Q601" s="26"/>
      <c r="R601" s="24" t="str">
        <v>Core</v>
      </c>
      <c r="S601" s="28" t="str">
        <v>New</v>
      </c>
      <c r="T601" s="28"/>
      <c r="U601" s="28" t="str">
        <v>New</v>
      </c>
    </row>
    <row r="602" ht="64" customHeight="1">
      <c r="A602" s="25" t="str">
        <v>Not Run</v>
      </c>
      <c r="B602" s="19" t="str">
        <v>GO-MAN-601</v>
      </c>
      <c r="C602" s="19" t="str">
        <v>GO Merch Reservations</v>
      </c>
      <c r="D602" s="19" t="str">
        <v>Choose the two-shirt offer. Set different design, fit and size for each shirt and switch between them.</v>
      </c>
      <c r="E602" s="19" t="str">
        <v>Each shirt keeps its independent choices and the summary includes both.</v>
      </c>
      <c r="F602" s="19" t="str">
        <v>Independent duo shirts</v>
      </c>
      <c r="G602" s="19" t="str">
        <v>P0</v>
      </c>
      <c r="H602" s="19" t="str">
        <v>Visitor and merch admin</v>
      </c>
      <c r="I602" s="19" t="str">
        <v>Use prepared QA records and separate accounts. Record the actual URL and build on Run Overview. Use controlled QA mailbox and synthetic phone/address. This flow reserves shirts without payment.</v>
      </c>
      <c r="J602" s="19" t="str">
        <v>Smoke</v>
      </c>
      <c r="K602" s="26"/>
      <c r="L602" s="26"/>
      <c r="M602" s="26"/>
      <c r="N602" s="29"/>
      <c r="O602" s="26"/>
      <c r="P602" s="26"/>
      <c r="Q602" s="26"/>
      <c r="R602" s="19" t="str">
        <v>Core</v>
      </c>
      <c r="S602" s="27" t="str">
        <v>New</v>
      </c>
      <c r="T602" s="27"/>
      <c r="U602" s="27" t="str">
        <v>New</v>
      </c>
    </row>
    <row r="603" ht="64" customHeight="1">
      <c r="A603" s="25" t="str">
        <v>Not Run</v>
      </c>
      <c r="B603" s="24" t="str">
        <v>GO-MAN-602</v>
      </c>
      <c r="C603" s="24" t="str">
        <v>GO Merch Reservations</v>
      </c>
      <c r="D603" s="24" t="str">
        <v>Try XS and XXL, then single quantity 10 and duo quantity 5. Switch offers at the limit.</v>
      </c>
      <c r="E603" s="24" t="str">
        <v>Sizes XS–XXL are supported. Total shirts cannot exceed 10 and offer switching adjusts quantity safely.</v>
      </c>
      <c r="F603" s="24" t="str">
        <v>Sizes and quantity limit</v>
      </c>
      <c r="G603" s="24" t="str">
        <v>P1</v>
      </c>
      <c r="H603" s="24" t="str">
        <v>Visitor and merch admin</v>
      </c>
      <c r="I603" s="24" t="str">
        <v>Use prepared QA records and separate accounts. Record the actual URL and build on Run Overview. Use controlled QA mailbox and synthetic phone/address. This flow reserves shirts without payment.</v>
      </c>
      <c r="J603" s="24" t="str">
        <v>Regression</v>
      </c>
      <c r="K603" s="26"/>
      <c r="L603" s="26"/>
      <c r="M603" s="26"/>
      <c r="N603" s="29"/>
      <c r="O603" s="26"/>
      <c r="P603" s="26"/>
      <c r="Q603" s="26"/>
      <c r="R603" s="24" t="str">
        <v>Core</v>
      </c>
      <c r="S603" s="28" t="str">
        <v>New</v>
      </c>
      <c r="T603" s="28"/>
      <c r="U603" s="28" t="str">
        <v>New</v>
      </c>
    </row>
    <row r="604" ht="64" customHeight="1">
      <c r="A604" s="25" t="str">
        <v>Not Run</v>
      </c>
      <c r="B604" s="19" t="str">
        <v>GO-MAN-603</v>
      </c>
      <c r="C604" s="19" t="str">
        <v>GO Merch Reservations</v>
      </c>
      <c r="D604" s="19" t="str">
        <v>Try blank, zero, negative and fractional suggested total, then a valid whole MKD total.</v>
      </c>
      <c r="E604" s="19" t="str">
        <v>Only a required positive whole MKD total within the supported limit is accepted. It is labeled total, excluding delivery.</v>
      </c>
      <c r="F604" s="19" t="str">
        <v>Suggested total validation</v>
      </c>
      <c r="G604" s="19" t="str">
        <v>P0</v>
      </c>
      <c r="H604" s="19" t="str">
        <v>Visitor and merch admin</v>
      </c>
      <c r="I604" s="19" t="str">
        <v>Use prepared QA records and separate accounts. Record the actual URL and build on Run Overview. Use controlled QA mailbox and synthetic phone/address. This flow reserves shirts without payment.</v>
      </c>
      <c r="J604" s="19" t="str">
        <v>Regression</v>
      </c>
      <c r="K604" s="26"/>
      <c r="L604" s="26"/>
      <c r="M604" s="26"/>
      <c r="N604" s="29"/>
      <c r="O604" s="26"/>
      <c r="P604" s="26"/>
      <c r="Q604" s="26"/>
      <c r="R604" s="19" t="str">
        <v>Core</v>
      </c>
      <c r="S604" s="27" t="str">
        <v>New</v>
      </c>
      <c r="T604" s="27"/>
      <c r="U604" s="27" t="str">
        <v>New</v>
      </c>
    </row>
    <row r="605" ht="64" customHeight="1">
      <c r="A605" s="25" t="str">
        <v>Not Run</v>
      </c>
      <c r="B605" s="24" t="str">
        <v>GO-MAN-604</v>
      </c>
      <c r="C605" s="24" t="str">
        <v>GO Merch Reservations</v>
      </c>
      <c r="D605" s="24" t="str">
        <v>Choose Skopje office pickup and complete required contact fields.</v>
      </c>
      <c r="E605" s="24" t="str">
        <v>No delivery address is required or retained for pickup.</v>
      </c>
      <c r="F605" s="24" t="str">
        <v>Pickup in Skopje</v>
      </c>
      <c r="G605" s="24" t="str">
        <v>P1</v>
      </c>
      <c r="H605" s="24" t="str">
        <v>Visitor and merch admin</v>
      </c>
      <c r="I605" s="24" t="str">
        <v>Use prepared QA records and separate accounts. Record the actual URL and build on Run Overview. Use controlled QA mailbox and synthetic phone/address. This flow reserves shirts without payment.</v>
      </c>
      <c r="J605" s="24" t="str">
        <v>Regression</v>
      </c>
      <c r="K605" s="26"/>
      <c r="L605" s="26"/>
      <c r="M605" s="26"/>
      <c r="N605" s="29"/>
      <c r="O605" s="26"/>
      <c r="P605" s="26"/>
      <c r="Q605" s="26"/>
      <c r="R605" s="24" t="str">
        <v>Core</v>
      </c>
      <c r="S605" s="28" t="str">
        <v>New</v>
      </c>
      <c r="T605" s="28"/>
      <c r="U605" s="28" t="str">
        <v>New</v>
      </c>
    </row>
    <row r="606" ht="64" customHeight="1">
      <c r="A606" s="25" t="str">
        <v>Not Run</v>
      </c>
      <c r="B606" s="19" t="str">
        <v>GO-MAN-605</v>
      </c>
      <c r="C606" s="19" t="str">
        <v>GO Merch Reservations</v>
      </c>
      <c r="D606" s="19" t="str">
        <v>Choose delivery in Skopje, try blank address, then enter a QA address.</v>
      </c>
      <c r="E606" s="19" t="str">
        <v>Address is required and fulfillment is identified as Kiimo delivery.</v>
      </c>
      <c r="F606" s="19" t="str">
        <v>Kiimo delivery</v>
      </c>
      <c r="G606" s="19" t="str">
        <v>P1</v>
      </c>
      <c r="H606" s="19" t="str">
        <v>Visitor and merch admin</v>
      </c>
      <c r="I606" s="19" t="str">
        <v>Use prepared QA records and separate accounts. Record the actual URL and build on Run Overview. Use controlled QA mailbox and synthetic phone/address. This flow reserves shirts without payment.</v>
      </c>
      <c r="J606" s="19" t="str">
        <v>Regression</v>
      </c>
      <c r="K606" s="26"/>
      <c r="L606" s="26"/>
      <c r="M606" s="26"/>
      <c r="N606" s="29"/>
      <c r="O606" s="26"/>
      <c r="P606" s="26"/>
      <c r="Q606" s="26"/>
      <c r="R606" s="19" t="str">
        <v>Core</v>
      </c>
      <c r="S606" s="27" t="str">
        <v>New</v>
      </c>
      <c r="T606" s="27"/>
      <c r="U606" s="27" t="str">
        <v>New</v>
      </c>
    </row>
    <row r="607" ht="64" customHeight="1">
      <c r="A607" s="25" t="str">
        <v>Not Run</v>
      </c>
      <c r="B607" s="24" t="str">
        <v>GO-MAN-606</v>
      </c>
      <c r="C607" s="24" t="str">
        <v>GO Merch Reservations</v>
      </c>
      <c r="D607" s="24" t="str">
        <v>Choose another North Macedonia city and delivery. Try empty city then a valid city/address.</v>
      </c>
      <c r="E607" s="24" t="str">
        <v>City and delivery address are required. Cargo is by arrangement. Office pickup is not incorrectly offered for that location.</v>
      </c>
      <c r="F607" s="24" t="str">
        <v>Cargo elsewhere</v>
      </c>
      <c r="G607" s="24" t="str">
        <v>P1</v>
      </c>
      <c r="H607" s="24" t="str">
        <v>Visitor and merch admin</v>
      </c>
      <c r="I607" s="24" t="str">
        <v>Use prepared QA records and separate accounts. Record the actual URL and build on Run Overview. Use controlled QA mailbox and synthetic phone/address. This flow reserves shirts without payment.</v>
      </c>
      <c r="J607" s="24" t="str">
        <v>Regression</v>
      </c>
      <c r="K607" s="26"/>
      <c r="L607" s="26"/>
      <c r="M607" s="26"/>
      <c r="N607" s="29"/>
      <c r="O607" s="26"/>
      <c r="P607" s="26"/>
      <c r="Q607" s="26"/>
      <c r="R607" s="24" t="str">
        <v>Core</v>
      </c>
      <c r="S607" s="28" t="str">
        <v>New</v>
      </c>
      <c r="T607" s="28"/>
      <c r="U607" s="28" t="str">
        <v>New</v>
      </c>
    </row>
    <row r="608" ht="64" customHeight="1">
      <c r="A608" s="25" t="str">
        <v>Not Run</v>
      </c>
      <c r="B608" s="19" t="str">
        <v>GO-MAN-607</v>
      </c>
      <c r="C608" s="19" t="str">
        <v>GO Merch Reservations</v>
      </c>
      <c r="D608" s="19" t="str">
        <v>Try malformed email/phone and leave reservation consent unchecked, then correct them.</v>
      </c>
      <c r="E608" s="19" t="str">
        <v>Invalid contact or missing consent blocks saving. No marketing subscription is silently added.</v>
      </c>
      <c r="F608" s="19" t="str">
        <v>Contact and consent validation</v>
      </c>
      <c r="G608" s="19" t="str">
        <v>P0</v>
      </c>
      <c r="H608" s="19" t="str">
        <v>Visitor and merch admin</v>
      </c>
      <c r="I608" s="19" t="str">
        <v>Use prepared QA records and separate accounts. Record the actual URL and build on Run Overview. Use controlled QA mailbox and synthetic phone/address. This flow reserves shirts without payment.</v>
      </c>
      <c r="J608" s="19" t="str">
        <v>Regression</v>
      </c>
      <c r="K608" s="26"/>
      <c r="L608" s="26"/>
      <c r="M608" s="26"/>
      <c r="N608" s="29"/>
      <c r="O608" s="26"/>
      <c r="P608" s="26"/>
      <c r="Q608" s="26"/>
      <c r="R608" s="19" t="str">
        <v>Core</v>
      </c>
      <c r="S608" s="27" t="str">
        <v>New</v>
      </c>
      <c r="T608" s="27"/>
      <c r="U608" s="27" t="str">
        <v>New</v>
      </c>
    </row>
    <row r="609" ht="64" customHeight="1">
      <c r="A609" s="25" t="str">
        <v>Not Run</v>
      </c>
      <c r="B609" s="24" t="str">
        <v>GO-MAN-608</v>
      </c>
      <c r="C609" s="24" t="str">
        <v>GO Merch Reservations</v>
      </c>
      <c r="D609" s="24" t="str">
        <v>Submit a valid single or duo reservation and inspect the QA inbox.</v>
      </c>
      <c r="E609" s="24" t="str">
        <v>A confirmation email arrives with accurate choices and safe confirm/manage links. No payment is requested.</v>
      </c>
      <c r="F609" s="24" t="str">
        <v>Reservation confirmation email</v>
      </c>
      <c r="G609" s="24" t="str">
        <v>P0</v>
      </c>
      <c r="H609" s="24" t="str">
        <v>Visitor and merch admin</v>
      </c>
      <c r="I609" s="24" t="str">
        <v>Use prepared QA records and separate accounts. Record the actual URL and build on Run Overview. Use controlled QA mailbox and synthetic phone/address. This flow reserves shirts without payment.</v>
      </c>
      <c r="J609" s="24" t="str">
        <v>Smoke</v>
      </c>
      <c r="K609" s="26"/>
      <c r="L609" s="26"/>
      <c r="M609" s="26"/>
      <c r="N609" s="29"/>
      <c r="O609" s="26"/>
      <c r="P609" s="26"/>
      <c r="Q609" s="26"/>
      <c r="R609" s="24" t="str">
        <v>Core</v>
      </c>
      <c r="S609" s="28" t="str">
        <v>New</v>
      </c>
      <c r="T609" s="28"/>
      <c r="U609" s="28" t="str">
        <v>New</v>
      </c>
    </row>
    <row r="610" ht="64" customHeight="1">
      <c r="A610" s="25" t="str">
        <v>Not Run</v>
      </c>
      <c r="B610" s="19" t="str">
        <v>GO-MAN-609</v>
      </c>
      <c r="C610" s="19" t="str">
        <v>GO Merch Reservations</v>
      </c>
      <c r="D610" s="19" t="str">
        <v>Follow the confirmation link, complete its confirmation action, then refresh admin and management views.</v>
      </c>
      <c r="E610" s="19" t="str">
        <v>Confirmed reservation retains both shirt choices, quantity, suggested total, delivery and consent.</v>
      </c>
      <c r="F610" s="19" t="str">
        <v>Confirm reservation</v>
      </c>
      <c r="G610" s="19" t="str">
        <v>P0</v>
      </c>
      <c r="H610" s="19" t="str">
        <v>Visitor and merch admin</v>
      </c>
      <c r="I610" s="19" t="str">
        <v>Use prepared QA records and separate accounts. Record the actual URL and build on Run Overview. Use controlled QA mailbox and synthetic phone/address. This flow reserves shirts without payment.</v>
      </c>
      <c r="J610" s="19" t="str">
        <v>Smoke</v>
      </c>
      <c r="K610" s="26"/>
      <c r="L610" s="26"/>
      <c r="M610" s="26"/>
      <c r="N610" s="29"/>
      <c r="O610" s="26"/>
      <c r="P610" s="26"/>
      <c r="Q610" s="26"/>
      <c r="R610" s="19" t="str">
        <v>Core</v>
      </c>
      <c r="S610" s="27" t="str">
        <v>New</v>
      </c>
      <c r="T610" s="27"/>
      <c r="U610" s="27" t="str">
        <v>New</v>
      </c>
    </row>
    <row r="611" ht="64" customHeight="1">
      <c r="A611" s="25" t="str">
        <v>Not Run</v>
      </c>
      <c r="B611" s="24" t="str">
        <v>GO-MAN-610</v>
      </c>
      <c r="C611" s="24" t="str">
        <v>GO Merch Reservations</v>
      </c>
      <c r="D611" s="24" t="str">
        <v>Double-click submit, retry after a simulated response failure and repeat confirmation.</v>
      </c>
      <c r="E611" s="24" t="str">
        <v>Idempotent retry does not duplicate the reservation or send repeated confirmation emails for the same submission.</v>
      </c>
      <c r="F611" s="24" t="str">
        <v>Retry and double submit</v>
      </c>
      <c r="G611" s="24" t="str">
        <v>P0</v>
      </c>
      <c r="H611" s="24" t="str">
        <v>Visitor and merch admin</v>
      </c>
      <c r="I611" s="24" t="str">
        <v>Use prepared QA records and separate accounts. Record the actual URL and build on Run Overview. Use controlled QA mailbox and synthetic phone/address. This flow reserves shirts without payment.</v>
      </c>
      <c r="J611" s="24" t="str">
        <v>Regression</v>
      </c>
      <c r="K611" s="26"/>
      <c r="L611" s="26"/>
      <c r="M611" s="26"/>
      <c r="N611" s="29"/>
      <c r="O611" s="26"/>
      <c r="P611" s="26"/>
      <c r="Q611" s="26"/>
      <c r="R611" s="24" t="str">
        <v>Core</v>
      </c>
      <c r="S611" s="28" t="str">
        <v>New</v>
      </c>
      <c r="T611" s="28"/>
      <c r="U611" s="28" t="str">
        <v>New</v>
      </c>
    </row>
    <row r="612" ht="64" customHeight="1">
      <c r="A612" s="25" t="str">
        <v>Not Run</v>
      </c>
      <c r="B612" s="19" t="str">
        <v>GO-MAN-611</v>
      </c>
      <c r="C612" s="19" t="str">
        <v>GO Merch Reservations</v>
      </c>
      <c r="D612" s="19" t="str">
        <v>Open an expired/altered confirmation link and an older replaced link after changing the reservation.</v>
      </c>
      <c r="E612" s="19" t="str">
        <v>Invalid or replaced links cannot confirm or manage a different version. Recovery is clear.</v>
      </c>
      <c r="F612" s="19" t="str">
        <v>Expired/replaced token</v>
      </c>
      <c r="G612" s="19" t="str">
        <v>P0</v>
      </c>
      <c r="H612" s="19" t="str">
        <v>Visitor and merch admin</v>
      </c>
      <c r="I612" s="19" t="str">
        <v>Use prepared QA records and separate accounts. Record the actual URL and build on Run Overview. Use controlled QA mailbox and synthetic phone/address. This flow reserves shirts without payment.</v>
      </c>
      <c r="J612" s="19" t="str">
        <v>Regression</v>
      </c>
      <c r="K612" s="26"/>
      <c r="L612" s="26"/>
      <c r="M612" s="26"/>
      <c r="N612" s="29"/>
      <c r="O612" s="26"/>
      <c r="P612" s="26"/>
      <c r="Q612" s="26"/>
      <c r="R612" s="19" t="str">
        <v>Core</v>
      </c>
      <c r="S612" s="27" t="str">
        <v>New</v>
      </c>
      <c r="T612" s="27"/>
      <c r="U612" s="27" t="str">
        <v>New</v>
      </c>
    </row>
    <row r="613" ht="64" customHeight="1">
      <c r="A613" s="25" t="str">
        <v>Not Run</v>
      </c>
      <c r="B613" s="24" t="str">
        <v>GO-MAN-612</v>
      </c>
      <c r="C613" s="24" t="str">
        <v>GO Merch Reservations</v>
      </c>
      <c r="D613" s="24" t="str">
        <v>Change an already confirmed reservation and inspect it before confirming the new version.</v>
      </c>
      <c r="E613" s="24" t="str">
        <v>Unconfirmed changes do not silently replace the active confirmed choices.</v>
      </c>
      <c r="F613" s="24" t="str">
        <v>Pending changes preserve confirmed state</v>
      </c>
      <c r="G613" s="24" t="str">
        <v>P1</v>
      </c>
      <c r="H613" s="24" t="str">
        <v>Visitor and merch admin</v>
      </c>
      <c r="I613" s="24" t="str">
        <v>Use prepared QA records and separate accounts. Record the actual URL and build on Run Overview. Use controlled QA mailbox and synthetic phone/address. This flow reserves shirts without payment.</v>
      </c>
      <c r="J613" s="24" t="str">
        <v>Regression</v>
      </c>
      <c r="K613" s="26"/>
      <c r="L613" s="26"/>
      <c r="M613" s="26"/>
      <c r="N613" s="29"/>
      <c r="O613" s="26"/>
      <c r="P613" s="26"/>
      <c r="Q613" s="26"/>
      <c r="R613" s="24" t="str">
        <v>Core</v>
      </c>
      <c r="S613" s="28" t="str">
        <v>New</v>
      </c>
      <c r="T613" s="28"/>
      <c r="U613" s="28" t="str">
        <v>New</v>
      </c>
    </row>
    <row r="614" ht="64" customHeight="1">
      <c r="A614" s="25" t="str">
        <v>Not Run</v>
      </c>
      <c r="B614" s="19" t="str">
        <v>GO-MAN-613</v>
      </c>
      <c r="C614" s="19" t="str">
        <v>GO Merch Reservations</v>
      </c>
      <c r="D614" s="19" t="str">
        <v>Use the controlled manage link to cancel a reservation. Reload manage and admin views.</v>
      </c>
      <c r="E614" s="19" t="str">
        <v>Reservation is canceled/removed and contact/delivery details are removed according to the implemented action.</v>
      </c>
      <c r="F614" s="19" t="str">
        <v>Cancel and remove contact</v>
      </c>
      <c r="G614" s="19" t="str">
        <v>P0</v>
      </c>
      <c r="H614" s="19" t="str">
        <v>Visitor and merch admin</v>
      </c>
      <c r="I614" s="19" t="str">
        <v>Use prepared QA records and separate accounts. Record the actual URL and build on Run Overview. Use controlled QA mailbox and synthetic phone/address. This flow reserves shirts without payment.</v>
      </c>
      <c r="J614" s="19" t="str">
        <v>Regression</v>
      </c>
      <c r="K614" s="26"/>
      <c r="L614" s="26"/>
      <c r="M614" s="26"/>
      <c r="N614" s="29"/>
      <c r="O614" s="26"/>
      <c r="P614" s="26"/>
      <c r="Q614" s="26"/>
      <c r="R614" s="19" t="str">
        <v>Core</v>
      </c>
      <c r="S614" s="27" t="str">
        <v>New</v>
      </c>
      <c r="T614" s="27"/>
      <c r="U614" s="27" t="str">
        <v>New</v>
      </c>
    </row>
    <row r="615" ht="64" customHeight="1">
      <c r="A615" s="25" t="str">
        <v>Not Run</v>
      </c>
      <c r="B615" s="24" t="str">
        <v>GO-MAN-614</v>
      </c>
      <c r="C615" s="24" t="str">
        <v>GO Merch Reservations</v>
      </c>
      <c r="D615" s="24" t="str">
        <v>Use a controlled failed-delivery fixture for confirmation.</v>
      </c>
      <c r="E615" s="24" t="str">
        <v>Request remains saved and UI explains that email was not sent yet. Outbox retry does not claim delivery prematurely.</v>
      </c>
      <c r="F615" s="24" t="str">
        <v>Email failure and retry copy</v>
      </c>
      <c r="G615" s="24" t="str">
        <v>P1</v>
      </c>
      <c r="H615" s="24" t="str">
        <v>Visitor and merch admin</v>
      </c>
      <c r="I615" s="24" t="str">
        <v>Use prepared QA records and separate accounts. Record the actual URL and build on Run Overview. Use controlled QA mailbox and synthetic phone/address. This flow reserves shirts without payment.</v>
      </c>
      <c r="J615" s="24" t="str">
        <v>Regression</v>
      </c>
      <c r="K615" s="26"/>
      <c r="L615" s="26"/>
      <c r="M615" s="26"/>
      <c r="N615" s="29"/>
      <c r="O615" s="26"/>
      <c r="P615" s="26"/>
      <c r="Q615" s="26"/>
      <c r="R615" s="24" t="str">
        <v>Core</v>
      </c>
      <c r="S615" s="28" t="str">
        <v>New</v>
      </c>
      <c r="T615" s="28"/>
      <c r="U615" s="28" t="str">
        <v>New</v>
      </c>
    </row>
    <row r="616" ht="64" customHeight="1">
      <c r="A616" s="25" t="str">
        <v>Not Run</v>
      </c>
      <c r="B616" s="19" t="str">
        <v>GO-MAN-615</v>
      </c>
      <c r="C616" s="19" t="str">
        <v>GO Merch Reservations</v>
      </c>
      <c r="D616" s="19" t="str">
        <v>Open /admin/merch, filter reservations and export CSV for controlled single/duo examples.</v>
      </c>
      <c r="E616" s="19" t="str">
        <v>Both shirts, package and shirt totals, suggested total, contact and delivery fields match confirmed records.</v>
      </c>
      <c r="F616" s="19" t="str">
        <v>Admin counts and CSV</v>
      </c>
      <c r="G616" s="19" t="str">
        <v>P1</v>
      </c>
      <c r="H616" s="19" t="str">
        <v>Visitor and merch admin</v>
      </c>
      <c r="I616" s="19" t="str">
        <v>Use prepared QA records and separate accounts. Record the actual URL and build on Run Overview. Use controlled QA mailbox and synthetic phone/address. This flow reserves shirts without payment.</v>
      </c>
      <c r="J616" s="19" t="str">
        <v>Regression</v>
      </c>
      <c r="K616" s="26"/>
      <c r="L616" s="26"/>
      <c r="M616" s="26"/>
      <c r="N616" s="29"/>
      <c r="O616" s="26"/>
      <c r="P616" s="26"/>
      <c r="Q616" s="26"/>
      <c r="R616" s="19" t="str">
        <v>Core</v>
      </c>
      <c r="S616" s="27" t="str">
        <v>New</v>
      </c>
      <c r="T616" s="27"/>
      <c r="U616" s="27" t="str">
        <v>New</v>
      </c>
    </row>
    <row r="617" ht="64" customHeight="1">
      <c r="A617" s="25" t="str">
        <v>Not Run</v>
      </c>
      <c r="B617" s="24" t="str">
        <v>GO-MAN-616</v>
      </c>
      <c r="C617" s="24" t="str">
        <v>GO Merch Reservations</v>
      </c>
      <c r="D617" s="24" t="str">
        <v>Send one QA availability notice for an exact variant/size to controlled matching and nonmatching records.</v>
      </c>
      <c r="E617" s="24" t="str">
        <v>Only current confirmed consented matching requests receive it. Repeating the same send does not duplicate delivery.</v>
      </c>
      <c r="F617" s="24" t="str">
        <v>Availability email eligibility</v>
      </c>
      <c r="G617" s="24" t="str">
        <v>P0</v>
      </c>
      <c r="H617" s="24" t="str">
        <v>Visitor and merch admin</v>
      </c>
      <c r="I617" s="24" t="str">
        <v>Use prepared QA records and separate accounts. Record the actual URL and build on Run Overview. Use controlled QA mailbox and synthetic phone/address. This flow reserves shirts without payment.</v>
      </c>
      <c r="J617" s="24" t="str">
        <v>Regression</v>
      </c>
      <c r="K617" s="26"/>
      <c r="L617" s="26"/>
      <c r="M617" s="26"/>
      <c r="N617" s="29"/>
      <c r="O617" s="26"/>
      <c r="P617" s="26"/>
      <c r="Q617" s="26"/>
      <c r="R617" s="24" t="str">
        <v>Core</v>
      </c>
      <c r="S617" s="28" t="str">
        <v>New</v>
      </c>
      <c r="T617" s="28"/>
      <c r="U617" s="28" t="str">
        <v>New</v>
      </c>
    </row>
    <row r="618" ht="64" customHeight="1">
      <c r="A618" s="25" t="str">
        <v>Not Run</v>
      </c>
      <c r="B618" s="19" t="str">
        <v>GO-MAN-617</v>
      </c>
      <c r="C618" s="19" t="str">
        <v>GO Merch Reservations</v>
      </c>
      <c r="D618" s="19" t="str">
        <v>Open admin APIs as normal user and inspect public merch responses.</v>
      </c>
      <c r="E618" s="19" t="str">
        <v>Admin reporting is denied. Tokens and contact/delivery records are not exposed publicly.</v>
      </c>
      <c r="F618" s="19" t="str">
        <v>Admin and token privacy</v>
      </c>
      <c r="G618" s="19" t="str">
        <v>P0</v>
      </c>
      <c r="H618" s="19" t="str">
        <v>Visitor and merch admin</v>
      </c>
      <c r="I618" s="19" t="str">
        <v>Use prepared QA records and separate accounts. Record the actual URL and build on Run Overview. Use controlled QA mailbox and synthetic phone/address. This flow reserves shirts without payment.</v>
      </c>
      <c r="J618" s="19" t="str">
        <v>Regression</v>
      </c>
      <c r="K618" s="26"/>
      <c r="L618" s="26"/>
      <c r="M618" s="26"/>
      <c r="N618" s="29"/>
      <c r="O618" s="26"/>
      <c r="P618" s="26"/>
      <c r="Q618" s="26"/>
      <c r="R618" s="19" t="str">
        <v>Core</v>
      </c>
      <c r="S618" s="27" t="str">
        <v>New</v>
      </c>
      <c r="T618" s="27"/>
      <c r="U618" s="27" t="str">
        <v>New</v>
      </c>
    </row>
    <row r="619" ht="64" customHeight="1">
      <c r="A619" s="25" t="str">
        <v>Not Run</v>
      </c>
      <c r="B619" s="24" t="str">
        <v>GO-MAN-618</v>
      </c>
      <c r="C619" s="24" t="str">
        <v>GO Merch Reservations</v>
      </c>
      <c r="D619" s="24" t="str">
        <v>Submit a valid nonpersonal future-merch suggestion and then an empty title.</v>
      </c>
      <c r="E619" s="24" t="str">
        <v>Valid suggestion saves with clear feedback. Invalid suggestion is rejected.</v>
      </c>
      <c r="F619" s="24" t="str">
        <v>Anonymous merch suggestion</v>
      </c>
      <c r="G619" s="24" t="str">
        <v>P1</v>
      </c>
      <c r="H619" s="24" t="str">
        <v>Visitor and merch admin</v>
      </c>
      <c r="I619" s="24" t="str">
        <v>Use prepared QA records and separate accounts. Record the actual URL and build on Run Overview. Use controlled QA mailbox and synthetic phone/address. This flow reserves shirts without payment.</v>
      </c>
      <c r="J619" s="24" t="str">
        <v>Regression</v>
      </c>
      <c r="K619" s="26"/>
      <c r="L619" s="26"/>
      <c r="M619" s="26"/>
      <c r="N619" s="29"/>
      <c r="O619" s="26"/>
      <c r="P619" s="26"/>
      <c r="Q619" s="26"/>
      <c r="R619" s="24" t="str">
        <v>Core</v>
      </c>
      <c r="S619" s="28" t="str">
        <v>New</v>
      </c>
      <c r="T619" s="28"/>
      <c r="U619" s="28" t="str">
        <v>New</v>
      </c>
    </row>
    <row r="620" ht="64" customHeight="1">
      <c r="A620" s="25" t="str">
        <v>Not Run</v>
      </c>
      <c r="B620" s="19" t="str">
        <v>GO-MAN-619</v>
      </c>
      <c r="C620" s="19" t="str">
        <v>GO Merch Reservations</v>
      </c>
      <c r="D620" s="19" t="str">
        <v>Have the QA admin inspect a fresh pending request, a confirmed request and pending changes to an older confirmed one.</v>
      </c>
      <c r="E620" s="19" t="str">
        <v>Pending expiry is about 30 days, confirmed expiry about one year. Pending changes preserve a longer active retention deadline.</v>
      </c>
      <c r="F620" s="19" t="str">
        <v>Retention metadata</v>
      </c>
      <c r="G620" s="19" t="str">
        <v>P1</v>
      </c>
      <c r="H620" s="19" t="str">
        <v>Visitor and merch admin</v>
      </c>
      <c r="I620" s="19" t="str">
        <v>Use prepared QA records and separate accounts. Record the actual URL and build on Run Overview. Use controlled QA mailbox and synthetic phone/address. This flow reserves shirts without payment.</v>
      </c>
      <c r="J620" s="19" t="str">
        <v>Extended</v>
      </c>
      <c r="K620" s="26"/>
      <c r="L620" s="26"/>
      <c r="M620" s="26"/>
      <c r="N620" s="29"/>
      <c r="O620" s="26"/>
      <c r="P620" s="26"/>
      <c r="Q620" s="26"/>
      <c r="R620" s="19" t="str">
        <v>Core</v>
      </c>
      <c r="S620" s="27" t="str">
        <v>New</v>
      </c>
      <c r="T620" s="27"/>
      <c r="U620" s="27" t="str">
        <v>New</v>
      </c>
    </row>
    <row r="621" ht="64" customHeight="1">
      <c r="A621" s="25" t="str">
        <v>Not Run</v>
      </c>
      <c r="B621" s="24" t="str">
        <v>GO-MAN-620</v>
      </c>
      <c r="C621" s="24" t="str">
        <v>Omnivore &amp; Starter Pathway</v>
      </c>
      <c r="D621" s="24" t="str">
        <v>Choose a learning interest in /learn, follow its suggested destination and use Back.</v>
      </c>
      <c r="E621" s="24" t="str">
        <v>A reviewed internal learning route opens. The guide preserves understandable next actions.</v>
      </c>
      <c r="F621" s="24" t="str">
        <v>Omnivore learning routes</v>
      </c>
      <c r="G621" s="24" t="str">
        <v>P0</v>
      </c>
      <c r="H621" s="24" t="str">
        <v>Visitor, free user and active Community member</v>
      </c>
      <c r="I621" s="24" t="str">
        <v>Use prepared QA records and separate accounts. Record the actual URL and build on Run Overview. Use /learn and /education/starter-pathway with a fresh progress fixture.</v>
      </c>
      <c r="J621" s="24" t="str">
        <v>Smoke</v>
      </c>
      <c r="K621" s="26"/>
      <c r="L621" s="26"/>
      <c r="M621" s="26"/>
      <c r="N621" s="29"/>
      <c r="O621" s="26"/>
      <c r="P621" s="26"/>
      <c r="Q621" s="26"/>
      <c r="R621" s="24" t="str">
        <v>Core</v>
      </c>
      <c r="S621" s="28" t="str">
        <v>New</v>
      </c>
      <c r="T621" s="28"/>
      <c r="U621" s="28" t="str">
        <v>New</v>
      </c>
    </row>
    <row r="622" ht="64" customHeight="1">
      <c r="A622" s="25" t="str">
        <v>Not Run</v>
      </c>
      <c r="B622" s="19" t="str">
        <v>GO-MAN-621</v>
      </c>
      <c r="C622" s="19" t="str">
        <v>Omnivore &amp; Starter Pathway</v>
      </c>
      <c r="D622" s="19" t="str">
        <v>Open Education and choose Starter Pathway. Follow Ask the Omnivore’s first-mission link.</v>
      </c>
      <c r="E622" s="19" t="str">
        <v>Both reach the course at /education/starter-pathway rather than a stale embedded course.</v>
      </c>
      <c r="F622" s="19" t="str">
        <v>Education pathway entry</v>
      </c>
      <c r="G622" s="19" t="str">
        <v>P1</v>
      </c>
      <c r="H622" s="19" t="str">
        <v>Visitor, free user and active Community member</v>
      </c>
      <c r="I622" s="19" t="str">
        <v>Use prepared QA records and separate accounts. Record the actual URL and build on Run Overview. Use /learn and /education/starter-pathway with a fresh progress fixture.</v>
      </c>
      <c r="J622" s="19" t="str">
        <v>Regression</v>
      </c>
      <c r="K622" s="26"/>
      <c r="L622" s="26"/>
      <c r="M622" s="26"/>
      <c r="N622" s="29"/>
      <c r="O622" s="26"/>
      <c r="P622" s="26"/>
      <c r="Q622" s="26"/>
      <c r="R622" s="19" t="str">
        <v>Core</v>
      </c>
      <c r="S622" s="27" t="str">
        <v>New</v>
      </c>
      <c r="T622" s="27"/>
      <c r="U622" s="27" t="str">
        <v>New</v>
      </c>
    </row>
    <row r="623" ht="64" customHeight="1">
      <c r="A623" s="25" t="str">
        <v>Not Run</v>
      </c>
      <c r="B623" s="24" t="str">
        <v>GO-MAN-622</v>
      </c>
      <c r="C623" s="24" t="str">
        <v>Omnivore &amp; Starter Pathway</v>
      </c>
      <c r="D623" s="24" t="str">
        <v>As visitor/free user start and complete the free Notice mission with optional notes blank.</v>
      </c>
      <c r="E623" s="24" t="str">
        <v>The free mission works without checkout or AI keys. Optional notes do not become required.</v>
      </c>
      <c r="F623" s="24" t="str">
        <v>Free Notice mission</v>
      </c>
      <c r="G623" s="24" t="str">
        <v>P0</v>
      </c>
      <c r="H623" s="24" t="str">
        <v>Visitor, free user and active Community member</v>
      </c>
      <c r="I623" s="24" t="str">
        <v>Use prepared QA records and separate accounts. Record the actual URL and build on Run Overview. Use /learn and /education/starter-pathway with a fresh progress fixture.</v>
      </c>
      <c r="J623" s="24" t="str">
        <v>Regression</v>
      </c>
      <c r="K623" s="26"/>
      <c r="L623" s="26"/>
      <c r="M623" s="26"/>
      <c r="N623" s="29"/>
      <c r="O623" s="26"/>
      <c r="P623" s="26"/>
      <c r="Q623" s="26"/>
      <c r="R623" s="24" t="str">
        <v>Core</v>
      </c>
      <c r="S623" s="28" t="str">
        <v>New</v>
      </c>
      <c r="T623" s="28"/>
      <c r="U623" s="28" t="str">
        <v>New</v>
      </c>
    </row>
    <row r="624" ht="64" customHeight="1">
      <c r="A624" s="25" t="str">
        <v>Not Run</v>
      </c>
      <c r="B624" s="19" t="str">
        <v>GO-MAN-623</v>
      </c>
      <c r="C624" s="19" t="str">
        <v>Omnivore &amp; Starter Pathway</v>
      </c>
      <c r="D624" s="19" t="str">
        <v>Complete the visitor mission, navigate within the visit, then reload.</v>
      </c>
      <c r="E624" s="19" t="str">
        <v>Visit progress is temporary and clearly labeled. Reload resets anonymous progress.</v>
      </c>
      <c r="F624" s="19" t="str">
        <v>Anonymous visit-only progress</v>
      </c>
      <c r="G624" s="19" t="str">
        <v>P1</v>
      </c>
      <c r="H624" s="19" t="str">
        <v>Visitor, free user and active Community member</v>
      </c>
      <c r="I624" s="19" t="str">
        <v>Use prepared QA records and separate accounts. Record the actual URL and build on Run Overview. Use /learn and /education/starter-pathway with a fresh progress fixture.</v>
      </c>
      <c r="J624" s="19" t="str">
        <v>Regression</v>
      </c>
      <c r="K624" s="26"/>
      <c r="L624" s="26"/>
      <c r="M624" s="26"/>
      <c r="N624" s="29"/>
      <c r="O624" s="26"/>
      <c r="P624" s="26"/>
      <c r="Q624" s="26"/>
      <c r="R624" s="19" t="str">
        <v>Core</v>
      </c>
      <c r="S624" s="27" t="str">
        <v>New</v>
      </c>
      <c r="T624" s="27"/>
      <c r="U624" s="27" t="str">
        <v>New</v>
      </c>
    </row>
    <row r="625" ht="64" customHeight="1">
      <c r="A625" s="25" t="str">
        <v>Not Run</v>
      </c>
      <c r="B625" s="24" t="str">
        <v>GO-MAN-624</v>
      </c>
      <c r="C625" s="24" t="str">
        <v>Omnivore &amp; Starter Pathway</v>
      </c>
      <c r="D625" s="24" t="str">
        <v>As free user attempt the later gated worlds, then compare active member access.</v>
      </c>
      <c r="E625" s="24" t="str">
        <v>Paid worlds require verified Community-content access. Unknown entitlement does not grant access.</v>
      </c>
      <c r="F625" s="24" t="str">
        <v>Paid worlds gate</v>
      </c>
      <c r="G625" s="24" t="str">
        <v>P0</v>
      </c>
      <c r="H625" s="24" t="str">
        <v>Visitor, free user and active Community member</v>
      </c>
      <c r="I625" s="24" t="str">
        <v>Use prepared QA records and separate accounts. Record the actual URL and build on Run Overview. Use /learn and /education/starter-pathway with a fresh progress fixture.</v>
      </c>
      <c r="J625" s="24" t="str">
        <v>Regression</v>
      </c>
      <c r="K625" s="26"/>
      <c r="L625" s="26"/>
      <c r="M625" s="26"/>
      <c r="N625" s="29"/>
      <c r="O625" s="26"/>
      <c r="P625" s="26"/>
      <c r="Q625" s="26"/>
      <c r="R625" s="24" t="str">
        <v>Core</v>
      </c>
      <c r="S625" s="28" t="str">
        <v>New</v>
      </c>
      <c r="T625" s="28"/>
      <c r="U625" s="28" t="str">
        <v>New</v>
      </c>
    </row>
    <row r="626" ht="64" customHeight="1">
      <c r="A626" s="25" t="str">
        <v>Not Run</v>
      </c>
      <c r="B626" s="19" t="str">
        <v>GO-MAN-625</v>
      </c>
      <c r="C626" s="19" t="str">
        <v>Omnivore &amp; Starter Pathway</v>
      </c>
      <c r="D626" s="19" t="str">
        <v>Enter reflection/evidence text, switch worlds and return before leaving the visit.</v>
      </c>
      <c r="E626" s="19" t="str">
        <v>Draft text survives world switching and does not leak into another account.</v>
      </c>
      <c r="F626" s="19" t="str">
        <v>Private draft continuity</v>
      </c>
      <c r="G626" s="19" t="str">
        <v>P1</v>
      </c>
      <c r="H626" s="19" t="str">
        <v>Visitor, free user and active Community member</v>
      </c>
      <c r="I626" s="19" t="str">
        <v>Use prepared QA records and separate accounts. Record the actual URL and build on Run Overview. Use /learn and /education/starter-pathway with a fresh progress fixture.</v>
      </c>
      <c r="J626" s="19" t="str">
        <v>Regression</v>
      </c>
      <c r="K626" s="26"/>
      <c r="L626" s="26"/>
      <c r="M626" s="26"/>
      <c r="N626" s="29"/>
      <c r="O626" s="26"/>
      <c r="P626" s="26"/>
      <c r="Q626" s="26"/>
      <c r="R626" s="19" t="str">
        <v>Core</v>
      </c>
      <c r="S626" s="27" t="str">
        <v>New</v>
      </c>
      <c r="T626" s="27"/>
      <c r="U626" s="27" t="str">
        <v>New</v>
      </c>
    </row>
    <row r="627" ht="64" customHeight="1">
      <c r="A627" s="25" t="str">
        <v>Not Run</v>
      </c>
      <c r="B627" s="24" t="str">
        <v>GO-MAN-626</v>
      </c>
      <c r="C627" s="24" t="str">
        <v>Omnivore &amp; Starter Pathway</v>
      </c>
      <c r="D627" s="24" t="str">
        <v>As eligible signed-in user complete a mission and reload profile Learning and course.</v>
      </c>
      <c r="E627" s="24" t="str">
        <v>Server progress persists for the correct account and appears in Learning.</v>
      </c>
      <c r="F627" s="24" t="str">
        <v>Authenticated completion persistence</v>
      </c>
      <c r="G627" s="24" t="str">
        <v>P0</v>
      </c>
      <c r="H627" s="24" t="str">
        <v>Visitor, free user and active Community member</v>
      </c>
      <c r="I627" s="24" t="str">
        <v>Use prepared QA records and separate accounts. Record the actual URL and build on Run Overview. Use /learn and /education/starter-pathway with a fresh progress fixture.</v>
      </c>
      <c r="J627" s="24" t="str">
        <v>Regression</v>
      </c>
      <c r="K627" s="26"/>
      <c r="L627" s="26"/>
      <c r="M627" s="26"/>
      <c r="N627" s="29"/>
      <c r="O627" s="26"/>
      <c r="P627" s="26"/>
      <c r="Q627" s="26"/>
      <c r="R627" s="24" t="str">
        <v>Core</v>
      </c>
      <c r="S627" s="28" t="str">
        <v>New</v>
      </c>
      <c r="T627" s="28"/>
      <c r="U627" s="28" t="str">
        <v>New</v>
      </c>
    </row>
    <row r="628" ht="64" customHeight="1">
      <c r="A628" s="25" t="str">
        <v>Not Run</v>
      </c>
      <c r="B628" s="19" t="str">
        <v>GO-MAN-627</v>
      </c>
      <c r="C628" s="19" t="str">
        <v>Omnivore &amp; Starter Pathway</v>
      </c>
      <c r="D628" s="19" t="str">
        <v>Repeat a completed mission including simultaneous retries from two tabs.</v>
      </c>
      <c r="E628" s="19" t="str">
        <v>The canonical mission award is counted once.</v>
      </c>
      <c r="F628" s="19" t="str">
        <v>No duplicate XP</v>
      </c>
      <c r="G628" s="19" t="str">
        <v>P0</v>
      </c>
      <c r="H628" s="19" t="str">
        <v>Visitor, free user and active Community member</v>
      </c>
      <c r="I628" s="19" t="str">
        <v>Use prepared QA records and separate accounts. Record the actual URL and build on Run Overview. Use /learn and /education/starter-pathway with a fresh progress fixture.</v>
      </c>
      <c r="J628" s="19" t="str">
        <v>Regression</v>
      </c>
      <c r="K628" s="26"/>
      <c r="L628" s="26"/>
      <c r="M628" s="26"/>
      <c r="N628" s="29"/>
      <c r="O628" s="26"/>
      <c r="P628" s="26"/>
      <c r="Q628" s="26"/>
      <c r="R628" s="19" t="str">
        <v>Core</v>
      </c>
      <c r="S628" s="27" t="str">
        <v>New</v>
      </c>
      <c r="T628" s="27"/>
      <c r="U628" s="27" t="str">
        <v>New</v>
      </c>
    </row>
    <row r="629" ht="64" customHeight="1">
      <c r="A629" s="25" t="str">
        <v>Not Run</v>
      </c>
      <c r="B629" s="24" t="str">
        <v>GO-MAN-628</v>
      </c>
      <c r="C629" s="24" t="str">
        <v>Omnivore &amp; Starter Pathway</v>
      </c>
      <c r="D629" s="24" t="str">
        <v>Complete all six worlds in a clean QA account and retry Share.</v>
      </c>
      <c r="E629" s="24" t="str">
        <v>Mission awards total 500 XP and the once-only pathway bonus is 100 XP, for 600 total.</v>
      </c>
      <c r="F629" s="24" t="str">
        <v>All-world total and bonus</v>
      </c>
      <c r="G629" s="24" t="str">
        <v>P1</v>
      </c>
      <c r="H629" s="24" t="str">
        <v>Visitor, free user and active Community member</v>
      </c>
      <c r="I629" s="24" t="str">
        <v>Use prepared QA records and separate accounts. Record the actual URL and build on Run Overview. Use /learn and /education/starter-pathway with a fresh progress fixture.</v>
      </c>
      <c r="J629" s="24" t="str">
        <v>Regression</v>
      </c>
      <c r="K629" s="26"/>
      <c r="L629" s="26"/>
      <c r="M629" s="26"/>
      <c r="N629" s="29"/>
      <c r="O629" s="26"/>
      <c r="P629" s="26"/>
      <c r="Q629" s="26"/>
      <c r="R629" s="24" t="str">
        <v>Core</v>
      </c>
      <c r="S629" s="28" t="str">
        <v>New</v>
      </c>
      <c r="T629" s="28"/>
      <c r="U629" s="28" t="str">
        <v>New</v>
      </c>
    </row>
    <row r="630" ht="64" customHeight="1">
      <c r="A630" s="25" t="str">
        <v>Not Run</v>
      </c>
      <c r="B630" s="19" t="str">
        <v>GO-MAN-629</v>
      </c>
      <c r="C630" s="19" t="str">
        <v>Omnivore &amp; Starter Pathway</v>
      </c>
      <c r="D630" s="19" t="str">
        <v>Add evidence/reflection, finish all worlds, compare public Passport before and after explicit summary sharing.</v>
      </c>
      <c r="E630" s="19" t="str">
        <v>Evidence/reflection remain private. Only an opted-in allowed summary appears under the Passport visibility rules.</v>
      </c>
      <c r="F630" s="19" t="str">
        <v>Private evidence and public summary</v>
      </c>
      <c r="G630" s="19" t="str">
        <v>P0</v>
      </c>
      <c r="H630" s="19" t="str">
        <v>Visitor, free user and active Community member</v>
      </c>
      <c r="I630" s="19" t="str">
        <v>Use prepared QA records and separate accounts. Record the actual URL and build on Run Overview. Use /learn and /education/starter-pathway with a fresh progress fixture.</v>
      </c>
      <c r="J630" s="19" t="str">
        <v>Regression</v>
      </c>
      <c r="K630" s="26"/>
      <c r="L630" s="26"/>
      <c r="M630" s="26"/>
      <c r="N630" s="29"/>
      <c r="O630" s="26"/>
      <c r="P630" s="26"/>
      <c r="Q630" s="26"/>
      <c r="R630" s="19" t="str">
        <v>Core</v>
      </c>
      <c r="S630" s="27" t="str">
        <v>New</v>
      </c>
      <c r="T630" s="27"/>
      <c r="U630" s="27" t="str">
        <v>New</v>
      </c>
    </row>
    <row r="631" ht="64" customHeight="1">
      <c r="A631" s="25" t="str">
        <v>Not Run</v>
      </c>
      <c r="B631" s="24" t="str">
        <v>GO-MAN-630</v>
      </c>
      <c r="C631" s="24" t="str">
        <v>Omnivore &amp; Starter Pathway</v>
      </c>
      <c r="D631" s="24" t="str">
        <v>Regenerate Passport after a mission completion, then complete another mission and refresh.</v>
      </c>
      <c r="E631" s="24" t="str">
        <v>New progress is not overwritten and existing Passport status/visibility remain authoritative.</v>
      </c>
      <c r="F631" s="24" t="str">
        <v>Passport regeneration preserves awards</v>
      </c>
      <c r="G631" s="24" t="str">
        <v>P1</v>
      </c>
      <c r="H631" s="24" t="str">
        <v>Visitor, free user and active Community member</v>
      </c>
      <c r="I631" s="24" t="str">
        <v>Use prepared QA records and separate accounts. Record the actual URL and build on Run Overview. Use /learn and /education/starter-pathway with a fresh progress fixture.</v>
      </c>
      <c r="J631" s="24" t="str">
        <v>Regression</v>
      </c>
      <c r="K631" s="26"/>
      <c r="L631" s="26"/>
      <c r="M631" s="26"/>
      <c r="N631" s="29"/>
      <c r="O631" s="26"/>
      <c r="P631" s="26"/>
      <c r="Q631" s="26"/>
      <c r="R631" s="24" t="str">
        <v>Core</v>
      </c>
      <c r="S631" s="28" t="str">
        <v>New</v>
      </c>
      <c r="T631" s="28"/>
      <c r="U631" s="28" t="str">
        <v>New</v>
      </c>
    </row>
    <row r="632" ht="64" customHeight="1">
      <c r="A632" s="25" t="str">
        <v>Not Run</v>
      </c>
      <c r="B632" s="19" t="str">
        <v>GO-MAN-631</v>
      </c>
      <c r="C632" s="19" t="str">
        <v>Omnivore &amp; Starter Pathway</v>
      </c>
      <c r="D632" s="19" t="str">
        <v>Open course/package recommendations marked planned or unavailable.</v>
      </c>
      <c r="E632" s="19" t="str">
        <v>No fabricated inventory, price or checkout is presented.</v>
      </c>
      <c r="F632" s="19" t="str">
        <v>Unsupported future products</v>
      </c>
      <c r="G632" s="19" t="str">
        <v>P1</v>
      </c>
      <c r="H632" s="19" t="str">
        <v>Visitor, free user and active Community member</v>
      </c>
      <c r="I632" s="19" t="str">
        <v>Use prepared QA records and separate accounts. Record the actual URL and build on Run Overview. Use /learn and /education/starter-pathway with a fresh progress fixture.</v>
      </c>
      <c r="J632" s="19" t="str">
        <v>Regression</v>
      </c>
      <c r="K632" s="26"/>
      <c r="L632" s="26"/>
      <c r="M632" s="26"/>
      <c r="N632" s="29"/>
      <c r="O632" s="26"/>
      <c r="P632" s="26"/>
      <c r="Q632" s="26"/>
      <c r="R632" s="19" t="str">
        <v>Core</v>
      </c>
      <c r="S632" s="27" t="str">
        <v>New</v>
      </c>
      <c r="T632" s="27"/>
      <c r="U632" s="27" t="str">
        <v>New</v>
      </c>
    </row>
    <row r="633" ht="64" customHeight="1">
      <c r="A633" s="25" t="str">
        <v>Not Run</v>
      </c>
      <c r="B633" s="24" t="str">
        <v>GO-MAN-632</v>
      </c>
      <c r="C633" s="24" t="str">
        <v>From Idea to Playable</v>
      </c>
      <c r="D633" s="24" t="str">
        <v>Open /education/from-idea-to-playable and select a prepared future cohort.</v>
      </c>
      <c r="E633" s="24" t="str">
        <v>Correct dates, timezone, format and eligibility appear. Historical pilot is not shown as newly open.</v>
      </c>
      <c r="F633" s="24" t="str">
        <v>Course and cohort selection</v>
      </c>
      <c r="G633" s="24" t="str">
        <v>P0</v>
      </c>
      <c r="H633" s="24" t="str">
        <v>Member learner, invited team learner, instructor and admin</v>
      </c>
      <c r="I633" s="24" t="str">
        <v>Use prepared QA records and separate accounts. Record the actual URL and build on Run Overview. Prepare a future QA cohort. The old October pilot is historical, not an open enrollment fixture.</v>
      </c>
      <c r="J633" s="24" t="str">
        <v>Smoke</v>
      </c>
      <c r="K633" s="26"/>
      <c r="L633" s="26"/>
      <c r="M633" s="26"/>
      <c r="N633" s="29"/>
      <c r="O633" s="26"/>
      <c r="P633" s="26"/>
      <c r="Q633" s="26"/>
      <c r="R633" s="24" t="str">
        <v>Core</v>
      </c>
      <c r="S633" s="28" t="str">
        <v>New</v>
      </c>
      <c r="T633" s="28"/>
      <c r="U633" s="28" t="str">
        <v>New</v>
      </c>
    </row>
    <row r="634" ht="64" customHeight="1">
      <c r="A634" s="25" t="str">
        <v>Not Run</v>
      </c>
      <c r="B634" s="19" t="str">
        <v>GO-MAN-633</v>
      </c>
      <c r="C634" s="19" t="str">
        <v>From Idea to Playable</v>
      </c>
      <c r="D634" s="19" t="str">
        <v>Fill a small QA physical capacity, then enroll another eligible learner online.</v>
      </c>
      <c r="E634" s="19" t="str">
        <v>Physical seats stop at their limit. Confirmed online participation does not consume physical seats.</v>
      </c>
      <c r="F634" s="19" t="str">
        <v>Physical versus online capacity</v>
      </c>
      <c r="G634" s="19" t="str">
        <v>P0</v>
      </c>
      <c r="H634" s="19" t="str">
        <v>Member learner, invited team learner, instructor and admin</v>
      </c>
      <c r="I634" s="19" t="str">
        <v>Use prepared QA records and separate accounts. Record the actual URL and build on Run Overview. Prepare a future QA cohort. The old October pilot is historical, not an open enrollment fixture.</v>
      </c>
      <c r="J634" s="19" t="str">
        <v>Regression</v>
      </c>
      <c r="K634" s="26"/>
      <c r="L634" s="26"/>
      <c r="M634" s="26"/>
      <c r="N634" s="29"/>
      <c r="O634" s="26"/>
      <c r="P634" s="26"/>
      <c r="Q634" s="26"/>
      <c r="R634" s="19" t="str">
        <v>Core</v>
      </c>
      <c r="S634" s="27" t="str">
        <v>New</v>
      </c>
      <c r="T634" s="27"/>
      <c r="U634" s="27" t="str">
        <v>New</v>
      </c>
    </row>
    <row r="635" ht="64" customHeight="1">
      <c r="A635" s="25" t="str">
        <v>Not Run</v>
      </c>
      <c r="B635" s="24" t="str">
        <v>GO-MAN-634</v>
      </c>
      <c r="C635" s="24" t="str">
        <v>From Idea to Playable</v>
      </c>
      <c r="D635" s="24" t="str">
        <v>Attempt enrollment as active member, explicitly invited team account and uninvited free account.</v>
      </c>
      <c r="E635" s="24" t="str">
        <v>Current members and invited team can enroll. Uninvited free account cannot.</v>
      </c>
      <c r="F635" s="24" t="str">
        <v>Member and invited-team access</v>
      </c>
      <c r="G635" s="24" t="str">
        <v>P0</v>
      </c>
      <c r="H635" s="24" t="str">
        <v>Member learner, invited team learner, instructor and admin</v>
      </c>
      <c r="I635" s="24" t="str">
        <v>Use prepared QA records and separate accounts. Record the actual URL and build on Run Overview. Prepare a future QA cohort. The old October pilot is historical, not an open enrollment fixture.</v>
      </c>
      <c r="J635" s="24" t="str">
        <v>Regression</v>
      </c>
      <c r="K635" s="26"/>
      <c r="L635" s="26"/>
      <c r="M635" s="26"/>
      <c r="N635" s="29"/>
      <c r="O635" s="26"/>
      <c r="P635" s="26"/>
      <c r="Q635" s="26"/>
      <c r="R635" s="24" t="str">
        <v>Core</v>
      </c>
      <c r="S635" s="28" t="str">
        <v>New</v>
      </c>
      <c r="T635" s="28"/>
      <c r="U635" s="28" t="str">
        <v>New</v>
      </c>
    </row>
    <row r="636" ht="64" customHeight="1">
      <c r="A636" s="25" t="str">
        <v>Not Run</v>
      </c>
      <c r="B636" s="19" t="str">
        <v>GO-MAN-635</v>
      </c>
      <c r="C636" s="19" t="str">
        <v>From Idea to Playable</v>
      </c>
      <c r="D636" s="19" t="str">
        <v>Use a prepared cohort at its first-session start and attempt new enrollment.</v>
      </c>
      <c r="E636" s="19" t="str">
        <v>Enrollment is closed at the configured first-session cutoff.</v>
      </c>
      <c r="F636" s="19" t="str">
        <v>First-session cutoff</v>
      </c>
      <c r="G636" s="19" t="str">
        <v>P1</v>
      </c>
      <c r="H636" s="19" t="str">
        <v>Member learner, invited team learner, instructor and admin</v>
      </c>
      <c r="I636" s="19" t="str">
        <v>Use prepared QA records and separate accounts. Record the actual URL and build on Run Overview. Prepare a future QA cohort. The old October pilot is historical, not an open enrollment fixture.</v>
      </c>
      <c r="J636" s="19" t="str">
        <v>Regression</v>
      </c>
      <c r="K636" s="26"/>
      <c r="L636" s="26"/>
      <c r="M636" s="26"/>
      <c r="N636" s="29"/>
      <c r="O636" s="26"/>
      <c r="P636" s="26"/>
      <c r="Q636" s="26"/>
      <c r="R636" s="19" t="str">
        <v>Core</v>
      </c>
      <c r="S636" s="27" t="str">
        <v>New</v>
      </c>
      <c r="T636" s="27"/>
      <c r="U636" s="27" t="str">
        <v>New</v>
      </c>
    </row>
    <row r="637" ht="64" customHeight="1">
      <c r="A637" s="25" t="str">
        <v>Not Run</v>
      </c>
      <c r="B637" s="24" t="str">
        <v>GO-MAN-636</v>
      </c>
      <c r="C637" s="24" t="str">
        <v>From Idea to Playable</v>
      </c>
      <c r="D637" s="24" t="str">
        <v>Join/withdraw the course price-announcement interest list, then inspect cohort participation.</v>
      </c>
      <c r="E637" s="24" t="str">
        <v>Interest consent changes without reserving a physical seat or creating an enrollment.</v>
      </c>
      <c r="F637" s="24" t="str">
        <v>Price-interest list separate from seats</v>
      </c>
      <c r="G637" s="24" t="str">
        <v>P1</v>
      </c>
      <c r="H637" s="24" t="str">
        <v>Member learner, invited team learner, instructor and admin</v>
      </c>
      <c r="I637" s="24" t="str">
        <v>Use prepared QA records and separate accounts. Record the actual URL and build on Run Overview. Prepare a future QA cohort. The old October pilot is historical, not an open enrollment fixture.</v>
      </c>
      <c r="J637" s="24" t="str">
        <v>Regression</v>
      </c>
      <c r="K637" s="26"/>
      <c r="L637" s="26"/>
      <c r="M637" s="26"/>
      <c r="N637" s="29"/>
      <c r="O637" s="26"/>
      <c r="P637" s="26"/>
      <c r="Q637" s="26"/>
      <c r="R637" s="24" t="str">
        <v>Core</v>
      </c>
      <c r="S637" s="28" t="str">
        <v>New</v>
      </c>
      <c r="T637" s="28"/>
      <c r="U637" s="28" t="str">
        <v>New</v>
      </c>
    </row>
    <row r="638" ht="64" customHeight="1">
      <c r="A638" s="25" t="str">
        <v>Not Run</v>
      </c>
      <c r="B638" s="19" t="str">
        <v>GO-MAN-637</v>
      </c>
      <c r="C638" s="19" t="str">
        <v>From Idea to Playable</v>
      </c>
      <c r="D638" s="19" t="str">
        <v>As enrolled learner save a daily completion, game URL, playtest notes and retrospective. Reload.</v>
      </c>
      <c r="E638" s="19" t="str">
        <v>Own coursework persists. Self-report alone does not award a badge.</v>
      </c>
      <c r="F638" s="19" t="str">
        <v>Daily coursework persistence</v>
      </c>
      <c r="G638" s="19" t="str">
        <v>P0</v>
      </c>
      <c r="H638" s="19" t="str">
        <v>Member learner, invited team learner, instructor and admin</v>
      </c>
      <c r="I638" s="19" t="str">
        <v>Use prepared QA records and separate accounts. Record the actual URL and build on Run Overview. Prepare a future QA cohort. The old October pilot is historical, not an open enrollment fixture.</v>
      </c>
      <c r="J638" s="19" t="str">
        <v>Regression</v>
      </c>
      <c r="K638" s="26"/>
      <c r="L638" s="26"/>
      <c r="M638" s="26"/>
      <c r="N638" s="29"/>
      <c r="O638" s="26"/>
      <c r="P638" s="26"/>
      <c r="Q638" s="26"/>
      <c r="R638" s="19" t="str">
        <v>Core</v>
      </c>
      <c r="S638" s="27" t="str">
        <v>New</v>
      </c>
      <c r="T638" s="27"/>
      <c r="U638" s="27" t="str">
        <v>New</v>
      </c>
    </row>
    <row r="639" ht="64" customHeight="1">
      <c r="A639" s="25" t="str">
        <v>Not Run</v>
      </c>
      <c r="B639" s="24" t="str">
        <v>GO-MAN-638</v>
      </c>
      <c r="C639" s="24" t="str">
        <v>From Idea to Playable</v>
      </c>
      <c r="D639" s="24" t="str">
        <v>Submit evidence below ten reviews, then evidence of ten and a playable game. Have assigned instructor assess Scope, Build, Debug, Version and Ship.</v>
      </c>
      <c r="E639" s="24" t="str">
        <v>Badge requires human approval of the required evidence and competencies. No visual-polish or rating-score threshold is invented.</v>
      </c>
      <c r="F639" s="24" t="str">
        <v>Ten reviews and human assessment</v>
      </c>
      <c r="G639" s="24" t="str">
        <v>P0</v>
      </c>
      <c r="H639" s="24" t="str">
        <v>Member learner, invited team learner, instructor and admin</v>
      </c>
      <c r="I639" s="24" t="str">
        <v>Use prepared QA records and separate accounts. Record the actual URL and build on Run Overview. Prepare a future QA cohort. The old October pilot is historical, not an open enrollment fixture.</v>
      </c>
      <c r="J639" s="24" t="str">
        <v>Regression</v>
      </c>
      <c r="K639" s="26"/>
      <c r="L639" s="26"/>
      <c r="M639" s="26"/>
      <c r="N639" s="29"/>
      <c r="O639" s="26"/>
      <c r="P639" s="26"/>
      <c r="Q639" s="26"/>
      <c r="R639" s="24" t="str">
        <v>Core</v>
      </c>
      <c r="S639" s="28" t="str">
        <v>New</v>
      </c>
      <c r="T639" s="28"/>
      <c r="U639" s="28" t="str">
        <v>New</v>
      </c>
    </row>
    <row r="640" ht="64" customHeight="1">
      <c r="A640" s="25" t="str">
        <v>Not Run</v>
      </c>
      <c r="B640" s="19" t="str">
        <v>GO-MAN-639</v>
      </c>
      <c r="C640" s="19" t="str">
        <v>From Idea to Playable</v>
      </c>
      <c r="D640" s="19" t="str">
        <v>Open a submission for review, edit evidence as learner, then approve the old version as reviewer.</v>
      </c>
      <c r="E640" s="19" t="str">
        <v>Version check prevents approval of stale evidence.</v>
      </c>
      <c r="F640" s="19" t="str">
        <v>Stale assessment rejected</v>
      </c>
      <c r="G640" s="19" t="str">
        <v>P0</v>
      </c>
      <c r="H640" s="19" t="str">
        <v>Member learner, invited team learner, instructor and admin</v>
      </c>
      <c r="I640" s="19" t="str">
        <v>Use prepared QA records and separate accounts. Record the actual URL and build on Run Overview. Prepare a future QA cohort. The old October pilot is historical, not an open enrollment fixture.</v>
      </c>
      <c r="J640" s="19" t="str">
        <v>Regression</v>
      </c>
      <c r="K640" s="26"/>
      <c r="L640" s="26"/>
      <c r="M640" s="26"/>
      <c r="N640" s="29"/>
      <c r="O640" s="26"/>
      <c r="P640" s="26"/>
      <c r="Q640" s="26"/>
      <c r="R640" s="19" t="str">
        <v>Core</v>
      </c>
      <c r="S640" s="27" t="str">
        <v>New</v>
      </c>
      <c r="T640" s="27"/>
      <c r="U640" s="27" t="str">
        <v>New</v>
      </c>
    </row>
    <row r="641" ht="64" customHeight="1">
      <c r="A641" s="25" t="str">
        <v>Not Run</v>
      </c>
      <c r="B641" s="24" t="str">
        <v>GO-MAN-640</v>
      </c>
      <c r="C641" s="24" t="str">
        <v>From Idea to Playable</v>
      </c>
      <c r="D641" s="24" t="str">
        <v>After approval request changes through the review workflow and resubmit.</v>
      </c>
      <c r="E641" s="24" t="str">
        <v>The award is revoked/audited, evidence becomes editable and a new review is required.</v>
      </c>
      <c r="F641" s="24" t="str">
        <v>Request changes revokes badge</v>
      </c>
      <c r="G641" s="24" t="str">
        <v>P1</v>
      </c>
      <c r="H641" s="24" t="str">
        <v>Member learner, invited team learner, instructor and admin</v>
      </c>
      <c r="I641" s="24" t="str">
        <v>Use prepared QA records and separate accounts. Record the actual URL and build on Run Overview. Prepare a future QA cohort. The old October pilot is historical, not an open enrollment fixture.</v>
      </c>
      <c r="J641" s="24" t="str">
        <v>Regression</v>
      </c>
      <c r="K641" s="26"/>
      <c r="L641" s="26"/>
      <c r="M641" s="26"/>
      <c r="N641" s="29"/>
      <c r="O641" s="26"/>
      <c r="P641" s="26"/>
      <c r="Q641" s="26"/>
      <c r="R641" s="24" t="str">
        <v>Core</v>
      </c>
      <c r="S641" s="28" t="str">
        <v>New</v>
      </c>
      <c r="T641" s="28"/>
      <c r="U641" s="28" t="str">
        <v>New</v>
      </c>
    </row>
    <row r="642" ht="64" customHeight="1">
      <c r="A642" s="25" t="str">
        <v>Not Run</v>
      </c>
      <c r="B642" s="19" t="str">
        <v>GO-MAN-641</v>
      </c>
      <c r="C642" s="19" t="str">
        <v>From Idea to Playable</v>
      </c>
      <c r="D642" s="19" t="str">
        <v>Compare visitor, enrolled learner, active member and expired-member access to private sessions and approved/unapproved recordings.</v>
      </c>
      <c r="E642" s="19" t="str">
        <v>Private links follow enrollment and recording entitlement. Unapproved recordings stay hidden. Expiry does not erase retained live seats/coursework.</v>
      </c>
      <c r="F642" s="19" t="str">
        <v>Session and recording privacy</v>
      </c>
      <c r="G642" s="19" t="str">
        <v>P0</v>
      </c>
      <c r="H642" s="19" t="str">
        <v>Member learner, invited team learner, instructor and admin</v>
      </c>
      <c r="I642" s="19" t="str">
        <v>Use prepared QA records and separate accounts. Record the actual URL and build on Run Overview. Prepare a future QA cohort. The old October pilot is historical, not an open enrollment fixture.</v>
      </c>
      <c r="J642" s="19" t="str">
        <v>Regression</v>
      </c>
      <c r="K642" s="26"/>
      <c r="L642" s="26"/>
      <c r="M642" s="26"/>
      <c r="N642" s="29"/>
      <c r="O642" s="26"/>
      <c r="P642" s="26"/>
      <c r="Q642" s="26"/>
      <c r="R642" s="19" t="str">
        <v>Core</v>
      </c>
      <c r="S642" s="27" t="str">
        <v>New</v>
      </c>
      <c r="T642" s="27"/>
      <c r="U642" s="27" t="str">
        <v>New</v>
      </c>
    </row>
    <row r="643" ht="64" customHeight="1">
      <c r="A643" s="25" t="str">
        <v>Not Run</v>
      </c>
      <c r="B643" s="24" t="str">
        <v>GO-MAN-642</v>
      </c>
      <c r="C643" s="24" t="str">
        <v>From Idea to Playable</v>
      </c>
      <c r="D643" s="24" t="str">
        <v>As admin duplicate a prepared cohort to the next week and inspect the draft.</v>
      </c>
      <c r="E643" s="24" t="str">
        <v>Dates are reviewable. Participants, counters, invitations, session/jam links and recordings are not copied.</v>
      </c>
      <c r="F643" s="24" t="str">
        <v>Duplicate next cohort</v>
      </c>
      <c r="G643" s="24" t="str">
        <v>P1</v>
      </c>
      <c r="H643" s="24" t="str">
        <v>Member learner, invited team learner, instructor and admin</v>
      </c>
      <c r="I643" s="24" t="str">
        <v>Use prepared QA records and separate accounts. Record the actual URL and build on Run Overview. Prepare a future QA cohort. The old October pilot is historical, not an open enrollment fixture.</v>
      </c>
      <c r="J643" s="24" t="str">
        <v>Regression</v>
      </c>
      <c r="K643" s="26"/>
      <c r="L643" s="26"/>
      <c r="M643" s="26"/>
      <c r="N643" s="29"/>
      <c r="O643" s="26"/>
      <c r="P643" s="26"/>
      <c r="Q643" s="26"/>
      <c r="R643" s="24" t="str">
        <v>Core</v>
      </c>
      <c r="S643" s="28" t="str">
        <v>New</v>
      </c>
      <c r="T643" s="28"/>
      <c r="U643" s="28" t="str">
        <v>New</v>
      </c>
    </row>
    <row r="644" ht="64" customHeight="1">
      <c r="A644" s="25" t="str">
        <v>Not Run</v>
      </c>
      <c r="B644" s="19" t="str">
        <v>GO-MAN-643</v>
      </c>
      <c r="C644" s="19" t="str">
        <v>From Idea to Playable</v>
      </c>
      <c r="D644" s="19" t="str">
        <v>Save a cohort snapshot, then edit shared course curriculum and compare the saved cohort.</v>
      </c>
      <c r="E644" s="19" t="str">
        <v>Existing cohort snapshot stays stable. A new cohort uses the intended current curriculum.</v>
      </c>
      <c r="F644" s="19" t="str">
        <v>Curriculum snapshot stability</v>
      </c>
      <c r="G644" s="19" t="str">
        <v>P1</v>
      </c>
      <c r="H644" s="19" t="str">
        <v>Member learner, invited team learner, instructor and admin</v>
      </c>
      <c r="I644" s="19" t="str">
        <v>Use prepared QA records and separate accounts. Record the actual URL and build on Run Overview. Prepare a future QA cohort. The old October pilot is historical, not an open enrollment fixture.</v>
      </c>
      <c r="J644" s="19" t="str">
        <v>Regression</v>
      </c>
      <c r="K644" s="26"/>
      <c r="L644" s="26"/>
      <c r="M644" s="26"/>
      <c r="N644" s="29"/>
      <c r="O644" s="26"/>
      <c r="P644" s="26"/>
      <c r="Q644" s="26"/>
      <c r="R644" s="19" t="str">
        <v>Core</v>
      </c>
      <c r="S644" s="27" t="str">
        <v>New</v>
      </c>
      <c r="T644" s="27"/>
      <c r="U644" s="27" t="str">
        <v>New</v>
      </c>
    </row>
    <row r="645" ht="60" customHeight="1">
      <c r="A645" s="25" t="str">
        <v>Not Run</v>
      </c>
      <c r="B645" s="24" t="str">
        <v>GO-MAN-644</v>
      </c>
      <c r="C645" s="24" t="str">
        <v>Support Workspace</v>
      </c>
      <c r="D645" s="24" t="str">
        <v>As active member choose a category, enter valid subject/message and submit.</v>
      </c>
      <c r="E645" s="24" t="str">
        <v>One private ticket appears with the first message and useful confirmation.</v>
      </c>
      <c r="F645" s="24" t="str">
        <v>Create support request</v>
      </c>
      <c r="G645" s="24" t="str">
        <v>P0</v>
      </c>
      <c r="H645" s="24" t="str">
        <v>Active member, expired member, unrelated user and admin</v>
      </c>
      <c r="I645" s="24" t="str">
        <v>Use prepared QA records and separate accounts. Record the actual URL and build on Run Overview. Use /profile?tab=support and controlled QA tickets.</v>
      </c>
      <c r="J645" s="24" t="str">
        <v>Smoke</v>
      </c>
      <c r="K645" s="26"/>
      <c r="L645" s="26"/>
      <c r="M645" s="26"/>
      <c r="N645" s="29"/>
      <c r="O645" s="26"/>
      <c r="P645" s="26"/>
      <c r="Q645" s="26"/>
      <c r="R645" s="24" t="str">
        <v>Core</v>
      </c>
      <c r="S645" s="28" t="str">
        <v>New</v>
      </c>
      <c r="T645" s="28"/>
      <c r="U645" s="28" t="str">
        <v>New</v>
      </c>
    </row>
    <row r="646" ht="60" customHeight="1">
      <c r="A646" s="25" t="str">
        <v>Not Run</v>
      </c>
      <c r="B646" s="19" t="str">
        <v>GO-MAN-645</v>
      </c>
      <c r="C646" s="19" t="str">
        <v>Support Workspace</v>
      </c>
      <c r="D646" s="19" t="str">
        <v>Try a very short subject/message and a non-HTTPS attachment link.</v>
      </c>
      <c r="E646" s="19" t="str">
        <v>Specific validation appears and unsafe/invalid data is not saved.</v>
      </c>
      <c r="F646" s="19" t="str">
        <v>Support validation</v>
      </c>
      <c r="G646" s="19" t="str">
        <v>P1</v>
      </c>
      <c r="H646" s="19" t="str">
        <v>Active member, expired member, unrelated user and admin</v>
      </c>
      <c r="I646" s="19" t="str">
        <v>Use prepared QA records and separate accounts. Record the actual URL and build on Run Overview. Use /profile?tab=support and controlled QA tickets.</v>
      </c>
      <c r="J646" s="19" t="str">
        <v>Regression</v>
      </c>
      <c r="K646" s="26"/>
      <c r="L646" s="26"/>
      <c r="M646" s="26"/>
      <c r="N646" s="29"/>
      <c r="O646" s="26"/>
      <c r="P646" s="26"/>
      <c r="Q646" s="26"/>
      <c r="R646" s="19" t="str">
        <v>Core</v>
      </c>
      <c r="S646" s="27" t="str">
        <v>New</v>
      </c>
      <c r="T646" s="27"/>
      <c r="U646" s="27" t="str">
        <v>New</v>
      </c>
    </row>
    <row r="647" ht="60" customHeight="1">
      <c r="A647" s="25" t="str">
        <v>Not Run</v>
      </c>
      <c r="B647" s="24" t="str">
        <v>GO-MAN-646</v>
      </c>
      <c r="C647" s="24" t="str">
        <v>Support Workspace</v>
      </c>
      <c r="D647" s="24" t="str">
        <v>As unrelated account request another ticket or post to its ID.</v>
      </c>
      <c r="E647" s="24" t="str">
        <v>Ticket, messages and mutation are denied.</v>
      </c>
      <c r="F647" s="24" t="str">
        <v>Support ownership</v>
      </c>
      <c r="G647" s="24" t="str">
        <v>P0</v>
      </c>
      <c r="H647" s="24" t="str">
        <v>Active member, expired member, unrelated user and admin</v>
      </c>
      <c r="I647" s="24" t="str">
        <v>Use prepared QA records and separate accounts. Record the actual URL and build on Run Overview. Use /profile?tab=support and controlled QA tickets.</v>
      </c>
      <c r="J647" s="24" t="str">
        <v>Regression</v>
      </c>
      <c r="K647" s="26"/>
      <c r="L647" s="26"/>
      <c r="M647" s="26"/>
      <c r="N647" s="29"/>
      <c r="O647" s="26"/>
      <c r="P647" s="26"/>
      <c r="Q647" s="26"/>
      <c r="R647" s="24" t="str">
        <v>Core</v>
      </c>
      <c r="S647" s="28" t="str">
        <v>New</v>
      </c>
      <c r="T647" s="28"/>
      <c r="U647" s="28" t="str">
        <v>New</v>
      </c>
    </row>
    <row r="648" ht="60" customHeight="1">
      <c r="A648" s="25" t="str">
        <v>Not Run</v>
      </c>
      <c r="B648" s="19" t="str">
        <v>GO-MAN-647</v>
      </c>
      <c r="C648" s="19" t="str">
        <v>Support Workspace</v>
      </c>
      <c r="D648" s="19" t="str">
        <v>Reply as ticket owner and then admin. Refresh both views.</v>
      </c>
      <c r="E648" s="19" t="str">
        <v>Messages show correct author role and status without duplicate sends.</v>
      </c>
      <c r="F648" s="19" t="str">
        <v>Member and staff replies</v>
      </c>
      <c r="G648" s="19" t="str">
        <v>P1</v>
      </c>
      <c r="H648" s="19" t="str">
        <v>Active member, expired member, unrelated user and admin</v>
      </c>
      <c r="I648" s="19" t="str">
        <v>Use prepared QA records and separate accounts. Record the actual URL and build on Run Overview. Use /profile?tab=support and controlled QA tickets.</v>
      </c>
      <c r="J648" s="19" t="str">
        <v>Regression</v>
      </c>
      <c r="K648" s="26"/>
      <c r="L648" s="26"/>
      <c r="M648" s="26"/>
      <c r="N648" s="29"/>
      <c r="O648" s="26"/>
      <c r="P648" s="26"/>
      <c r="Q648" s="26"/>
      <c r="R648" s="19" t="str">
        <v>Core</v>
      </c>
      <c r="S648" s="27" t="str">
        <v>New</v>
      </c>
      <c r="T648" s="27"/>
      <c r="U648" s="27" t="str">
        <v>New</v>
      </c>
    </row>
    <row r="649" ht="60" customHeight="1">
      <c r="A649" s="25" t="str">
        <v>Not Run</v>
      </c>
      <c r="B649" s="24" t="str">
        <v>GO-MAN-648</v>
      </c>
      <c r="C649" s="24" t="str">
        <v>Support Workspace</v>
      </c>
      <c r="D649" s="24" t="str">
        <v>Expire an account with an existing ticket. Read and reply through supported controls. Compare a new-ticket attempt.</v>
      </c>
      <c r="E649" s="24" t="str">
        <v>Existing ticket follows retained reply access. New paid support requests remain gated. /support offers a general contact path.</v>
      </c>
      <c r="F649" s="24" t="str">
        <v>Support after membership ends</v>
      </c>
      <c r="G649" s="24" t="str">
        <v>P1</v>
      </c>
      <c r="H649" s="24" t="str">
        <v>Active member, expired member, unrelated user and admin</v>
      </c>
      <c r="I649" s="24" t="str">
        <v>Use prepared QA records and separate accounts. Record the actual URL and build on Run Overview. Use /profile?tab=support and controlled QA tickets.</v>
      </c>
      <c r="J649" s="24" t="str">
        <v>Regression</v>
      </c>
      <c r="K649" s="26"/>
      <c r="L649" s="26"/>
      <c r="M649" s="26"/>
      <c r="N649" s="29"/>
      <c r="O649" s="26"/>
      <c r="P649" s="26"/>
      <c r="Q649" s="26"/>
      <c r="R649" s="24" t="str">
        <v>Core</v>
      </c>
      <c r="S649" s="28" t="str">
        <v>New</v>
      </c>
      <c r="T649" s="28"/>
      <c r="U649" s="28" t="str">
        <v>New</v>
      </c>
    </row>
    <row r="650" ht="60" customHeight="1">
      <c r="A650" s="25" t="str">
        <v>Not Run</v>
      </c>
      <c r="B650" s="19" t="str">
        <v>GO-MAN-649</v>
      </c>
      <c r="C650" s="19" t="str">
        <v>Support Workspace</v>
      </c>
      <c r="D650" s="19" t="str">
        <v>As admin update ticket status and compare member/public payloads.</v>
      </c>
      <c r="E650" s="19" t="str">
        <v>Member sees appropriate status. Internal Jira keys, sync errors and staff-only metadata remain restricted.</v>
      </c>
      <c r="F650" s="19" t="str">
        <v>Staff status and internal data</v>
      </c>
      <c r="G650" s="19" t="str">
        <v>P1</v>
      </c>
      <c r="H650" s="19" t="str">
        <v>Active member, expired member, unrelated user and admin</v>
      </c>
      <c r="I650" s="19" t="str">
        <v>Use prepared QA records and separate accounts. Record the actual URL and build on Run Overview. Use /profile?tab=support and controlled QA tickets.</v>
      </c>
      <c r="J650" s="19" t="str">
        <v>Regression</v>
      </c>
      <c r="K650" s="26"/>
      <c r="L650" s="26"/>
      <c r="M650" s="26"/>
      <c r="N650" s="29"/>
      <c r="O650" s="26"/>
      <c r="P650" s="26"/>
      <c r="Q650" s="26"/>
      <c r="R650" s="19" t="str">
        <v>Core</v>
      </c>
      <c r="S650" s="27" t="str">
        <v>New</v>
      </c>
      <c r="T650" s="27"/>
      <c r="U650" s="27" t="str">
        <v>New</v>
      </c>
    </row>
    <row r="651" ht="64" customHeight="1">
      <c r="A651" s="25" t="str">
        <v>Not Run</v>
      </c>
      <c r="B651" s="24" t="str">
        <v>GO-MAN-650</v>
      </c>
      <c r="C651" s="24" t="str">
        <v>Newsletter &amp; Consent</v>
      </c>
      <c r="D651" s="24" t="str">
        <v>Submit signup, inspect confirmation email and complete confirmation.</v>
      </c>
      <c r="E651" s="24" t="str">
        <v>Subscription becomes confirmed only after the required action.</v>
      </c>
      <c r="F651" s="24" t="str">
        <v>Newsletter double opt-in</v>
      </c>
      <c r="G651" s="24" t="str">
        <v>P1</v>
      </c>
      <c r="H651" s="24" t="str">
        <v>Visitor, controlled QA subscriber and admin</v>
      </c>
      <c r="I651" s="24" t="str">
        <v>Use prepared QA records and separate accounts. Record the actual URL and build on Run Overview. Record the effective newsletter setting and use only a controlled mailbox.</v>
      </c>
      <c r="J651" s="24" t="str">
        <v>Regression</v>
      </c>
      <c r="K651" s="26"/>
      <c r="L651" s="26"/>
      <c r="M651" s="26"/>
      <c r="N651" s="29"/>
      <c r="O651" s="26"/>
      <c r="P651" s="26"/>
      <c r="Q651" s="26"/>
      <c r="R651" s="24" t="str">
        <v>Core</v>
      </c>
      <c r="S651" s="28" t="str">
        <v>New</v>
      </c>
      <c r="T651" s="28"/>
      <c r="U651" s="28" t="str">
        <v>New</v>
      </c>
    </row>
    <row r="652" ht="64" customHeight="1">
      <c r="A652" s="25" t="str">
        <v>Not Run</v>
      </c>
      <c r="B652" s="19" t="str">
        <v>GO-MAN-651</v>
      </c>
      <c r="C652" s="19" t="str">
        <v>Newsletter &amp; Consent</v>
      </c>
      <c r="D652" s="19" t="str">
        <v>Use a valid preference link to change choices, unsubscribe and retry a stale/altered link.</v>
      </c>
      <c r="E652" s="19" t="str">
        <v>Choices persist. Unsubscribed recipient is excluded from later relevant sends and invalid links fail safely.</v>
      </c>
      <c r="F652" s="19" t="str">
        <v>Preferences and unsubscribe</v>
      </c>
      <c r="G652" s="19" t="str">
        <v>P0</v>
      </c>
      <c r="H652" s="19" t="str">
        <v>Visitor, controlled QA subscriber and admin</v>
      </c>
      <c r="I652" s="19" t="str">
        <v>Use prepared QA records and separate accounts. Record the actual URL and build on Run Overview. Record the effective newsletter setting and use only a controlled mailbox.</v>
      </c>
      <c r="J652" s="19" t="str">
        <v>Regression</v>
      </c>
      <c r="K652" s="26"/>
      <c r="L652" s="26"/>
      <c r="M652" s="26"/>
      <c r="N652" s="29"/>
      <c r="O652" s="26"/>
      <c r="P652" s="26"/>
      <c r="Q652" s="26"/>
      <c r="R652" s="19" t="str">
        <v>Core</v>
      </c>
      <c r="S652" s="27" t="str">
        <v>New</v>
      </c>
      <c r="T652" s="27"/>
      <c r="U652" s="27" t="str">
        <v>New</v>
      </c>
    </row>
    <row r="653" ht="64" customHeight="1">
      <c r="A653" s="25" t="str">
        <v>Not Run</v>
      </c>
      <c r="B653" s="24" t="str">
        <v>GO-MAN-652</v>
      </c>
      <c r="C653" s="24" t="str">
        <v>Newsletter &amp; Consent</v>
      </c>
      <c r="D653" s="24" t="str">
        <v>In QA with newsletter disabled, inspect forms and direct signup endpoint.</v>
      </c>
      <c r="E653" s="24" t="str">
        <v>Unavailable signup cannot be bypassed and no misleading success is shown.</v>
      </c>
      <c r="F653" s="24" t="str">
        <v>Newsletter disabled state</v>
      </c>
      <c r="G653" s="24" t="str">
        <v>P1</v>
      </c>
      <c r="H653" s="24" t="str">
        <v>Visitor, controlled QA subscriber and admin</v>
      </c>
      <c r="I653" s="24" t="str">
        <v>Use prepared QA records and separate accounts. Record the actual URL and build on Run Overview. Record the effective newsletter setting and use only a controlled mailbox.</v>
      </c>
      <c r="J653" s="24" t="str">
        <v>Regression</v>
      </c>
      <c r="K653" s="26"/>
      <c r="L653" s="26"/>
      <c r="M653" s="26"/>
      <c r="N653" s="29"/>
      <c r="O653" s="26"/>
      <c r="P653" s="26"/>
      <c r="Q653" s="26"/>
      <c r="R653" s="24" t="str">
        <v>Core</v>
      </c>
      <c r="S653" s="28" t="str">
        <v>New</v>
      </c>
      <c r="T653" s="28"/>
      <c r="U653" s="28" t="str">
        <v>New</v>
      </c>
    </row>
    <row r="654" ht="64" customHeight="1">
      <c r="A654" s="25" t="str">
        <v>Not Run</v>
      </c>
      <c r="B654" s="19" t="str">
        <v>GO-MAN-653</v>
      </c>
      <c r="C654" s="19" t="str">
        <v>Newsletter &amp; Consent</v>
      </c>
      <c r="D654" s="19" t="str">
        <v>In a clean browser reject optional analytics, reload, then accept and later withdraw through supported settings.</v>
      </c>
      <c r="E654" s="19" t="str">
        <v>Consent persists and optional tracking follows the current choice.</v>
      </c>
      <c r="F654" s="19" t="str">
        <v>Cookie consent persistence</v>
      </c>
      <c r="G654" s="19" t="str">
        <v>P0</v>
      </c>
      <c r="H654" s="19" t="str">
        <v>Visitor, controlled QA subscriber and admin</v>
      </c>
      <c r="I654" s="19" t="str">
        <v>Use prepared QA records and separate accounts. Record the actual URL and build on Run Overview. Record the effective newsletter setting and use only a controlled mailbox.</v>
      </c>
      <c r="J654" s="19" t="str">
        <v>Smoke</v>
      </c>
      <c r="K654" s="26"/>
      <c r="L654" s="26"/>
      <c r="M654" s="26"/>
      <c r="N654" s="29"/>
      <c r="O654" s="26"/>
      <c r="P654" s="26"/>
      <c r="Q654" s="26"/>
      <c r="R654" s="19" t="str">
        <v>Core</v>
      </c>
      <c r="S654" s="27" t="str">
        <v>New</v>
      </c>
      <c r="T654" s="27"/>
      <c r="U654" s="27" t="str">
        <v>New</v>
      </c>
    </row>
    <row r="655" ht="64" customHeight="1">
      <c r="A655" s="25" t="str">
        <v>Not Run</v>
      </c>
      <c r="B655" s="24" t="str">
        <v>GO-MAN-654</v>
      </c>
      <c r="C655" s="24" t="str">
        <v>Newsletter &amp; Consent</v>
      </c>
      <c r="D655" s="24" t="str">
        <v>With QA analytics instrumentation inspect requests before consent, after accept and after withdrawal.</v>
      </c>
      <c r="E655" s="24" t="str">
        <v>Optional tracking starts only with consent. Passwords, private messages, payment data and private profile text are absent.</v>
      </c>
      <c r="F655" s="24" t="str">
        <v>Analytics consent and privacy</v>
      </c>
      <c r="G655" s="24" t="str">
        <v>P0</v>
      </c>
      <c r="H655" s="24" t="str">
        <v>Visitor, controlled QA subscriber and admin</v>
      </c>
      <c r="I655" s="24" t="str">
        <v>Use prepared QA records and separate accounts. Record the actual URL and build on Run Overview. Record the effective newsletter setting and use only a controlled mailbox.</v>
      </c>
      <c r="J655" s="24" t="str">
        <v>Regression</v>
      </c>
      <c r="K655" s="26"/>
      <c r="L655" s="26"/>
      <c r="M655" s="26"/>
      <c r="N655" s="29"/>
      <c r="O655" s="26"/>
      <c r="P655" s="26"/>
      <c r="Q655" s="26"/>
      <c r="R655" s="24" t="str">
        <v>Core</v>
      </c>
      <c r="S655" s="28" t="str">
        <v>New</v>
      </c>
      <c r="T655" s="28"/>
      <c r="U655" s="28" t="str">
        <v>New</v>
      </c>
    </row>
    <row r="656" ht="60" customHeight="1">
      <c r="A656" s="25" t="str">
        <v>Not Run</v>
      </c>
      <c r="B656" s="19" t="str">
        <v>GO-MAN-655</v>
      </c>
      <c r="C656" s="19" t="str">
        <v>Events, Community &amp; Impact</v>
      </c>
      <c r="D656" s="19" t="str">
        <v>Open /events, choose a prepared event and use the join/RSVP action as eligible user.</v>
      </c>
      <c r="E656" s="19" t="str">
        <v>Date, timezone, destination and RSVP state match the event. RSVP is not recorded as verified attendance.</v>
      </c>
      <c r="F656" s="19" t="str">
        <v>Event schedule and join</v>
      </c>
      <c r="G656" s="19" t="str">
        <v>P1</v>
      </c>
      <c r="H656" s="19" t="str">
        <v>Visitor, member and organizer</v>
      </c>
      <c r="I656" s="19" t="str">
        <v>Use prepared QA records and separate accounts. Record the actual URL and build on Run Overview. Prepare a public event and an explicit attendance fixture.</v>
      </c>
      <c r="J656" s="19" t="str">
        <v>Regression</v>
      </c>
      <c r="K656" s="26"/>
      <c r="L656" s="26"/>
      <c r="M656" s="26"/>
      <c r="N656" s="29"/>
      <c r="O656" s="26"/>
      <c r="P656" s="26"/>
      <c r="Q656" s="26"/>
      <c r="R656" s="19" t="str">
        <v>Core</v>
      </c>
      <c r="S656" s="27" t="str">
        <v>New</v>
      </c>
      <c r="T656" s="27"/>
      <c r="U656" s="27" t="str">
        <v>New</v>
      </c>
    </row>
    <row r="657" ht="60" customHeight="1">
      <c r="A657" s="25" t="str">
        <v>Not Run</v>
      </c>
      <c r="B657" s="24" t="str">
        <v>GO-MAN-656</v>
      </c>
      <c r="C657" s="24" t="str">
        <v>Events, Community &amp; Impact</v>
      </c>
      <c r="D657" s="24" t="str">
        <v>Open no-upcoming-events fixture, then a failed-fetch fixture.</v>
      </c>
      <c r="E657" s="24" t="str">
        <v>Empty and error states differ and neither invents an event or success.</v>
      </c>
      <c r="F657" s="24" t="str">
        <v>Event empty/error state</v>
      </c>
      <c r="G657" s="24" t="str">
        <v>P1</v>
      </c>
      <c r="H657" s="24" t="str">
        <v>Visitor, member and organizer</v>
      </c>
      <c r="I657" s="24" t="str">
        <v>Use prepared QA records and separate accounts. Record the actual URL and build on Run Overview. Prepare a public event and an explicit attendance fixture.</v>
      </c>
      <c r="J657" s="24" t="str">
        <v>Regression</v>
      </c>
      <c r="K657" s="26"/>
      <c r="L657" s="26"/>
      <c r="M657" s="26"/>
      <c r="N657" s="29"/>
      <c r="O657" s="26"/>
      <c r="P657" s="26"/>
      <c r="Q657" s="26"/>
      <c r="R657" s="24" t="str">
        <v>Core</v>
      </c>
      <c r="S657" s="28" t="str">
        <v>New</v>
      </c>
      <c r="T657" s="28"/>
      <c r="U657" s="28" t="str">
        <v>New</v>
      </c>
    </row>
    <row r="658" ht="60" customHeight="1">
      <c r="A658" s="25" t="str">
        <v>Not Run</v>
      </c>
      <c r="B658" s="19" t="str">
        <v>GO-MAN-657</v>
      </c>
      <c r="C658" s="19" t="str">
        <v>Events, Community &amp; Impact</v>
      </c>
      <c r="D658" s="19" t="str">
        <v>Open /community and /discord. Inspect appetite with incomplete role setup and with a fresh aggregate fixture.</v>
      </c>
      <c r="E658" s="19" t="str">
        <v>Safe community links work. Setup mode is honest and aggregate hunger does not reveal individual private roles.</v>
      </c>
      <c r="F658" s="19" t="str">
        <v>Community links and appetite</v>
      </c>
      <c r="G658" s="19" t="str">
        <v>P1</v>
      </c>
      <c r="H658" s="19" t="str">
        <v>Visitor, member and organizer</v>
      </c>
      <c r="I658" s="19" t="str">
        <v>Use prepared QA records and separate accounts. Record the actual URL and build on Run Overview. Prepare a public event and an explicit attendance fixture.</v>
      </c>
      <c r="J658" s="19" t="str">
        <v>Regression</v>
      </c>
      <c r="K658" s="26"/>
      <c r="L658" s="26"/>
      <c r="M658" s="26"/>
      <c r="N658" s="29"/>
      <c r="O658" s="26"/>
      <c r="P658" s="26"/>
      <c r="Q658" s="26"/>
      <c r="R658" s="19" t="str">
        <v>Core</v>
      </c>
      <c r="S658" s="27" t="str">
        <v>New</v>
      </c>
      <c r="T658" s="27"/>
      <c r="U658" s="27" t="str">
        <v>New</v>
      </c>
    </row>
    <row r="659" ht="60" customHeight="1">
      <c r="A659" s="25" t="str">
        <v>Not Run</v>
      </c>
      <c r="B659" s="24" t="str">
        <v>GO-MAN-658</v>
      </c>
      <c r="C659" s="24" t="str">
        <v>Events, Community &amp; Impact</v>
      </c>
      <c r="D659" s="24" t="str">
        <v>Open /impact, inspect period labels and evidence links, then view on mobile.</v>
      </c>
      <c r="E659" s="24" t="str">
        <v>Metrics retain their stated period and definitions. Evidence links work and no private attendee/contact list is disclosed.</v>
      </c>
      <c r="F659" s="24" t="str">
        <v>Public impact report</v>
      </c>
      <c r="G659" s="24" t="str">
        <v>P1</v>
      </c>
      <c r="H659" s="24" t="str">
        <v>Visitor, member and organizer</v>
      </c>
      <c r="I659" s="24" t="str">
        <v>Use prepared QA records and separate accounts. Record the actual URL and build on Run Overview. Prepare a public event and an explicit attendance fixture.</v>
      </c>
      <c r="J659" s="24" t="str">
        <v>Regression</v>
      </c>
      <c r="K659" s="26"/>
      <c r="L659" s="26"/>
      <c r="M659" s="26"/>
      <c r="N659" s="29"/>
      <c r="O659" s="26"/>
      <c r="P659" s="26"/>
      <c r="Q659" s="26"/>
      <c r="R659" s="24" t="str">
        <v>Core</v>
      </c>
      <c r="S659" s="28" t="str">
        <v>New</v>
      </c>
      <c r="T659" s="28"/>
      <c r="U659" s="28" t="str">
        <v>New</v>
      </c>
    </row>
    <row r="660" ht="60" customHeight="1">
      <c r="A660" s="25" t="str">
        <v>Not Run</v>
      </c>
      <c r="B660" s="19" t="str">
        <v>GO-MAN-659</v>
      </c>
      <c r="C660" s="19" t="str">
        <v>Events, Community &amp; Impact</v>
      </c>
      <c r="D660" s="19" t="str">
        <v>Follow supported older /pricing, /become-member, /cv and mentor URLs from existing bookmarks.</v>
      </c>
      <c r="E660" s="19" t="str">
        <v>Each reaches an appropriate current page or explicit unavailable state with no redirect loop.</v>
      </c>
      <c r="F660" s="19" t="str">
        <v>Legacy destination redirects</v>
      </c>
      <c r="G660" s="19" t="str">
        <v>P1</v>
      </c>
      <c r="H660" s="19" t="str">
        <v>Visitor, member and organizer</v>
      </c>
      <c r="I660" s="19" t="str">
        <v>Use prepared QA records and separate accounts. Record the actual URL and build on Run Overview. Prepare a public event and an explicit attendance fixture.</v>
      </c>
      <c r="J660" s="19" t="str">
        <v>Regression</v>
      </c>
      <c r="K660" s="26"/>
      <c r="L660" s="26"/>
      <c r="M660" s="26"/>
      <c r="N660" s="29"/>
      <c r="O660" s="26"/>
      <c r="P660" s="26"/>
      <c r="Q660" s="26"/>
      <c r="R660" s="19" t="str">
        <v>Core</v>
      </c>
      <c r="S660" s="27" t="str">
        <v>New</v>
      </c>
      <c r="T660" s="27"/>
      <c r="U660" s="27" t="str">
        <v>New</v>
      </c>
    </row>
    <row r="661" ht="64" customHeight="1">
      <c r="A661" s="25" t="str">
        <v>Not Run</v>
      </c>
      <c r="B661" s="24" t="str">
        <v>GO-MAN-660</v>
      </c>
      <c r="C661" s="24" t="str">
        <v>Development Journey &amp; Skill Evidence</v>
      </c>
      <c r="D661" s="24" t="str">
        <v>With journey enabled, open own journal then public profile as visitor before/after explicit visibility choice.</v>
      </c>
      <c r="E661" s="24" t="str">
        <v>Private events remain private. Only allowed summaries appear publicly.</v>
      </c>
      <c r="F661" s="24" t="str">
        <v>Development journal projection</v>
      </c>
      <c r="G661" s="24" t="str">
        <v>P0</v>
      </c>
      <c r="H661" s="24" t="str">
        <v>Public/private profile owner, collaborator, mentor and admin</v>
      </c>
      <c r="I661" s="24" t="str">
        <v>Use prepared QA records and separate accounts. Record the actual URL and build on Run Overview. Prepare the named feature in QA. Disabled production features stay out of the core pass.</v>
      </c>
      <c r="J661" s="24" t="str">
        <v>Regression</v>
      </c>
      <c r="K661" s="26"/>
      <c r="L661" s="26"/>
      <c r="M661" s="26"/>
      <c r="N661" s="29"/>
      <c r="O661" s="26"/>
      <c r="P661" s="26"/>
      <c r="Q661" s="26"/>
      <c r="R661" s="24" t="str">
        <v>GO_DEVELOPMENT_JOURNEY_ENABLED or the named dependent feature</v>
      </c>
      <c r="S661" s="28" t="str">
        <v>New</v>
      </c>
      <c r="T661" s="28"/>
      <c r="U661" s="28" t="str">
        <v>New</v>
      </c>
    </row>
    <row r="662" ht="64" customHeight="1">
      <c r="A662" s="25" t="str">
        <v>Not Run</v>
      </c>
      <c r="B662" s="19" t="str">
        <v>GO-MAN-661</v>
      </c>
      <c r="C662" s="19" t="str">
        <v>Development Journey &amp; Skill Evidence</v>
      </c>
      <c r="D662" s="19" t="str">
        <v>Inspect entries around UTC midnight/year boundary and compare canonical timestamps.</v>
      </c>
      <c r="E662" s="19" t="str">
        <v>Chronological order follows ISO timestamps. GO stardate is a labeled display with UTC suffix and version, not a replacement timestamp.</v>
      </c>
      <c r="F662" s="19" t="str">
        <v>Journal dates and ordering</v>
      </c>
      <c r="G662" s="19" t="str">
        <v>P1</v>
      </c>
      <c r="H662" s="19" t="str">
        <v>Public/private profile owner, collaborator, mentor and admin</v>
      </c>
      <c r="I662" s="19" t="str">
        <v>Use prepared QA records and separate accounts. Record the actual URL and build on Run Overview. Prepare the named feature in QA. Disabled production features stay out of the core pass.</v>
      </c>
      <c r="J662" s="19" t="str">
        <v>Regression</v>
      </c>
      <c r="K662" s="26"/>
      <c r="L662" s="26"/>
      <c r="M662" s="26"/>
      <c r="N662" s="29"/>
      <c r="O662" s="26"/>
      <c r="P662" s="26"/>
      <c r="Q662" s="26"/>
      <c r="R662" s="19" t="str">
        <v>GO_DEVELOPMENT_JOURNEY_ENABLED or the named dependent feature</v>
      </c>
      <c r="S662" s="27" t="str">
        <v>New</v>
      </c>
      <c r="T662" s="27"/>
      <c r="U662" s="27" t="str">
        <v>New</v>
      </c>
    </row>
    <row r="663" ht="64" customHeight="1">
      <c r="A663" s="25" t="str">
        <v>Not Run</v>
      </c>
      <c r="B663" s="24" t="str">
        <v>GO-MAN-662</v>
      </c>
      <c r="C663" s="24" t="str">
        <v>Development Journey &amp; Skill Evidence</v>
      </c>
      <c r="D663" s="24" t="str">
        <v>Replay an eligible match/attendance event using controlled QA tools.</v>
      </c>
      <c r="E663" s="24" t="str">
        <v>One source milestone contributes once and public counters exclude private details.</v>
      </c>
      <c r="F663" s="24" t="str">
        <v>Journal counters idempotency</v>
      </c>
      <c r="G663" s="24" t="str">
        <v>P1</v>
      </c>
      <c r="H663" s="24" t="str">
        <v>Public/private profile owner, collaborator, mentor and admin</v>
      </c>
      <c r="I663" s="24" t="str">
        <v>Use prepared QA records and separate accounts. Record the actual URL and build on Run Overview. Prepare the named feature in QA. Disabled production features stay out of the core pass.</v>
      </c>
      <c r="J663" s="24" t="str">
        <v>Regression</v>
      </c>
      <c r="K663" s="26"/>
      <c r="L663" s="26"/>
      <c r="M663" s="26"/>
      <c r="N663" s="29"/>
      <c r="O663" s="26"/>
      <c r="P663" s="26"/>
      <c r="Q663" s="26"/>
      <c r="R663" s="24" t="str">
        <v>GO_DEVELOPMENT_JOURNEY_ENABLED or the named dependent feature</v>
      </c>
      <c r="S663" s="28" t="str">
        <v>New</v>
      </c>
      <c r="T663" s="28"/>
      <c r="U663" s="28" t="str">
        <v>New</v>
      </c>
    </row>
    <row r="664" ht="64" customHeight="1">
      <c r="A664" s="25" t="str">
        <v>Not Run</v>
      </c>
      <c r="B664" s="19" t="str">
        <v>GO-MAN-663</v>
      </c>
      <c r="C664" s="19" t="str">
        <v>Development Journey &amp; Skill Evidence</v>
      </c>
      <c r="D664" s="19" t="str">
        <v>Request evidence for a current skill on a shared project or active mentorship. Try as unrelated user.</v>
      </c>
      <c r="E664" s="19" t="str">
        <v>Only eligible collaborators or active mentor can validate. Unrelated requests and self-validation are denied.</v>
      </c>
      <c r="F664" s="19" t="str">
        <v>Skill evidence authorization</v>
      </c>
      <c r="G664" s="19" t="str">
        <v>P0</v>
      </c>
      <c r="H664" s="19" t="str">
        <v>Public/private profile owner, collaborator, mentor and admin</v>
      </c>
      <c r="I664" s="19" t="str">
        <v>Use prepared QA records and separate accounts. Record the actual URL and build on Run Overview. Prepare the named feature in QA. Disabled production features stay out of the core pass.</v>
      </c>
      <c r="J664" s="19" t="str">
        <v>Regression</v>
      </c>
      <c r="K664" s="26"/>
      <c r="L664" s="26"/>
      <c r="M664" s="26"/>
      <c r="N664" s="29"/>
      <c r="O664" s="26"/>
      <c r="P664" s="26"/>
      <c r="Q664" s="26"/>
      <c r="R664" s="19" t="str">
        <v>GO_DEVELOPMENT_JOURNEY_ENABLED or the named dependent feature</v>
      </c>
      <c r="S664" s="27" t="str">
        <v>New</v>
      </c>
      <c r="T664" s="27"/>
      <c r="U664" s="27" t="str">
        <v>New</v>
      </c>
    </row>
    <row r="665" ht="64" customHeight="1">
      <c r="A665" s="25" t="str">
        <v>Not Run</v>
      </c>
      <c r="B665" s="24" t="str">
        <v>GO-MAN-664</v>
      </c>
      <c r="C665" s="24" t="str">
        <v>Development Journey &amp; Skill Evidence</v>
      </c>
      <c r="D665" s="24" t="str">
        <v>Repeat a skill-evidence request and exceed configured bounds using a controlled fixture.</v>
      </c>
      <c r="E665" s="24" t="str">
        <v>Duplicate/rate limits are enforced and unsupported skills do not gain verified status.</v>
      </c>
      <c r="F665" s="24" t="str">
        <v>Evidence request limits</v>
      </c>
      <c r="G665" s="24" t="str">
        <v>P1</v>
      </c>
      <c r="H665" s="24" t="str">
        <v>Public/private profile owner, collaborator, mentor and admin</v>
      </c>
      <c r="I665" s="24" t="str">
        <v>Use prepared QA records and separate accounts. Record the actual URL and build on Run Overview. Prepare the named feature in QA. Disabled production features stay out of the core pass.</v>
      </c>
      <c r="J665" s="24" t="str">
        <v>Regression</v>
      </c>
      <c r="K665" s="26"/>
      <c r="L665" s="26"/>
      <c r="M665" s="26"/>
      <c r="N665" s="29"/>
      <c r="O665" s="26"/>
      <c r="P665" s="26"/>
      <c r="Q665" s="26"/>
      <c r="R665" s="24" t="str">
        <v>GO_DEVELOPMENT_JOURNEY_ENABLED or the named dependent feature</v>
      </c>
      <c r="S665" s="28" t="str">
        <v>New</v>
      </c>
      <c r="T665" s="28"/>
      <c r="U665" s="28" t="str">
        <v>New</v>
      </c>
    </row>
    <row r="666" ht="64" customHeight="1">
      <c r="A666" s="25" t="str">
        <v>Not Run</v>
      </c>
      <c r="B666" s="19" t="str">
        <v>GO-MAN-665</v>
      </c>
      <c r="C666" s="19" t="str">
        <v>Development Journey &amp; Skill Evidence</v>
      </c>
      <c r="D666" s="19" t="str">
        <v>Open the skill graph with keyboard and screen reader.</v>
      </c>
      <c r="E666" s="19" t="str">
        <v>Readable numeric/text values accompany the visual bars and match the underlying evidence.</v>
      </c>
      <c r="F666" s="19" t="str">
        <v>Skill graph accessible values</v>
      </c>
      <c r="G666" s="19" t="str">
        <v>P1</v>
      </c>
      <c r="H666" s="19" t="str">
        <v>Public/private profile owner, collaborator, mentor and admin</v>
      </c>
      <c r="I666" s="19" t="str">
        <v>Use prepared QA records and separate accounts. Record the actual URL and build on Run Overview. Prepare the named feature in QA. Disabled production features stay out of the core pass.</v>
      </c>
      <c r="J666" s="19" t="str">
        <v>Regression</v>
      </c>
      <c r="K666" s="26"/>
      <c r="L666" s="26"/>
      <c r="M666" s="26"/>
      <c r="N666" s="29"/>
      <c r="O666" s="26"/>
      <c r="P666" s="26"/>
      <c r="Q666" s="26"/>
      <c r="R666" s="19" t="str">
        <v>GO_DEVELOPMENT_JOURNEY_ENABLED or the named dependent feature</v>
      </c>
      <c r="S666" s="27" t="str">
        <v>New</v>
      </c>
      <c r="T666" s="27"/>
      <c r="U666" s="27" t="str">
        <v>New</v>
      </c>
    </row>
    <row r="667" ht="64" customHeight="1">
      <c r="A667" s="25" t="str">
        <v>Not Run</v>
      </c>
      <c r="B667" s="24" t="str">
        <v>GO-MAN-666</v>
      </c>
      <c r="C667" s="24" t="str">
        <v>Development Journey &amp; Skill Evidence</v>
      </c>
      <c r="D667" s="24" t="str">
        <v>Hide a selected earned stamp, refresh public Passport and then restore it.</v>
      </c>
      <c r="E667" s="24" t="str">
        <v>Display preference changes without deleting the earned award or exposing private attendance.</v>
      </c>
      <c r="F667" s="24" t="str">
        <v>Hide earned stamp</v>
      </c>
      <c r="G667" s="24" t="str">
        <v>P1</v>
      </c>
      <c r="H667" s="24" t="str">
        <v>Public/private profile owner, collaborator, mentor and admin</v>
      </c>
      <c r="I667" s="24" t="str">
        <v>Use prepared QA records and separate accounts. Record the actual URL and build on Run Overview. Prepare the named feature in QA. Disabled production features stay out of the core pass.</v>
      </c>
      <c r="J667" s="24" t="str">
        <v>Regression</v>
      </c>
      <c r="K667" s="26"/>
      <c r="L667" s="26"/>
      <c r="M667" s="26"/>
      <c r="N667" s="29"/>
      <c r="O667" s="26"/>
      <c r="P667" s="26"/>
      <c r="Q667" s="26"/>
      <c r="R667" s="24" t="str">
        <v>GO_DEVELOPMENT_JOURNEY_ENABLED or the named dependent feature</v>
      </c>
      <c r="S667" s="28" t="str">
        <v>New</v>
      </c>
      <c r="T667" s="28"/>
      <c r="U667" s="28" t="str">
        <v>New</v>
      </c>
    </row>
    <row r="668" ht="60" customHeight="1">
      <c r="A668" s="25" t="str">
        <v>Not Run</v>
      </c>
      <c r="B668" s="19" t="str">
        <v>GO-MAN-667</v>
      </c>
      <c r="C668" s="19" t="str">
        <v>Game Jams</v>
      </c>
      <c r="D668" s="19" t="str">
        <v>Enroll/RSVP in a jam, inspect badges, then confirm attendance as organizer.</v>
      </c>
      <c r="E668" s="19" t="str">
        <v>RSVP alone awards no verified-attendance stamp. Authorized attendance confirmation can issue one stamp.</v>
      </c>
      <c r="F668" s="19" t="str">
        <v>Jam RSVP versus attendance</v>
      </c>
      <c r="G668" s="19" t="str">
        <v>P0</v>
      </c>
      <c r="H668" s="19" t="str">
        <v>Member, organizer and visitor</v>
      </c>
      <c r="I668" s="19" t="str">
        <v>Use prepared QA records and separate accounts. Record the actual URL and build on Run Overview. Prepare a GO jam in a QA build with jam support enabled.</v>
      </c>
      <c r="J668" s="19" t="str">
        <v>Regression</v>
      </c>
      <c r="K668" s="26"/>
      <c r="L668" s="26"/>
      <c r="M668" s="26"/>
      <c r="N668" s="29"/>
      <c r="O668" s="26"/>
      <c r="P668" s="26"/>
      <c r="Q668" s="26"/>
      <c r="R668" s="19" t="str">
        <v>GO_GAME_JAMS_ENABLED</v>
      </c>
      <c r="S668" s="27" t="str">
        <v>New</v>
      </c>
      <c r="T668" s="27"/>
      <c r="U668" s="27" t="str">
        <v>New</v>
      </c>
    </row>
    <row r="669" ht="60" customHeight="1">
      <c r="A669" s="25" t="str">
        <v>Not Run</v>
      </c>
      <c r="B669" s="24" t="str">
        <v>GO-MAN-668</v>
      </c>
      <c r="C669" s="24" t="str">
        <v>Game Jams</v>
      </c>
      <c r="D669" s="24" t="str">
        <v>Repeat attendance confirmation, then correct attendance through the organizer workflow.</v>
      </c>
      <c r="E669" s="24" t="str">
        <v>No duplicate stamp is issued and correction updates the affected award consistently.</v>
      </c>
      <c r="F669" s="24" t="str">
        <v>Attendance correction</v>
      </c>
      <c r="G669" s="24" t="str">
        <v>P0</v>
      </c>
      <c r="H669" s="24" t="str">
        <v>Member, organizer and visitor</v>
      </c>
      <c r="I669" s="24" t="str">
        <v>Use prepared QA records and separate accounts. Record the actual URL and build on Run Overview. Prepare a GO jam in a QA build with jam support enabled.</v>
      </c>
      <c r="J669" s="24" t="str">
        <v>Regression</v>
      </c>
      <c r="K669" s="26"/>
      <c r="L669" s="26"/>
      <c r="M669" s="26"/>
      <c r="N669" s="29"/>
      <c r="O669" s="26"/>
      <c r="P669" s="26"/>
      <c r="Q669" s="26"/>
      <c r="R669" s="24" t="str">
        <v>GO_GAME_JAMS_ENABLED</v>
      </c>
      <c r="S669" s="28" t="str">
        <v>New</v>
      </c>
      <c r="T669" s="28"/>
      <c r="U669" s="28" t="str">
        <v>New</v>
      </c>
    </row>
    <row r="670" ht="60" customHeight="1">
      <c r="A670" s="25" t="str">
        <v>Not Run</v>
      </c>
      <c r="B670" s="19" t="str">
        <v>GO-MAN-669</v>
      </c>
      <c r="C670" s="19" t="str">
        <v>Game Jams</v>
      </c>
      <c r="D670" s="19" t="str">
        <v>Use a learner with no jam attendance and navigate existing learning/Passport progression.</v>
      </c>
      <c r="E670" s="19" t="str">
        <v>This release does not block existing career progression on jam attendance.</v>
      </c>
      <c r="F670" s="19" t="str">
        <v>No progression lock</v>
      </c>
      <c r="G670" s="19" t="str">
        <v>P1</v>
      </c>
      <c r="H670" s="19" t="str">
        <v>Member, organizer and visitor</v>
      </c>
      <c r="I670" s="19" t="str">
        <v>Use prepared QA records and separate accounts. Record the actual URL and build on Run Overview. Prepare a GO jam in a QA build with jam support enabled.</v>
      </c>
      <c r="J670" s="19" t="str">
        <v>Regression</v>
      </c>
      <c r="K670" s="26"/>
      <c r="L670" s="26"/>
      <c r="M670" s="26"/>
      <c r="N670" s="29"/>
      <c r="O670" s="26"/>
      <c r="P670" s="26"/>
      <c r="Q670" s="26"/>
      <c r="R670" s="19" t="str">
        <v>GO_GAME_JAMS_ENABLED</v>
      </c>
      <c r="S670" s="27" t="str">
        <v>New</v>
      </c>
      <c r="T670" s="27"/>
      <c r="U670" s="27" t="str">
        <v>New</v>
      </c>
    </row>
    <row r="671" ht="64" customHeight="1">
      <c r="A671" s="25" t="str">
        <v>Not Run</v>
      </c>
      <c r="B671" s="24" t="str">
        <v>GO-MAN-670</v>
      </c>
      <c r="C671" s="24" t="str">
        <v>Baseline &amp; Recovery</v>
      </c>
      <c r="D671" s="24" t="str">
        <v>Change theme, refresh and visit public/profile/merch/matching pages.</v>
      </c>
      <c r="E671" s="24" t="str">
        <v>Theme persists and all controls/states remain readable.</v>
      </c>
      <c r="F671" s="24" t="str">
        <v>Dark/light persistence</v>
      </c>
      <c r="G671" s="24" t="str">
        <v>P1</v>
      </c>
      <c r="H671" s="24" t="str">
        <v>Relevant QA personas</v>
      </c>
      <c r="I671" s="24" t="str">
        <v>Use prepared QA records and separate accounts. Record the actual URL and build on Run Overview. Use supported desktop and mobile browsers and a controlled failed-request fixture.</v>
      </c>
      <c r="J671" s="24" t="str">
        <v>Regression</v>
      </c>
      <c r="K671" s="26"/>
      <c r="L671" s="26"/>
      <c r="M671" s="26"/>
      <c r="N671" s="29"/>
      <c r="O671" s="26"/>
      <c r="P671" s="26"/>
      <c r="Q671" s="26"/>
      <c r="R671" s="24" t="str">
        <v>Core</v>
      </c>
      <c r="S671" s="28" t="str">
        <v>New</v>
      </c>
      <c r="T671" s="28"/>
      <c r="U671" s="28" t="str">
        <v>New</v>
      </c>
    </row>
    <row r="672" ht="64" customHeight="1">
      <c r="A672" s="25" t="str">
        <v>Not Run</v>
      </c>
      <c r="B672" s="19" t="str">
        <v>GO-MAN-671</v>
      </c>
      <c r="C672" s="19" t="str">
        <v>Baseline &amp; Recovery</v>
      </c>
      <c r="D672" s="19" t="str">
        <v>Throttle or interrupt profile save, matching acceptance and merch submission, then retry.</v>
      </c>
      <c r="E672" s="19" t="str">
        <v>Pending/error states are clear. No silent data loss, duplicate record or false success.</v>
      </c>
      <c r="F672" s="19" t="str">
        <v>Core slow-network recovery</v>
      </c>
      <c r="G672" s="19" t="str">
        <v>P0</v>
      </c>
      <c r="H672" s="19" t="str">
        <v>Relevant QA personas</v>
      </c>
      <c r="I672" s="19" t="str">
        <v>Use prepared QA records and separate accounts. Record the actual URL and build on Run Overview. Use supported desktop and mobile browsers and a controlled failed-request fixture.</v>
      </c>
      <c r="J672" s="19" t="str">
        <v>Regression</v>
      </c>
      <c r="K672" s="26"/>
      <c r="L672" s="26"/>
      <c r="M672" s="26"/>
      <c r="N672" s="29"/>
      <c r="O672" s="26"/>
      <c r="P672" s="26"/>
      <c r="Q672" s="26"/>
      <c r="R672" s="19" t="str">
        <v>Core</v>
      </c>
      <c r="S672" s="27" t="str">
        <v>New</v>
      </c>
      <c r="T672" s="27"/>
      <c r="U672" s="27" t="str">
        <v>New</v>
      </c>
    </row>
    <row r="673" ht="64" customHeight="1">
      <c r="A673" s="25" t="str">
        <v>Not Run</v>
      </c>
      <c r="B673" s="24" t="str">
        <v>GO-MAN-672</v>
      </c>
      <c r="C673" s="24" t="str">
        <v>Baseline &amp; Recovery</v>
      </c>
      <c r="D673" s="24" t="str">
        <v>Use Back/Forward and refresh in profile tabs, filtered projects, course detail and matching.</v>
      </c>
      <c r="E673" s="24" t="str">
        <v>URL and displayed state remain consistent. Private state does not carry between users.</v>
      </c>
      <c r="F673" s="24" t="str">
        <v>Browser navigation state</v>
      </c>
      <c r="G673" s="24" t="str">
        <v>P1</v>
      </c>
      <c r="H673" s="24" t="str">
        <v>Relevant QA personas</v>
      </c>
      <c r="I673" s="24" t="str">
        <v>Use prepared QA records and separate accounts. Record the actual URL and build on Run Overview. Use supported desktop and mobile browsers and a controlled failed-request fixture.</v>
      </c>
      <c r="J673" s="24" t="str">
        <v>Regression</v>
      </c>
      <c r="K673" s="26"/>
      <c r="L673" s="26"/>
      <c r="M673" s="26"/>
      <c r="N673" s="29"/>
      <c r="O673" s="26"/>
      <c r="P673" s="26"/>
      <c r="Q673" s="26"/>
      <c r="R673" s="24" t="str">
        <v>Core</v>
      </c>
      <c r="S673" s="28" t="str">
        <v>New</v>
      </c>
      <c r="T673" s="28"/>
      <c r="U673" s="28" t="str">
        <v>New</v>
      </c>
    </row>
    <row r="674" ht="64" customHeight="1">
      <c r="A674" s="25" t="str">
        <v>Not Run</v>
      </c>
      <c r="B674" s="19" t="str">
        <v>GO-MAN-673</v>
      </c>
      <c r="C674" s="19" t="str">
        <v>Baseline &amp; Recovery</v>
      </c>
      <c r="D674" s="19" t="str">
        <v>Record existing hero, card, learning and stamp interactions at desktop/mobile with normal and reduced motion.</v>
      </c>
      <c r="E674" s="19" t="str">
        <v>Evidence documents current behavior for later comparison. New animations are not required for this functional QA pass.</v>
      </c>
      <c r="F674" s="19" t="str">
        <v>Animation baseline capture</v>
      </c>
      <c r="G674" s="19" t="str">
        <v>P2</v>
      </c>
      <c r="H674" s="19" t="str">
        <v>Relevant QA personas</v>
      </c>
      <c r="I674" s="19" t="str">
        <v>Use prepared QA records and separate accounts. Record the actual URL and build on Run Overview. Use supported desktop and mobile browsers and a controlled failed-request fixture.</v>
      </c>
      <c r="J674" s="19" t="str">
        <v>Visual</v>
      </c>
      <c r="K674" s="26"/>
      <c r="L674" s="26"/>
      <c r="M674" s="26"/>
      <c r="N674" s="29"/>
      <c r="O674" s="26"/>
      <c r="P674" s="26"/>
      <c r="Q674" s="26"/>
      <c r="R674" s="19" t="str">
        <v>Core</v>
      </c>
      <c r="S674" s="27" t="str">
        <v>New</v>
      </c>
      <c r="T674" s="27"/>
      <c r="U674" s="27" t="str">
        <v>New</v>
      </c>
    </row>
    <row r="675" ht="64" customHeight="1">
      <c r="A675" s="25" t="str">
        <v>Not Run</v>
      </c>
      <c r="B675" s="24" t="str">
        <v>GO-MAN-674</v>
      </c>
      <c r="C675" s="24" t="str">
        <v>Baseline &amp; Recovery</v>
      </c>
      <c r="D675" s="24" t="str">
        <v>During visual review log spacing, type, colors, copy and transition suggestions with a screenshot and linked test ID.</v>
      </c>
      <c r="E675" s="24" t="str">
        <v>Each suggestion is actionable in UX Backlog and remains separate from functional pass/fail unless it blocks use.</v>
      </c>
      <c r="F675" s="24" t="str">
        <v>Cosmetic observations backlog</v>
      </c>
      <c r="G675" s="24" t="str">
        <v>P2</v>
      </c>
      <c r="H675" s="24" t="str">
        <v>Relevant QA personas</v>
      </c>
      <c r="I675" s="24" t="str">
        <v>Use prepared QA records and separate accounts. Record the actual URL and build on Run Overview. Use supported desktop and mobile browsers and a controlled failed-request fixture.</v>
      </c>
      <c r="J675" s="24" t="str">
        <v>Visual</v>
      </c>
      <c r="K675" s="26"/>
      <c r="L675" s="26"/>
      <c r="M675" s="26"/>
      <c r="N675" s="29"/>
      <c r="O675" s="26"/>
      <c r="P675" s="26"/>
      <c r="Q675" s="26"/>
      <c r="R675" s="24" t="str">
        <v>Core</v>
      </c>
      <c r="S675" s="28" t="str">
        <v>New</v>
      </c>
      <c r="T675" s="28"/>
      <c r="U675" s="28" t="str">
        <v>New</v>
      </c>
    </row>
  </sheetData>
  <conditionalFormatting sqref="A2:A675">
    <cfRule type="cellIs" dxfId="5" priority="1" operator="equal">
      <formula>"Pass"</formula>
    </cfRule>
    <cfRule type="cellIs" dxfId="6" priority="2" operator="equal">
      <formula>"Fail"</formula>
    </cfRule>
    <cfRule type="cellIs" dxfId="7" priority="3" operator="equal">
      <formula>"Blocked"</formula>
    </cfRule>
    <cfRule type="cellIs" dxfId="8" priority="4" operator="equal">
      <formula>"Retest"</formula>
    </cfRule>
    <cfRule type="cellIs" dxfId="9" priority="5" operator="equal">
      <formula>"N/A"</formula>
    </cfRule>
  </conditionalFormatting>
  <conditionalFormatting sqref="G2:G675">
    <cfRule type="cellIs" dxfId="10" priority="6" operator="equal">
      <formula>"P0"</formula>
    </cfRule>
  </conditionalFormatting>
  <conditionalFormatting sqref="U2:U675">
    <cfRule type="cellIs" dxfId="11" priority="7" operator="equal">
      <formula>"New"</formula>
    </cfRule>
  </conditionalFormatting>
  <dataValidations count="3">
    <dataValidation type="list" sqref="A2:A675">
      <formula1>"Not Run,Pass,Fail,Blocked,Retest,N/A"</formula1>
    </dataValidation>
    <dataValidation type="list" sqref="J2:J675">
      <formula1>"Smoke,Regression,Extended,Visual"</formula1>
    </dataValidation>
    <dataValidation type="list" sqref="G2:G675">
      <formula1>"P0,P1,P2"</formula1>
    </dataValidation>
  </dataValidations>
  <pageMargins left="0.7" right="0.7" top="0.75" bottom="0.75" header="0.3" footer="0.3"/>
  <tableParts count="1">
    <tablePart r:id="Rcb7292bbcc994d46"/>
  </tableParts>
</worksheet>
</file>

<file path=xl/qa19/worksheets/sheet3.xml><?xml version="1.0" encoding="utf-8"?>
<worksheet xmlns="http://schemas.openxmlformats.org/spreadsheetml/2006/main" xmlns:r="http://schemas.openxmlformats.org/officeDocument/2006/relationships">
  <sheetPr>
    <tabColor rgb="FF7182A2"/>
  </sheetPr>
  <sheetViews>
    <sheetView showGridLines="0" workbookViewId="0">
      <pane xSplit="1" ySplit="5" topLeftCell="B6" activePane="bottomRight" state="frozen"/>
    </sheetView>
  </sheetViews>
  <sheetFormatPr defaultRowHeight="15"/>
  <cols>
    <col min="1" max="1" width="15" hidden="0" customWidth="1"/>
    <col min="2" max="2" width="25" hidden="0" customWidth="1"/>
    <col min="3" max="3" width="30" hidden="0" customWidth="1"/>
    <col min="4" max="4" width="20" hidden="0" customWidth="1"/>
    <col min="5" max="5" width="51" hidden="0" customWidth="1"/>
    <col min="6" max="6" width="51" hidden="0" customWidth="1"/>
    <col min="7" max="7" width="10" hidden="0" customWidth="1"/>
    <col min="8" max="8" width="20" hidden="0" customWidth="1"/>
    <col min="9" max="9" width="34" hidden="0" customWidth="1"/>
    <col min="10" max="10" width="22" hidden="0" customWidth="1"/>
    <col min="11" max="11" width="24" hidden="0" customWidth="1"/>
    <col min="12" max="12" width="53" hidden="0" customWidth="1"/>
    <col min="13" max="13" width="23" hidden="0" customWidth="1"/>
    <col min="14" max="14" width="45" hidden="0" customWidth="1"/>
  </cols>
  <sheetData>
    <row r="1">
      <c r="A1" s="18"/>
      <c r="B1" s="18"/>
      <c r="C1" s="18"/>
      <c r="D1" s="18"/>
      <c r="E1" s="18"/>
      <c r="F1" s="18"/>
      <c r="G1" s="18"/>
      <c r="H1" s="18"/>
      <c r="I1" s="18"/>
      <c r="J1" s="18"/>
      <c r="K1" s="18"/>
      <c r="L1" s="18"/>
      <c r="M1" s="18"/>
      <c r="N1" s="18"/>
    </row>
    <row r="2" ht="28" customHeight="1">
      <c r="A2" s="45" t="str">
        <v>UI, UX and motion backlog</v>
      </c>
      <c r="B2" s="45"/>
      <c r="C2" s="45"/>
      <c r="D2" s="45"/>
      <c r="E2" s="45"/>
      <c r="F2" s="45"/>
      <c r="G2" s="45"/>
      <c r="H2" s="45"/>
      <c r="I2" s="45"/>
      <c r="J2" s="45"/>
      <c r="K2" s="45"/>
      <c r="L2" s="45"/>
      <c r="M2" s="45"/>
      <c r="N2" s="45"/>
    </row>
    <row r="3">
      <c r="A3" s="18" t="str">
        <v>Capture observations during QA. Review prompts below are carried forward context, not newly verified defects.</v>
      </c>
      <c r="B3" s="18"/>
      <c r="C3" s="18"/>
      <c r="D3" s="18"/>
      <c r="E3" s="18"/>
      <c r="F3" s="18"/>
      <c r="G3" s="18"/>
      <c r="H3" s="18"/>
      <c r="I3" s="18"/>
      <c r="J3" s="18"/>
      <c r="K3" s="18"/>
      <c r="L3" s="18"/>
      <c r="M3" s="18"/>
      <c r="N3" s="18"/>
    </row>
    <row r="4">
      <c r="A4" s="18"/>
      <c r="B4" s="18"/>
      <c r="C4" s="18"/>
      <c r="D4" s="18"/>
      <c r="E4" s="18"/>
      <c r="F4" s="18"/>
      <c r="G4" s="18"/>
      <c r="H4" s="18"/>
      <c r="I4" s="18"/>
      <c r="J4" s="18"/>
      <c r="K4" s="18"/>
      <c r="L4" s="18"/>
      <c r="M4" s="18"/>
      <c r="N4" s="18"/>
    </row>
    <row r="5" ht="32" customHeight="1">
      <c r="A5" s="22" t="str">
        <v>Item ID</v>
      </c>
      <c r="B5" s="22" t="str">
        <v>Area / Page</v>
      </c>
      <c r="C5" s="22" t="str">
        <v>Related Test / Source</v>
      </c>
      <c r="D5" s="22" t="str">
        <v>Type</v>
      </c>
      <c r="E5" s="22" t="str">
        <v>Observation</v>
      </c>
      <c r="F5" s="22" t="str">
        <v>Suggested change / decision</v>
      </c>
      <c r="G5" s="22" t="str">
        <v>Priority</v>
      </c>
      <c r="H5" s="22" t="str">
        <v>Status</v>
      </c>
      <c r="I5" s="22" t="str">
        <v>Evidence Link</v>
      </c>
      <c r="J5" s="22" t="str">
        <v>Owner</v>
      </c>
      <c r="K5" s="22" t="str">
        <v>Target round</v>
      </c>
      <c r="L5" s="22" t="str">
        <v>Acceptance check</v>
      </c>
      <c r="M5" s="22" t="str">
        <v>Reviewer decision</v>
      </c>
      <c r="N5" s="22" t="str">
        <v>Notes</v>
      </c>
    </row>
    <row r="6" ht="87" customHeight="1">
      <c r="A6" s="26" t="str">
        <v>UX-001</v>
      </c>
      <c r="B6" s="26" t="str">
        <v>Profile / Passport</v>
      </c>
      <c r="C6" s="26" t="str">
        <v>Known Issues #44</v>
      </c>
      <c r="D6" s="26" t="str">
        <v>UX</v>
      </c>
      <c r="E6" s="26" t="str">
        <v>Prior note describes overlap between profile and Passport.</v>
      </c>
      <c r="F6" s="26" t="str">
        <v>Review purpose and navigation after the functional pass.</v>
      </c>
      <c r="G6" s="26" t="str">
        <v>P1</v>
      </c>
      <c r="H6" s="26" t="str">
        <v>Review prompt</v>
      </c>
      <c r="I6" s="26"/>
      <c r="J6" s="26"/>
      <c r="K6" s="26" t="str">
        <v>After functional QA</v>
      </c>
      <c r="L6" s="26" t="str">
        <v>Distinct editing, learning and public-view destinations are understandable.</v>
      </c>
      <c r="M6" s="26" t="str">
        <v>Not reviewed</v>
      </c>
      <c r="N6" s="26" t="str">
        <v>Confirm current behavior before treating this as a defect.</v>
      </c>
    </row>
    <row r="7" ht="87" customHeight="1">
      <c r="A7" s="26" t="str">
        <v>UX-002</v>
      </c>
      <c r="B7" s="26" t="str">
        <v>Application rejection</v>
      </c>
      <c r="C7" s="26" t="str">
        <v>Known Issues #46</v>
      </c>
      <c r="D7" s="26" t="str">
        <v>Product decision</v>
      </c>
      <c r="E7" s="26" t="str">
        <v>Prior request asks for rejection reasons and creator-controlled reapplication.</v>
      </c>
      <c r="F7" s="26" t="str">
        <v>Decide policy and message requirements before implementation.</v>
      </c>
      <c r="G7" s="26" t="str">
        <v>P1</v>
      </c>
      <c r="H7" s="26" t="str">
        <v>Review prompt</v>
      </c>
      <c r="I7" s="26"/>
      <c r="J7" s="26"/>
      <c r="K7" s="26" t="str">
        <v>Future scope</v>
      </c>
      <c r="L7" s="26" t="str">
        <v>Approved behavior for reason, retry policy and status-change notice is documented.</v>
      </c>
      <c r="M7" s="26" t="str">
        <v>Not reviewed</v>
      </c>
      <c r="N7" s="26" t="str">
        <v>Current QA tests existing rejection only.</v>
      </c>
    </row>
    <row r="8" ht="87" customHeight="1">
      <c r="A8" s="26" t="str">
        <v>UX-003</v>
      </c>
      <c r="B8" s="26" t="str">
        <v>Avatar settings</v>
      </c>
      <c r="C8" s="26" t="str">
        <v>Known Issues #5</v>
      </c>
      <c r="D8" s="26" t="str">
        <v>Product decision</v>
      </c>
      <c r="E8" s="26" t="str">
        <v>Generated/provider avatars exist. A prior request asks for custom upload/replacement.</v>
      </c>
      <c r="F8" s="26" t="str">
        <v>Decide supported avatar controls and storage requirements.</v>
      </c>
      <c r="G8" s="26" t="str">
        <v>P2</v>
      </c>
      <c r="H8" s="26" t="str">
        <v>Review prompt</v>
      </c>
      <c r="I8" s="26"/>
      <c r="J8" s="26"/>
      <c r="K8" s="26" t="str">
        <v>Future scope</v>
      </c>
      <c r="L8" s="26" t="str">
        <v>Approved upload or generation behavior and limits are defined.</v>
      </c>
      <c r="M8" s="26" t="str">
        <v>Not reviewed</v>
      </c>
      <c r="N8" s="26"/>
    </row>
    <row r="9" ht="87" customHeight="1">
      <c r="A9" s="26" t="str">
        <v>UX-004</v>
      </c>
      <c r="B9" s="26" t="str">
        <v>Motion baseline</v>
      </c>
      <c r="C9" s="26" t="str">
        <v>GO-MAN-673</v>
      </c>
      <c r="D9" s="26" t="str">
        <v>Animation</v>
      </c>
      <c r="E9" s="26" t="str">
        <v>Capture existing motion before new animation work.</v>
      </c>
      <c r="F9" s="26" t="str">
        <v>Review baseline recordings and reduced-motion behavior.</v>
      </c>
      <c r="G9" s="26" t="str">
        <v>P2</v>
      </c>
      <c r="H9" s="26" t="str">
        <v>Review prompt</v>
      </c>
      <c r="I9" s="26"/>
      <c r="J9" s="26"/>
      <c r="K9" s="26" t="str">
        <v>After functional QA</v>
      </c>
      <c r="L9" s="26" t="str">
        <v>Proposed motion has an equivalent reduced-motion state.</v>
      </c>
      <c r="M9" s="26" t="str">
        <v>Not reviewed</v>
      </c>
      <c r="N9" s="26" t="str">
        <v>This is a review task, not an observed animation defect.</v>
      </c>
    </row>
    <row r="10" ht="87" customHeight="1">
      <c r="A10" s="26"/>
      <c r="B10" s="26"/>
      <c r="C10" s="26"/>
      <c r="D10" s="26"/>
      <c r="E10" s="26"/>
      <c r="F10" s="26"/>
      <c r="G10" s="26"/>
      <c r="H10" s="26"/>
      <c r="I10" s="26"/>
      <c r="J10" s="26"/>
      <c r="K10" s="26"/>
      <c r="L10" s="26"/>
      <c r="M10" s="26"/>
      <c r="N10" s="26"/>
    </row>
    <row r="11" ht="87" customHeight="1">
      <c r="A11" s="26"/>
      <c r="B11" s="26"/>
      <c r="C11" s="26"/>
      <c r="D11" s="26"/>
      <c r="E11" s="26"/>
      <c r="F11" s="26"/>
      <c r="G11" s="26"/>
      <c r="H11" s="26"/>
      <c r="I11" s="26"/>
      <c r="J11" s="26"/>
      <c r="K11" s="26"/>
      <c r="L11" s="26"/>
      <c r="M11" s="26"/>
      <c r="N11" s="26"/>
    </row>
    <row r="12" ht="87" customHeight="1">
      <c r="A12" s="26"/>
      <c r="B12" s="26"/>
      <c r="C12" s="26"/>
      <c r="D12" s="26"/>
      <c r="E12" s="26"/>
      <c r="F12" s="26"/>
      <c r="G12" s="26"/>
      <c r="H12" s="26"/>
      <c r="I12" s="26"/>
      <c r="J12" s="26"/>
      <c r="K12" s="26"/>
      <c r="L12" s="26"/>
      <c r="M12" s="26"/>
      <c r="N12" s="26"/>
    </row>
    <row r="13" ht="87" customHeight="1">
      <c r="A13" s="26"/>
      <c r="B13" s="26"/>
      <c r="C13" s="26"/>
      <c r="D13" s="26"/>
      <c r="E13" s="26"/>
      <c r="F13" s="26"/>
      <c r="G13" s="26"/>
      <c r="H13" s="26"/>
      <c r="I13" s="26"/>
      <c r="J13" s="26"/>
      <c r="K13" s="26"/>
      <c r="L13" s="26"/>
      <c r="M13" s="26"/>
      <c r="N13" s="26"/>
    </row>
    <row r="14" ht="87" customHeight="1">
      <c r="A14" s="26"/>
      <c r="B14" s="26"/>
      <c r="C14" s="26"/>
      <c r="D14" s="26"/>
      <c r="E14" s="26"/>
      <c r="F14" s="26"/>
      <c r="G14" s="26"/>
      <c r="H14" s="26"/>
      <c r="I14" s="26"/>
      <c r="J14" s="26"/>
      <c r="K14" s="26"/>
      <c r="L14" s="26"/>
      <c r="M14" s="26"/>
      <c r="N14" s="26"/>
    </row>
    <row r="15" ht="87" customHeight="1">
      <c r="A15" s="26"/>
      <c r="B15" s="26"/>
      <c r="C15" s="26"/>
      <c r="D15" s="26"/>
      <c r="E15" s="26"/>
      <c r="F15" s="26"/>
      <c r="G15" s="26"/>
      <c r="H15" s="26"/>
      <c r="I15" s="26"/>
      <c r="J15" s="26"/>
      <c r="K15" s="26"/>
      <c r="L15" s="26"/>
      <c r="M15" s="26"/>
      <c r="N15" s="26"/>
    </row>
    <row r="16" ht="87" customHeight="1">
      <c r="A16" s="26"/>
      <c r="B16" s="26"/>
      <c r="C16" s="26"/>
      <c r="D16" s="26"/>
      <c r="E16" s="26"/>
      <c r="F16" s="26"/>
      <c r="G16" s="26"/>
      <c r="H16" s="26"/>
      <c r="I16" s="26"/>
      <c r="J16" s="26"/>
      <c r="K16" s="26"/>
      <c r="L16" s="26"/>
      <c r="M16" s="26"/>
      <c r="N16" s="26"/>
    </row>
    <row r="17" ht="87" customHeight="1">
      <c r="A17" s="26"/>
      <c r="B17" s="26"/>
      <c r="C17" s="26"/>
      <c r="D17" s="26"/>
      <c r="E17" s="26"/>
      <c r="F17" s="26"/>
      <c r="G17" s="26"/>
      <c r="H17" s="26"/>
      <c r="I17" s="26"/>
      <c r="J17" s="26"/>
      <c r="K17" s="26"/>
      <c r="L17" s="26"/>
      <c r="M17" s="26"/>
      <c r="N17" s="26"/>
    </row>
    <row r="18" ht="87" customHeight="1">
      <c r="A18" s="26"/>
      <c r="B18" s="26"/>
      <c r="C18" s="26"/>
      <c r="D18" s="26"/>
      <c r="E18" s="26"/>
      <c r="F18" s="26"/>
      <c r="G18" s="26"/>
      <c r="H18" s="26"/>
      <c r="I18" s="26"/>
      <c r="J18" s="26"/>
      <c r="K18" s="26"/>
      <c r="L18" s="26"/>
      <c r="M18" s="26"/>
      <c r="N18" s="26"/>
    </row>
    <row r="19" ht="87" customHeight="1">
      <c r="A19" s="26"/>
      <c r="B19" s="26"/>
      <c r="C19" s="26"/>
      <c r="D19" s="26"/>
      <c r="E19" s="26"/>
      <c r="F19" s="26"/>
      <c r="G19" s="26"/>
      <c r="H19" s="26"/>
      <c r="I19" s="26"/>
      <c r="J19" s="26"/>
      <c r="K19" s="26"/>
      <c r="L19" s="26"/>
      <c r="M19" s="26"/>
      <c r="N19" s="26"/>
    </row>
    <row r="20" ht="87" customHeight="1">
      <c r="A20" s="26"/>
      <c r="B20" s="26"/>
      <c r="C20" s="26"/>
      <c r="D20" s="26"/>
      <c r="E20" s="26"/>
      <c r="F20" s="26"/>
      <c r="G20" s="26"/>
      <c r="H20" s="26"/>
      <c r="I20" s="26"/>
      <c r="J20" s="26"/>
      <c r="K20" s="26"/>
      <c r="L20" s="26"/>
      <c r="M20" s="26"/>
      <c r="N20" s="26"/>
    </row>
    <row r="21" ht="87" customHeight="1">
      <c r="A21" s="26"/>
      <c r="B21" s="26"/>
      <c r="C21" s="26"/>
      <c r="D21" s="26"/>
      <c r="E21" s="26"/>
      <c r="F21" s="26"/>
      <c r="G21" s="26"/>
      <c r="H21" s="26"/>
      <c r="I21" s="26"/>
      <c r="J21" s="26"/>
      <c r="K21" s="26"/>
      <c r="L21" s="26"/>
      <c r="M21" s="26"/>
      <c r="N21" s="26"/>
    </row>
    <row r="22" ht="87" customHeight="1">
      <c r="A22" s="26"/>
      <c r="B22" s="26"/>
      <c r="C22" s="26"/>
      <c r="D22" s="26"/>
      <c r="E22" s="26"/>
      <c r="F22" s="26"/>
      <c r="G22" s="26"/>
      <c r="H22" s="26"/>
      <c r="I22" s="26"/>
      <c r="J22" s="26"/>
      <c r="K22" s="26"/>
      <c r="L22" s="26"/>
      <c r="M22" s="26"/>
      <c r="N22" s="26"/>
    </row>
    <row r="23" ht="87" customHeight="1">
      <c r="A23" s="26"/>
      <c r="B23" s="26"/>
      <c r="C23" s="26"/>
      <c r="D23" s="26"/>
      <c r="E23" s="26"/>
      <c r="F23" s="26"/>
      <c r="G23" s="26"/>
      <c r="H23" s="26"/>
      <c r="I23" s="26"/>
      <c r="J23" s="26"/>
      <c r="K23" s="26"/>
      <c r="L23" s="26"/>
      <c r="M23" s="26"/>
      <c r="N23" s="26"/>
    </row>
    <row r="24" ht="87" customHeight="1">
      <c r="A24" s="26"/>
      <c r="B24" s="26"/>
      <c r="C24" s="26"/>
      <c r="D24" s="26"/>
      <c r="E24" s="26"/>
      <c r="F24" s="26"/>
      <c r="G24" s="26"/>
      <c r="H24" s="26"/>
      <c r="I24" s="26"/>
      <c r="J24" s="26"/>
      <c r="K24" s="26"/>
      <c r="L24" s="26"/>
      <c r="M24" s="26"/>
      <c r="N24" s="26"/>
    </row>
    <row r="25" ht="87" customHeight="1">
      <c r="A25" s="26"/>
      <c r="B25" s="26"/>
      <c r="C25" s="26"/>
      <c r="D25" s="26"/>
      <c r="E25" s="26"/>
      <c r="F25" s="26"/>
      <c r="G25" s="26"/>
      <c r="H25" s="26"/>
      <c r="I25" s="26"/>
      <c r="J25" s="26"/>
      <c r="K25" s="26"/>
      <c r="L25" s="26"/>
      <c r="M25" s="26"/>
      <c r="N25" s="26"/>
    </row>
    <row r="26" ht="87" customHeight="1">
      <c r="A26" s="26"/>
      <c r="B26" s="26"/>
      <c r="C26" s="26"/>
      <c r="D26" s="26"/>
      <c r="E26" s="26"/>
      <c r="F26" s="26"/>
      <c r="G26" s="26"/>
      <c r="H26" s="26"/>
      <c r="I26" s="26"/>
      <c r="J26" s="26"/>
      <c r="K26" s="26"/>
      <c r="L26" s="26"/>
      <c r="M26" s="26"/>
      <c r="N26" s="26"/>
    </row>
    <row r="27" ht="87" customHeight="1">
      <c r="A27" s="26"/>
      <c r="B27" s="26"/>
      <c r="C27" s="26"/>
      <c r="D27" s="26"/>
      <c r="E27" s="26"/>
      <c r="F27" s="26"/>
      <c r="G27" s="26"/>
      <c r="H27" s="26"/>
      <c r="I27" s="26"/>
      <c r="J27" s="26"/>
      <c r="K27" s="26"/>
      <c r="L27" s="26"/>
      <c r="M27" s="26"/>
      <c r="N27" s="26"/>
    </row>
    <row r="28" ht="87" customHeight="1">
      <c r="A28" s="26"/>
      <c r="B28" s="26"/>
      <c r="C28" s="26"/>
      <c r="D28" s="26"/>
      <c r="E28" s="26"/>
      <c r="F28" s="26"/>
      <c r="G28" s="26"/>
      <c r="H28" s="26"/>
      <c r="I28" s="26"/>
      <c r="J28" s="26"/>
      <c r="K28" s="26"/>
      <c r="L28" s="26"/>
      <c r="M28" s="26"/>
      <c r="N28" s="26"/>
    </row>
    <row r="29" ht="87" customHeight="1">
      <c r="A29" s="26"/>
      <c r="B29" s="26"/>
      <c r="C29" s="26"/>
      <c r="D29" s="26"/>
      <c r="E29" s="26"/>
      <c r="F29" s="26"/>
      <c r="G29" s="26"/>
      <c r="H29" s="26"/>
      <c r="I29" s="26"/>
      <c r="J29" s="26"/>
      <c r="K29" s="26"/>
      <c r="L29" s="26"/>
      <c r="M29" s="26"/>
      <c r="N29" s="26"/>
    </row>
    <row r="30" ht="87" customHeight="1">
      <c r="A30" s="26"/>
      <c r="B30" s="26"/>
      <c r="C30" s="26"/>
      <c r="D30" s="26"/>
      <c r="E30" s="26"/>
      <c r="F30" s="26"/>
      <c r="G30" s="26"/>
      <c r="H30" s="26"/>
      <c r="I30" s="26"/>
      <c r="J30" s="26"/>
      <c r="K30" s="26"/>
      <c r="L30" s="26"/>
      <c r="M30" s="26"/>
      <c r="N30" s="26"/>
    </row>
    <row r="31" ht="87" customHeight="1">
      <c r="A31" s="26"/>
      <c r="B31" s="26"/>
      <c r="C31" s="26"/>
      <c r="D31" s="26"/>
      <c r="E31" s="26"/>
      <c r="F31" s="26"/>
      <c r="G31" s="26"/>
      <c r="H31" s="26"/>
      <c r="I31" s="26"/>
      <c r="J31" s="26"/>
      <c r="K31" s="26"/>
      <c r="L31" s="26"/>
      <c r="M31" s="26"/>
      <c r="N31" s="26"/>
    </row>
    <row r="32" ht="87" customHeight="1">
      <c r="A32" s="26"/>
      <c r="B32" s="26"/>
      <c r="C32" s="26"/>
      <c r="D32" s="26"/>
      <c r="E32" s="26"/>
      <c r="F32" s="26"/>
      <c r="G32" s="26"/>
      <c r="H32" s="26"/>
      <c r="I32" s="26"/>
      <c r="J32" s="26"/>
      <c r="K32" s="26"/>
      <c r="L32" s="26"/>
      <c r="M32" s="26"/>
      <c r="N32" s="26"/>
    </row>
    <row r="33" ht="87" customHeight="1">
      <c r="A33" s="26"/>
      <c r="B33" s="26"/>
      <c r="C33" s="26"/>
      <c r="D33" s="26"/>
      <c r="E33" s="26"/>
      <c r="F33" s="26"/>
      <c r="G33" s="26"/>
      <c r="H33" s="26"/>
      <c r="I33" s="26"/>
      <c r="J33" s="26"/>
      <c r="K33" s="26"/>
      <c r="L33" s="26"/>
      <c r="M33" s="26"/>
      <c r="N33" s="26"/>
    </row>
    <row r="34" ht="87" customHeight="1">
      <c r="A34" s="26"/>
      <c r="B34" s="26"/>
      <c r="C34" s="26"/>
      <c r="D34" s="26"/>
      <c r="E34" s="26"/>
      <c r="F34" s="26"/>
      <c r="G34" s="26"/>
      <c r="H34" s="26"/>
      <c r="I34" s="26"/>
      <c r="J34" s="26"/>
      <c r="K34" s="26"/>
      <c r="L34" s="26"/>
      <c r="M34" s="26"/>
      <c r="N34" s="26"/>
    </row>
    <row r="35" ht="87" customHeight="1">
      <c r="A35" s="26"/>
      <c r="B35" s="26"/>
      <c r="C35" s="26"/>
      <c r="D35" s="26"/>
      <c r="E35" s="26"/>
      <c r="F35" s="26"/>
      <c r="G35" s="26"/>
      <c r="H35" s="26"/>
      <c r="I35" s="26"/>
      <c r="J35" s="26"/>
      <c r="K35" s="26"/>
      <c r="L35" s="26"/>
      <c r="M35" s="26"/>
      <c r="N35" s="26"/>
    </row>
    <row r="36" ht="87" customHeight="1">
      <c r="A36" s="26"/>
      <c r="B36" s="26"/>
      <c r="C36" s="26"/>
      <c r="D36" s="26"/>
      <c r="E36" s="26"/>
      <c r="F36" s="26"/>
      <c r="G36" s="26"/>
      <c r="H36" s="26"/>
      <c r="I36" s="26"/>
      <c r="J36" s="26"/>
      <c r="K36" s="26"/>
      <c r="L36" s="26"/>
      <c r="M36" s="26"/>
      <c r="N36" s="26"/>
    </row>
    <row r="37" ht="87" customHeight="1">
      <c r="A37" s="26"/>
      <c r="B37" s="26"/>
      <c r="C37" s="26"/>
      <c r="D37" s="26"/>
      <c r="E37" s="26"/>
      <c r="F37" s="26"/>
      <c r="G37" s="26"/>
      <c r="H37" s="26"/>
      <c r="I37" s="26"/>
      <c r="J37" s="26"/>
      <c r="K37" s="26"/>
      <c r="L37" s="26"/>
      <c r="M37" s="26"/>
      <c r="N37" s="26"/>
    </row>
    <row r="38" ht="87" customHeight="1">
      <c r="A38" s="26"/>
      <c r="B38" s="26"/>
      <c r="C38" s="26"/>
      <c r="D38" s="26"/>
      <c r="E38" s="26"/>
      <c r="F38" s="26"/>
      <c r="G38" s="26"/>
      <c r="H38" s="26"/>
      <c r="I38" s="26"/>
      <c r="J38" s="26"/>
      <c r="K38" s="26"/>
      <c r="L38" s="26"/>
      <c r="M38" s="26"/>
      <c r="N38" s="26"/>
    </row>
    <row r="39" ht="87" customHeight="1">
      <c r="A39" s="26"/>
      <c r="B39" s="26"/>
      <c r="C39" s="26"/>
      <c r="D39" s="26"/>
      <c r="E39" s="26"/>
      <c r="F39" s="26"/>
      <c r="G39" s="26"/>
      <c r="H39" s="26"/>
      <c r="I39" s="26"/>
      <c r="J39" s="26"/>
      <c r="K39" s="26"/>
      <c r="L39" s="26"/>
      <c r="M39" s="26"/>
      <c r="N39" s="26"/>
    </row>
    <row r="40">
      <c r="A40" s="18"/>
      <c r="B40" s="18"/>
      <c r="C40" s="18"/>
      <c r="D40" s="18"/>
      <c r="E40" s="18"/>
      <c r="F40" s="18"/>
      <c r="G40" s="18"/>
      <c r="H40" s="18"/>
      <c r="I40" s="18"/>
      <c r="J40" s="18"/>
      <c r="K40" s="18"/>
      <c r="L40" s="18"/>
      <c r="M40" s="18"/>
      <c r="N40" s="18"/>
    </row>
    <row r="41">
      <c r="A41" s="18"/>
      <c r="B41" s="18"/>
      <c r="C41" s="18"/>
      <c r="D41" s="18"/>
      <c r="E41" s="18"/>
      <c r="F41" s="18"/>
      <c r="G41" s="18"/>
      <c r="H41" s="18"/>
      <c r="I41" s="18"/>
      <c r="J41" s="18"/>
      <c r="K41" s="18"/>
      <c r="L41" s="18"/>
      <c r="M41" s="18"/>
      <c r="N41" s="18"/>
    </row>
    <row r="42">
      <c r="A42" s="18"/>
      <c r="B42" s="18"/>
      <c r="C42" s="18"/>
      <c r="D42" s="18"/>
      <c r="E42" s="18"/>
      <c r="F42" s="18"/>
      <c r="G42" s="18"/>
      <c r="H42" s="18"/>
      <c r="I42" s="18"/>
      <c r="J42" s="18"/>
      <c r="K42" s="18"/>
      <c r="L42" s="18"/>
      <c r="M42" s="18"/>
      <c r="N42" s="18"/>
    </row>
    <row r="43">
      <c r="A43" s="18"/>
      <c r="B43" s="18"/>
      <c r="C43" s="18"/>
      <c r="D43" s="18"/>
      <c r="E43" s="18"/>
      <c r="F43" s="18"/>
      <c r="G43" s="18"/>
      <c r="H43" s="18"/>
      <c r="I43" s="18"/>
      <c r="J43" s="18"/>
      <c r="K43" s="18"/>
      <c r="L43" s="18"/>
      <c r="M43" s="18"/>
      <c r="N43" s="18"/>
    </row>
    <row r="44">
      <c r="A44" s="18"/>
      <c r="B44" s="18"/>
      <c r="C44" s="18"/>
      <c r="D44" s="18"/>
      <c r="E44" s="18"/>
      <c r="F44" s="18"/>
      <c r="G44" s="18"/>
      <c r="H44" s="18"/>
      <c r="I44" s="18"/>
      <c r="J44" s="18"/>
      <c r="K44" s="18"/>
      <c r="L44" s="18"/>
      <c r="M44" s="18"/>
      <c r="N44" s="18"/>
    </row>
    <row r="45">
      <c r="A45" s="18"/>
      <c r="B45" s="18"/>
      <c r="C45" s="18"/>
      <c r="D45" s="18"/>
      <c r="E45" s="18"/>
      <c r="F45" s="18"/>
      <c r="G45" s="18"/>
      <c r="H45" s="18"/>
      <c r="I45" s="18"/>
      <c r="J45" s="18"/>
      <c r="K45" s="18"/>
      <c r="L45" s="18"/>
      <c r="M45" s="18"/>
      <c r="N45" s="18"/>
    </row>
    <row r="46">
      <c r="A46" s="18"/>
      <c r="B46" s="18"/>
      <c r="C46" s="18"/>
      <c r="D46" s="18"/>
      <c r="E46" s="18"/>
      <c r="F46" s="18"/>
      <c r="G46" s="18"/>
      <c r="H46" s="18"/>
      <c r="I46" s="18"/>
      <c r="J46" s="18"/>
      <c r="K46" s="18"/>
      <c r="L46" s="18"/>
      <c r="M46" s="18"/>
      <c r="N46" s="18"/>
    </row>
  </sheetData>
  <dataValidations count="4">
    <dataValidation type="list" sqref="D6:D39">
      <formula1>"Cosmetic,UX,Copy,Animation,Accessibility,Product decision"</formula1>
    </dataValidation>
    <dataValidation type="list" sqref="G6:G39">
      <formula1>"P0,P1,P2"</formula1>
    </dataValidation>
    <dataValidation type="list" sqref="H6:H39">
      <formula1>"Review prompt,Observed,Triaged,Planned,In progress,Done,Deferred"</formula1>
    </dataValidation>
    <dataValidation type="list" sqref="M6:M39">
      <formula1>"Not reviewed,Accepted,Needs detail,Deferred"</formula1>
    </dataValidation>
  </dataValidations>
  <pageMargins left="0.7" right="0.7" top="0.75" bottom="0.75" header="0.3" footer="0.3"/>
  <tableParts count="1">
    <tablePart r:id="Rb152c881673f491f"/>
  </tableParts>
</worksheet>
</file>

<file path=xl/tables/table1.xml><?xml version="1.0" encoding="utf-8"?>
<table xmlns="http://schemas.openxmlformats.org/spreadsheetml/2006/main" ref="A3:F8" displayName="Website_Test_Suite_V1.6_Overall_Status_Breakdown" name="Website_Test_Suite_V1.6_Overall_Status_Breakdown" id="1">
  <tableColumns count="6">
    <tableColumn name="Status" id="1"/>
    <tableColumn name="Pass" id="2"/>
    <tableColumn name="Blocked" id="3"/>
    <tableColumn name="Fail" id="4"/>
    <tableColumn name="Not Run" id="5"/>
    <tableColumn name="Retest" id="6"/>
  </tableColumns>
  <tableStyleInfo name="Chart1 Website Test Suite V1.6 -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galacticomnivore.com/login?redirect=/billing"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galacticomnivore.com/login?redirect=/billing"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galacticomnivore.com/project/create"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0"/>
    <col customWidth="1" min="2" max="2" width="11.13"/>
    <col customWidth="1" min="3" max="3" width="22.5"/>
    <col customWidth="1" min="4" max="4" width="33.38"/>
    <col customWidth="1" min="5" max="5" width="33.13"/>
    <col customWidth="1" min="6" max="6" width="15.38"/>
    <col customWidth="1" min="7" max="7" width="10.0"/>
    <col customWidth="1" min="8" max="8" width="18.0"/>
    <col customWidth="1" min="9" max="9" width="34.75"/>
    <col customWidth="1" min="11" max="11" width="33.5"/>
    <col customWidth="1" min="12" max="12" width="23.13"/>
    <col customWidth="1" min="13" max="13" width="11.38"/>
    <col customWidth="1" min="14" max="14" width="8.0"/>
  </cols>
  <sheetData>
    <row r="1">
      <c r="A1" s="1" t="s">
        <v>0</v>
      </c>
      <c r="B1" s="1" t="s">
        <v>1</v>
      </c>
      <c r="C1" s="1" t="s">
        <v>2</v>
      </c>
      <c r="D1" s="1" t="s">
        <v>3</v>
      </c>
      <c r="E1" s="1" t="s">
        <v>4</v>
      </c>
      <c r="F1" s="1" t="s">
        <v>5</v>
      </c>
      <c r="G1" s="1" t="s">
        <v>6</v>
      </c>
      <c r="H1" s="1" t="s">
        <v>7</v>
      </c>
      <c r="I1" s="1" t="s">
        <v>8</v>
      </c>
      <c r="J1" s="2"/>
      <c r="K1" s="1" t="s">
        <v>9</v>
      </c>
      <c r="L1" s="1" t="s">
        <v>10</v>
      </c>
      <c r="M1" s="1" t="s">
        <v>11</v>
      </c>
      <c r="N1" s="1" t="s">
        <v>12</v>
      </c>
      <c r="O1" s="2"/>
      <c r="P1" s="2"/>
      <c r="Q1" s="2"/>
      <c r="R1" s="2"/>
      <c r="S1" s="2"/>
      <c r="T1" s="2"/>
      <c r="U1" s="2"/>
      <c r="V1" s="2"/>
      <c r="W1" s="2"/>
      <c r="X1" s="2"/>
      <c r="Y1" s="2"/>
      <c r="Z1" s="2"/>
    </row>
    <row r="2">
      <c r="A2" s="1" t="s">
        <v>13</v>
      </c>
      <c r="B2" s="1" t="s">
        <v>14</v>
      </c>
      <c r="C2" s="1" t="s">
        <v>15</v>
      </c>
      <c r="D2" s="1" t="s">
        <v>17</v>
      </c>
      <c r="E2" s="1" t="s">
        <v>18</v>
      </c>
      <c r="F2" s="1" t="s">
        <v>19</v>
      </c>
      <c r="G2" s="1" t="s">
        <v>21</v>
      </c>
      <c r="H2" s="1" t="s">
        <v>22</v>
      </c>
      <c r="I2" s="1" t="s">
        <v>23</v>
      </c>
      <c r="J2" s="2"/>
      <c r="K2" s="1"/>
      <c r="L2" s="1"/>
      <c r="M2" s="2"/>
      <c r="N2" s="2"/>
      <c r="O2" s="2"/>
      <c r="P2" s="2"/>
      <c r="Q2" s="2"/>
      <c r="R2" s="2"/>
      <c r="S2" s="2"/>
      <c r="T2" s="2"/>
      <c r="U2" s="2"/>
      <c r="V2" s="2"/>
      <c r="W2" s="2"/>
      <c r="X2" s="2"/>
      <c r="Y2" s="2"/>
      <c r="Z2" s="2"/>
    </row>
    <row r="3">
      <c r="A3" s="1" t="s">
        <v>13</v>
      </c>
      <c r="B3" s="1" t="s">
        <v>26</v>
      </c>
      <c r="C3" s="1" t="s">
        <v>15</v>
      </c>
      <c r="D3" s="1" t="s">
        <v>27</v>
      </c>
      <c r="E3" s="1" t="s">
        <v>28</v>
      </c>
      <c r="F3" s="1" t="s">
        <v>29</v>
      </c>
      <c r="G3" s="1" t="s">
        <v>21</v>
      </c>
      <c r="H3" s="1" t="s">
        <v>22</v>
      </c>
      <c r="I3" s="1" t="s">
        <v>30</v>
      </c>
      <c r="J3" s="2"/>
      <c r="K3" s="2"/>
      <c r="L3" s="2"/>
      <c r="M3" s="2"/>
      <c r="N3" s="2"/>
      <c r="O3" s="2"/>
      <c r="P3" s="2"/>
      <c r="Q3" s="2"/>
      <c r="R3" s="2"/>
      <c r="S3" s="2"/>
      <c r="T3" s="2"/>
      <c r="U3" s="2"/>
      <c r="V3" s="2"/>
      <c r="W3" s="2"/>
      <c r="X3" s="2"/>
      <c r="Y3" s="2"/>
      <c r="Z3" s="2"/>
    </row>
    <row r="4">
      <c r="A4" s="1" t="s">
        <v>13</v>
      </c>
      <c r="B4" s="1" t="s">
        <v>31</v>
      </c>
      <c r="C4" s="1" t="s">
        <v>15</v>
      </c>
      <c r="D4" s="1" t="s">
        <v>33</v>
      </c>
      <c r="E4" s="1" t="s">
        <v>34</v>
      </c>
      <c r="F4" s="1" t="s">
        <v>32</v>
      </c>
      <c r="G4" s="1" t="s">
        <v>21</v>
      </c>
      <c r="H4" s="1" t="s">
        <v>22</v>
      </c>
      <c r="I4" s="1" t="s">
        <v>35</v>
      </c>
      <c r="J4" s="2"/>
      <c r="K4" s="2"/>
      <c r="L4" s="2"/>
      <c r="M4" s="2"/>
      <c r="N4" s="2"/>
      <c r="O4" s="2"/>
      <c r="P4" s="2"/>
      <c r="Q4" s="2"/>
      <c r="R4" s="2"/>
      <c r="S4" s="2"/>
      <c r="T4" s="2"/>
      <c r="U4" s="2"/>
      <c r="V4" s="2"/>
      <c r="W4" s="2"/>
      <c r="X4" s="2"/>
      <c r="Y4" s="2"/>
      <c r="Z4" s="2"/>
    </row>
    <row r="5">
      <c r="A5" s="1" t="s">
        <v>13</v>
      </c>
      <c r="B5" s="1" t="s">
        <v>36</v>
      </c>
      <c r="C5" s="1" t="s">
        <v>15</v>
      </c>
      <c r="D5" s="1" t="s">
        <v>39</v>
      </c>
      <c r="E5" s="1" t="s">
        <v>40</v>
      </c>
      <c r="F5" s="1" t="s">
        <v>37</v>
      </c>
      <c r="G5" s="1" t="s">
        <v>21</v>
      </c>
      <c r="H5" s="1" t="s">
        <v>22</v>
      </c>
      <c r="I5" s="1" t="s">
        <v>38</v>
      </c>
      <c r="J5" s="2"/>
      <c r="K5" s="2"/>
      <c r="L5" s="2"/>
      <c r="M5" s="2"/>
      <c r="N5" s="2"/>
      <c r="O5" s="2"/>
      <c r="P5" s="2"/>
      <c r="Q5" s="2"/>
      <c r="R5" s="2"/>
      <c r="S5" s="2"/>
      <c r="T5" s="2"/>
      <c r="U5" s="2"/>
      <c r="V5" s="2"/>
      <c r="W5" s="2"/>
      <c r="X5" s="2"/>
      <c r="Y5" s="2"/>
      <c r="Z5" s="2"/>
    </row>
    <row r="6">
      <c r="A6" s="1" t="s">
        <v>13</v>
      </c>
      <c r="B6" s="1" t="s">
        <v>41</v>
      </c>
      <c r="C6" s="1" t="s">
        <v>15</v>
      </c>
      <c r="D6" s="1" t="s">
        <v>44</v>
      </c>
      <c r="E6" s="1" t="s">
        <v>46</v>
      </c>
      <c r="F6" s="1" t="s">
        <v>42</v>
      </c>
      <c r="G6" s="1" t="s">
        <v>43</v>
      </c>
      <c r="H6" s="1" t="s">
        <v>22</v>
      </c>
      <c r="I6" s="1" t="s">
        <v>45</v>
      </c>
      <c r="J6" s="2"/>
      <c r="K6" s="2"/>
      <c r="L6" s="2"/>
      <c r="M6" s="2"/>
      <c r="N6" s="2"/>
      <c r="O6" s="2"/>
      <c r="P6" s="2"/>
      <c r="Q6" s="2"/>
      <c r="R6" s="2"/>
      <c r="S6" s="2"/>
      <c r="T6" s="2"/>
      <c r="U6" s="2"/>
      <c r="V6" s="2"/>
      <c r="W6" s="2"/>
      <c r="X6" s="2"/>
      <c r="Y6" s="2"/>
      <c r="Z6" s="2"/>
    </row>
    <row r="7">
      <c r="A7" s="1" t="s">
        <v>13</v>
      </c>
      <c r="B7" s="1" t="s">
        <v>47</v>
      </c>
      <c r="C7" s="1" t="s">
        <v>15</v>
      </c>
      <c r="D7" s="1" t="s">
        <v>49</v>
      </c>
      <c r="E7" s="1" t="s">
        <v>50</v>
      </c>
      <c r="F7" s="1" t="s">
        <v>48</v>
      </c>
      <c r="G7" s="1" t="s">
        <v>43</v>
      </c>
      <c r="H7" s="1" t="s">
        <v>22</v>
      </c>
      <c r="I7" s="1" t="s">
        <v>38</v>
      </c>
      <c r="J7" s="2"/>
      <c r="K7" s="2"/>
      <c r="L7" s="2"/>
      <c r="M7" s="2"/>
      <c r="N7" s="2"/>
      <c r="O7" s="2"/>
      <c r="P7" s="2"/>
      <c r="Q7" s="2"/>
      <c r="R7" s="2"/>
      <c r="S7" s="2"/>
      <c r="T7" s="2"/>
      <c r="U7" s="2"/>
      <c r="V7" s="2"/>
      <c r="W7" s="2"/>
      <c r="X7" s="2"/>
      <c r="Y7" s="2"/>
      <c r="Z7" s="2"/>
    </row>
    <row r="8">
      <c r="A8" s="1" t="s">
        <v>20</v>
      </c>
      <c r="B8" s="1" t="s">
        <v>51</v>
      </c>
      <c r="C8" s="1" t="s">
        <v>15</v>
      </c>
      <c r="D8" s="1" t="s">
        <v>54</v>
      </c>
      <c r="E8" s="1" t="s">
        <v>55</v>
      </c>
      <c r="F8" s="1" t="s">
        <v>52</v>
      </c>
      <c r="G8" s="1" t="s">
        <v>43</v>
      </c>
      <c r="H8" s="1" t="s">
        <v>22</v>
      </c>
      <c r="I8" s="1" t="s">
        <v>53</v>
      </c>
      <c r="J8" s="2"/>
      <c r="K8" s="1"/>
      <c r="L8" s="2"/>
      <c r="M8" s="2"/>
      <c r="N8" s="2"/>
      <c r="O8" s="2"/>
      <c r="P8" s="2"/>
      <c r="Q8" s="2"/>
      <c r="R8" s="2"/>
      <c r="S8" s="2"/>
      <c r="T8" s="2"/>
      <c r="U8" s="2"/>
      <c r="V8" s="2"/>
      <c r="W8" s="2"/>
      <c r="X8" s="2"/>
      <c r="Y8" s="2"/>
      <c r="Z8" s="2"/>
    </row>
    <row r="9">
      <c r="A9" s="1" t="s">
        <v>20</v>
      </c>
      <c r="B9" s="1" t="s">
        <v>57</v>
      </c>
      <c r="C9" s="1" t="s">
        <v>15</v>
      </c>
      <c r="D9" s="1" t="s">
        <v>61</v>
      </c>
      <c r="E9" s="1" t="s">
        <v>62</v>
      </c>
      <c r="F9" s="1" t="s">
        <v>58</v>
      </c>
      <c r="G9" s="1" t="s">
        <v>43</v>
      </c>
      <c r="H9" s="1" t="s">
        <v>22</v>
      </c>
      <c r="I9" s="1" t="s">
        <v>59</v>
      </c>
      <c r="J9" s="2"/>
      <c r="K9" s="1"/>
      <c r="L9" s="2"/>
      <c r="M9" s="2"/>
      <c r="N9" s="2"/>
      <c r="O9" s="2"/>
      <c r="P9" s="2"/>
      <c r="Q9" s="2"/>
      <c r="R9" s="2"/>
      <c r="S9" s="2"/>
      <c r="T9" s="2"/>
      <c r="U9" s="2"/>
      <c r="V9" s="2"/>
      <c r="W9" s="2"/>
      <c r="X9" s="2"/>
      <c r="Y9" s="2"/>
      <c r="Z9" s="2"/>
    </row>
    <row r="10">
      <c r="A10" s="1" t="s">
        <v>13</v>
      </c>
      <c r="B10" s="1" t="s">
        <v>64</v>
      </c>
      <c r="C10" s="1" t="s">
        <v>15</v>
      </c>
      <c r="D10" s="1" t="s">
        <v>67</v>
      </c>
      <c r="E10" s="1" t="s">
        <v>69</v>
      </c>
      <c r="F10" s="1" t="s">
        <v>65</v>
      </c>
      <c r="G10" s="1" t="s">
        <v>21</v>
      </c>
      <c r="H10" s="1" t="s">
        <v>22</v>
      </c>
      <c r="I10" s="1" t="s">
        <v>66</v>
      </c>
      <c r="J10" s="2"/>
      <c r="K10" s="1"/>
      <c r="L10" s="2"/>
      <c r="M10" s="2"/>
      <c r="N10" s="2"/>
      <c r="O10" s="2"/>
      <c r="P10" s="2"/>
      <c r="Q10" s="2"/>
      <c r="R10" s="2"/>
      <c r="S10" s="2"/>
      <c r="T10" s="2"/>
      <c r="U10" s="2"/>
      <c r="V10" s="2"/>
      <c r="W10" s="2"/>
      <c r="X10" s="2"/>
      <c r="Y10" s="2"/>
      <c r="Z10" s="2"/>
    </row>
    <row r="11">
      <c r="A11" s="1" t="s">
        <v>13</v>
      </c>
      <c r="B11" s="1" t="s">
        <v>71</v>
      </c>
      <c r="C11" s="1" t="s">
        <v>15</v>
      </c>
      <c r="D11" s="1" t="s">
        <v>74</v>
      </c>
      <c r="E11" s="1" t="s">
        <v>75</v>
      </c>
      <c r="F11" s="1" t="s">
        <v>72</v>
      </c>
      <c r="G11" s="1" t="s">
        <v>73</v>
      </c>
      <c r="H11" s="1" t="s">
        <v>22</v>
      </c>
      <c r="I11" s="1" t="s">
        <v>38</v>
      </c>
      <c r="J11" s="2"/>
      <c r="K11" s="2"/>
      <c r="L11" s="2"/>
      <c r="M11" s="2"/>
      <c r="N11" s="2"/>
      <c r="O11" s="2"/>
      <c r="P11" s="2"/>
      <c r="Q11" s="2"/>
      <c r="R11" s="2"/>
      <c r="S11" s="2"/>
      <c r="T11" s="2"/>
      <c r="U11" s="2"/>
      <c r="V11" s="2"/>
      <c r="W11" s="2"/>
      <c r="X11" s="2"/>
      <c r="Y11" s="2"/>
      <c r="Z11" s="2"/>
    </row>
    <row r="12">
      <c r="A12" s="1" t="s">
        <v>13</v>
      </c>
      <c r="B12" s="1" t="s">
        <v>76</v>
      </c>
      <c r="C12" s="1" t="s">
        <v>77</v>
      </c>
      <c r="D12" s="1" t="s">
        <v>81</v>
      </c>
      <c r="E12" s="1" t="s">
        <v>82</v>
      </c>
      <c r="F12" s="1" t="s">
        <v>79</v>
      </c>
      <c r="G12" s="1" t="s">
        <v>21</v>
      </c>
      <c r="H12" s="1" t="s">
        <v>22</v>
      </c>
      <c r="I12" s="1" t="s">
        <v>80</v>
      </c>
      <c r="J12" s="2"/>
      <c r="K12" s="2"/>
      <c r="L12" s="2"/>
      <c r="M12" s="2"/>
      <c r="N12" s="2"/>
      <c r="O12" s="2"/>
      <c r="P12" s="2"/>
      <c r="Q12" s="2"/>
      <c r="R12" s="2"/>
      <c r="S12" s="2"/>
      <c r="T12" s="2"/>
      <c r="U12" s="2"/>
      <c r="V12" s="2"/>
      <c r="W12" s="2"/>
      <c r="X12" s="2"/>
      <c r="Y12" s="2"/>
      <c r="Z12" s="2"/>
    </row>
    <row r="13">
      <c r="A13" s="1" t="s">
        <v>13</v>
      </c>
      <c r="B13" s="1" t="s">
        <v>83</v>
      </c>
      <c r="C13" s="1" t="s">
        <v>77</v>
      </c>
      <c r="D13" s="1" t="s">
        <v>87</v>
      </c>
      <c r="E13" s="1" t="s">
        <v>88</v>
      </c>
      <c r="F13" s="1" t="s">
        <v>84</v>
      </c>
      <c r="G13" s="1" t="s">
        <v>21</v>
      </c>
      <c r="H13" s="1" t="s">
        <v>85</v>
      </c>
      <c r="I13" s="1" t="s">
        <v>86</v>
      </c>
      <c r="J13" s="2"/>
      <c r="K13" s="2"/>
      <c r="L13" s="2"/>
      <c r="M13" s="2"/>
      <c r="N13" s="2"/>
      <c r="O13" s="2"/>
      <c r="P13" s="2"/>
      <c r="Q13" s="2"/>
      <c r="R13" s="2"/>
      <c r="S13" s="2"/>
      <c r="T13" s="2"/>
      <c r="U13" s="2"/>
      <c r="V13" s="2"/>
      <c r="W13" s="2"/>
      <c r="X13" s="2"/>
      <c r="Y13" s="2"/>
      <c r="Z13" s="2"/>
    </row>
    <row r="14">
      <c r="A14" s="1" t="s">
        <v>13</v>
      </c>
      <c r="B14" s="1" t="s">
        <v>89</v>
      </c>
      <c r="C14" s="1" t="s">
        <v>77</v>
      </c>
      <c r="D14" s="1" t="s">
        <v>92</v>
      </c>
      <c r="E14" s="1" t="s">
        <v>93</v>
      </c>
      <c r="F14" s="1" t="s">
        <v>90</v>
      </c>
      <c r="G14" s="1" t="s">
        <v>43</v>
      </c>
      <c r="H14" s="1" t="s">
        <v>22</v>
      </c>
      <c r="I14" s="1" t="s">
        <v>91</v>
      </c>
      <c r="J14" s="2"/>
      <c r="K14" s="2"/>
      <c r="L14" s="2"/>
      <c r="M14" s="2"/>
      <c r="N14" s="2"/>
      <c r="O14" s="2"/>
      <c r="P14" s="2"/>
      <c r="Q14" s="2"/>
      <c r="R14" s="2"/>
      <c r="S14" s="2"/>
      <c r="T14" s="2"/>
      <c r="U14" s="2"/>
      <c r="V14" s="2"/>
      <c r="W14" s="2"/>
      <c r="X14" s="2"/>
      <c r="Y14" s="2"/>
      <c r="Z14" s="2"/>
    </row>
    <row r="15">
      <c r="A15" s="1" t="s">
        <v>13</v>
      </c>
      <c r="B15" s="1" t="s">
        <v>94</v>
      </c>
      <c r="C15" s="1" t="s">
        <v>77</v>
      </c>
      <c r="D15" s="1" t="s">
        <v>98</v>
      </c>
      <c r="E15" s="1" t="s">
        <v>99</v>
      </c>
      <c r="F15" s="1" t="s">
        <v>95</v>
      </c>
      <c r="G15" s="1" t="s">
        <v>21</v>
      </c>
      <c r="H15" s="1" t="s">
        <v>96</v>
      </c>
      <c r="I15" s="1" t="s">
        <v>97</v>
      </c>
      <c r="J15" s="2"/>
      <c r="K15" s="2"/>
      <c r="L15" s="2"/>
      <c r="M15" s="2"/>
      <c r="N15" s="2"/>
      <c r="O15" s="2"/>
      <c r="P15" s="2"/>
      <c r="Q15" s="2"/>
      <c r="R15" s="2"/>
      <c r="S15" s="2"/>
      <c r="T15" s="2"/>
      <c r="U15" s="2"/>
      <c r="V15" s="2"/>
      <c r="W15" s="2"/>
      <c r="X15" s="2"/>
      <c r="Y15" s="2"/>
      <c r="Z15" s="2"/>
    </row>
    <row r="16">
      <c r="A16" s="1" t="s">
        <v>20</v>
      </c>
      <c r="B16" s="1" t="s">
        <v>100</v>
      </c>
      <c r="C16" s="1" t="s">
        <v>77</v>
      </c>
      <c r="D16" s="1" t="s">
        <v>103</v>
      </c>
      <c r="E16" s="1" t="s">
        <v>104</v>
      </c>
      <c r="F16" s="1" t="s">
        <v>101</v>
      </c>
      <c r="G16" s="1" t="s">
        <v>43</v>
      </c>
      <c r="H16" s="1" t="s">
        <v>22</v>
      </c>
      <c r="I16" s="1" t="s">
        <v>102</v>
      </c>
      <c r="J16" s="2"/>
      <c r="K16" s="1"/>
      <c r="L16" s="2"/>
      <c r="M16" s="2"/>
      <c r="N16" s="2"/>
      <c r="O16" s="2"/>
      <c r="P16" s="2"/>
      <c r="Q16" s="2"/>
      <c r="R16" s="2"/>
      <c r="S16" s="2"/>
      <c r="T16" s="2"/>
      <c r="U16" s="2"/>
      <c r="V16" s="2"/>
      <c r="W16" s="2"/>
      <c r="X16" s="2"/>
      <c r="Y16" s="2"/>
      <c r="Z16" s="2"/>
    </row>
    <row r="17">
      <c r="A17" s="1" t="s">
        <v>13</v>
      </c>
      <c r="B17" s="1" t="s">
        <v>105</v>
      </c>
      <c r="C17" s="1" t="s">
        <v>77</v>
      </c>
      <c r="D17" s="1" t="s">
        <v>108</v>
      </c>
      <c r="E17" s="1" t="s">
        <v>109</v>
      </c>
      <c r="F17" s="1" t="s">
        <v>106</v>
      </c>
      <c r="G17" s="1" t="s">
        <v>21</v>
      </c>
      <c r="H17" s="1" t="s">
        <v>22</v>
      </c>
      <c r="I17" s="1" t="s">
        <v>107</v>
      </c>
      <c r="J17" s="2"/>
      <c r="K17" s="2"/>
      <c r="L17" s="2"/>
      <c r="M17" s="2"/>
      <c r="N17" s="2"/>
      <c r="O17" s="2"/>
      <c r="P17" s="2"/>
      <c r="Q17" s="2"/>
      <c r="R17" s="2"/>
      <c r="S17" s="2"/>
      <c r="T17" s="2"/>
      <c r="U17" s="2"/>
      <c r="V17" s="2"/>
      <c r="W17" s="2"/>
      <c r="X17" s="2"/>
      <c r="Y17" s="2"/>
      <c r="Z17" s="2"/>
    </row>
    <row r="18">
      <c r="A18" s="1" t="s">
        <v>13</v>
      </c>
      <c r="B18" s="1" t="s">
        <v>110</v>
      </c>
      <c r="C18" s="1" t="s">
        <v>77</v>
      </c>
      <c r="D18" s="1" t="s">
        <v>112</v>
      </c>
      <c r="E18" s="1" t="s">
        <v>113</v>
      </c>
      <c r="F18" s="1" t="s">
        <v>111</v>
      </c>
      <c r="G18" s="1" t="s">
        <v>43</v>
      </c>
      <c r="H18" s="1" t="s">
        <v>96</v>
      </c>
      <c r="I18" s="1" t="s">
        <v>97</v>
      </c>
      <c r="J18" s="2"/>
      <c r="K18" s="2"/>
      <c r="L18" s="2"/>
      <c r="M18" s="2"/>
      <c r="N18" s="2"/>
      <c r="O18" s="2"/>
      <c r="P18" s="2"/>
      <c r="Q18" s="2"/>
      <c r="R18" s="2"/>
      <c r="S18" s="2"/>
      <c r="T18" s="2"/>
      <c r="U18" s="2"/>
      <c r="V18" s="2"/>
      <c r="W18" s="2"/>
      <c r="X18" s="2"/>
      <c r="Y18" s="2"/>
      <c r="Z18" s="2"/>
    </row>
    <row r="19">
      <c r="A19" s="1" t="s">
        <v>13</v>
      </c>
      <c r="B19" s="1" t="s">
        <v>114</v>
      </c>
      <c r="C19" s="1" t="s">
        <v>115</v>
      </c>
      <c r="D19" s="1" t="s">
        <v>118</v>
      </c>
      <c r="E19" s="1" t="s">
        <v>119</v>
      </c>
      <c r="F19" s="1" t="s">
        <v>116</v>
      </c>
      <c r="G19" s="1" t="s">
        <v>21</v>
      </c>
      <c r="H19" s="1" t="s">
        <v>96</v>
      </c>
      <c r="I19" s="1" t="s">
        <v>117</v>
      </c>
      <c r="J19" s="2"/>
      <c r="K19" s="2"/>
      <c r="L19" s="2"/>
      <c r="M19" s="2"/>
      <c r="N19" s="2"/>
      <c r="O19" s="2"/>
      <c r="P19" s="2"/>
      <c r="Q19" s="2"/>
      <c r="R19" s="2"/>
      <c r="S19" s="2"/>
      <c r="T19" s="2"/>
      <c r="U19" s="2"/>
      <c r="V19" s="2"/>
      <c r="W19" s="2"/>
      <c r="X19" s="2"/>
      <c r="Y19" s="2"/>
      <c r="Z19" s="2"/>
    </row>
    <row r="20">
      <c r="A20" s="1" t="s">
        <v>13</v>
      </c>
      <c r="B20" s="1" t="s">
        <v>120</v>
      </c>
      <c r="C20" s="1" t="s">
        <v>115</v>
      </c>
      <c r="D20" s="1" t="s">
        <v>123</v>
      </c>
      <c r="E20" s="1" t="s">
        <v>124</v>
      </c>
      <c r="F20" s="1" t="s">
        <v>121</v>
      </c>
      <c r="G20" s="1" t="s">
        <v>21</v>
      </c>
      <c r="H20" s="1" t="s">
        <v>96</v>
      </c>
      <c r="I20" s="1" t="s">
        <v>122</v>
      </c>
      <c r="J20" s="2"/>
      <c r="K20" s="2"/>
      <c r="L20" s="2"/>
      <c r="M20" s="2"/>
      <c r="N20" s="2"/>
      <c r="O20" s="2"/>
      <c r="P20" s="2"/>
      <c r="Q20" s="2"/>
      <c r="R20" s="2"/>
      <c r="S20" s="2"/>
      <c r="T20" s="2"/>
      <c r="U20" s="2"/>
      <c r="V20" s="2"/>
      <c r="W20" s="2"/>
      <c r="X20" s="2"/>
      <c r="Y20" s="2"/>
      <c r="Z20" s="2"/>
    </row>
    <row r="21">
      <c r="A21" s="1" t="s">
        <v>13</v>
      </c>
      <c r="B21" s="1" t="s">
        <v>125</v>
      </c>
      <c r="C21" s="1" t="s">
        <v>115</v>
      </c>
      <c r="D21" s="1" t="s">
        <v>127</v>
      </c>
      <c r="E21" s="1" t="s">
        <v>128</v>
      </c>
      <c r="F21" s="1" t="s">
        <v>126</v>
      </c>
      <c r="G21" s="1" t="s">
        <v>43</v>
      </c>
      <c r="H21" s="1" t="s">
        <v>96</v>
      </c>
      <c r="I21" s="1" t="s">
        <v>122</v>
      </c>
      <c r="J21" s="2"/>
      <c r="K21" s="2"/>
      <c r="L21" s="2"/>
      <c r="M21" s="2"/>
      <c r="N21" s="2"/>
      <c r="O21" s="2"/>
      <c r="P21" s="2"/>
      <c r="Q21" s="2"/>
      <c r="R21" s="2"/>
      <c r="S21" s="2"/>
      <c r="T21" s="2"/>
      <c r="U21" s="2"/>
      <c r="V21" s="2"/>
      <c r="W21" s="2"/>
      <c r="X21" s="2"/>
      <c r="Y21" s="2"/>
      <c r="Z21" s="2"/>
    </row>
    <row r="22">
      <c r="A22" s="1" t="s">
        <v>13</v>
      </c>
      <c r="B22" s="1" t="s">
        <v>129</v>
      </c>
      <c r="C22" s="1" t="s">
        <v>115</v>
      </c>
      <c r="D22" s="1" t="s">
        <v>133</v>
      </c>
      <c r="E22" s="1" t="s">
        <v>134</v>
      </c>
      <c r="F22" s="1" t="s">
        <v>130</v>
      </c>
      <c r="G22" s="1" t="s">
        <v>43</v>
      </c>
      <c r="H22" s="1" t="s">
        <v>96</v>
      </c>
      <c r="I22" s="1" t="s">
        <v>132</v>
      </c>
      <c r="J22" s="2"/>
      <c r="K22" s="2"/>
      <c r="L22" s="2"/>
      <c r="M22" s="2"/>
      <c r="N22" s="2"/>
      <c r="O22" s="2"/>
      <c r="P22" s="2"/>
      <c r="Q22" s="2"/>
      <c r="R22" s="2"/>
      <c r="S22" s="2"/>
      <c r="T22" s="2"/>
      <c r="U22" s="2"/>
      <c r="V22" s="2"/>
      <c r="W22" s="2"/>
      <c r="X22" s="2"/>
      <c r="Y22" s="2"/>
      <c r="Z22" s="2"/>
    </row>
    <row r="23">
      <c r="A23" s="1" t="s">
        <v>13</v>
      </c>
      <c r="B23" s="1" t="s">
        <v>135</v>
      </c>
      <c r="C23" s="1" t="s">
        <v>115</v>
      </c>
      <c r="D23" s="1" t="s">
        <v>138</v>
      </c>
      <c r="E23" s="1" t="s">
        <v>139</v>
      </c>
      <c r="F23" s="1" t="s">
        <v>136</v>
      </c>
      <c r="G23" s="1" t="s">
        <v>43</v>
      </c>
      <c r="H23" s="1" t="s">
        <v>96</v>
      </c>
      <c r="I23" s="1" t="s">
        <v>137</v>
      </c>
      <c r="J23" s="2"/>
      <c r="K23" s="2"/>
      <c r="L23" s="2"/>
      <c r="M23" s="2"/>
      <c r="N23" s="2"/>
      <c r="O23" s="2"/>
      <c r="P23" s="2"/>
      <c r="Q23" s="2"/>
      <c r="R23" s="2"/>
      <c r="S23" s="2"/>
      <c r="T23" s="2"/>
      <c r="U23" s="2"/>
      <c r="V23" s="2"/>
      <c r="W23" s="2"/>
      <c r="X23" s="2"/>
      <c r="Y23" s="2"/>
      <c r="Z23" s="2"/>
    </row>
    <row r="24">
      <c r="A24" s="1" t="s">
        <v>13</v>
      </c>
      <c r="B24" s="1" t="s">
        <v>140</v>
      </c>
      <c r="C24" s="1" t="s">
        <v>141</v>
      </c>
      <c r="D24" s="1" t="s">
        <v>144</v>
      </c>
      <c r="E24" s="1" t="s">
        <v>145</v>
      </c>
      <c r="F24" s="1" t="s">
        <v>142</v>
      </c>
      <c r="G24" s="1" t="s">
        <v>21</v>
      </c>
      <c r="H24" s="1" t="s">
        <v>96</v>
      </c>
      <c r="I24" s="1" t="s">
        <v>143</v>
      </c>
      <c r="J24" s="2"/>
      <c r="K24" s="2"/>
      <c r="L24" s="2"/>
      <c r="M24" s="2"/>
      <c r="N24" s="2"/>
      <c r="O24" s="2"/>
      <c r="P24" s="2"/>
      <c r="Q24" s="2"/>
      <c r="R24" s="2"/>
      <c r="S24" s="2"/>
      <c r="T24" s="2"/>
      <c r="U24" s="2"/>
      <c r="V24" s="2"/>
      <c r="W24" s="2"/>
      <c r="X24" s="2"/>
      <c r="Y24" s="2"/>
      <c r="Z24" s="2"/>
    </row>
    <row r="25">
      <c r="A25" s="1" t="s">
        <v>13</v>
      </c>
      <c r="B25" s="1" t="s">
        <v>147</v>
      </c>
      <c r="C25" s="1" t="s">
        <v>141</v>
      </c>
      <c r="D25" s="1" t="s">
        <v>150</v>
      </c>
      <c r="E25" s="1" t="s">
        <v>151</v>
      </c>
      <c r="F25" s="1" t="s">
        <v>148</v>
      </c>
      <c r="G25" s="1" t="s">
        <v>21</v>
      </c>
      <c r="H25" s="1" t="s">
        <v>96</v>
      </c>
      <c r="I25" s="1" t="s">
        <v>149</v>
      </c>
      <c r="J25" s="2"/>
      <c r="K25" s="2"/>
      <c r="L25" s="2"/>
      <c r="M25" s="2"/>
      <c r="N25" s="2"/>
      <c r="O25" s="2"/>
      <c r="P25" s="2"/>
      <c r="Q25" s="2"/>
      <c r="R25" s="2"/>
      <c r="S25" s="2"/>
      <c r="T25" s="2"/>
      <c r="U25" s="2"/>
      <c r="V25" s="2"/>
      <c r="W25" s="2"/>
      <c r="X25" s="2"/>
      <c r="Y25" s="2"/>
      <c r="Z25" s="2"/>
    </row>
    <row r="26">
      <c r="A26" s="1" t="s">
        <v>13</v>
      </c>
      <c r="B26" s="1" t="s">
        <v>152</v>
      </c>
      <c r="C26" s="1" t="s">
        <v>141</v>
      </c>
      <c r="D26" s="1" t="s">
        <v>155</v>
      </c>
      <c r="E26" s="1" t="s">
        <v>156</v>
      </c>
      <c r="F26" s="1" t="s">
        <v>153</v>
      </c>
      <c r="G26" s="1" t="s">
        <v>43</v>
      </c>
      <c r="H26" s="1" t="s">
        <v>96</v>
      </c>
      <c r="I26" s="1" t="s">
        <v>154</v>
      </c>
      <c r="J26" s="2"/>
      <c r="K26" s="2"/>
      <c r="L26" s="2"/>
      <c r="M26" s="2"/>
      <c r="N26" s="2"/>
      <c r="O26" s="2"/>
      <c r="P26" s="2"/>
      <c r="Q26" s="2"/>
      <c r="R26" s="2"/>
      <c r="S26" s="2"/>
      <c r="T26" s="2"/>
      <c r="U26" s="2"/>
      <c r="V26" s="2"/>
      <c r="W26" s="2"/>
      <c r="X26" s="2"/>
      <c r="Y26" s="2"/>
      <c r="Z26" s="2"/>
    </row>
    <row r="27">
      <c r="A27" s="1" t="s">
        <v>13</v>
      </c>
      <c r="B27" s="1" t="s">
        <v>157</v>
      </c>
      <c r="C27" s="1" t="s">
        <v>141</v>
      </c>
      <c r="D27" s="1" t="s">
        <v>159</v>
      </c>
      <c r="E27" s="1" t="s">
        <v>160</v>
      </c>
      <c r="F27" s="1" t="s">
        <v>158</v>
      </c>
      <c r="G27" s="1" t="s">
        <v>43</v>
      </c>
      <c r="H27" s="1" t="s">
        <v>96</v>
      </c>
      <c r="I27" s="1" t="s">
        <v>154</v>
      </c>
      <c r="J27" s="2"/>
      <c r="K27" s="2"/>
      <c r="L27" s="2"/>
      <c r="M27" s="2"/>
      <c r="N27" s="2"/>
      <c r="O27" s="2"/>
      <c r="P27" s="2"/>
      <c r="Q27" s="2"/>
      <c r="R27" s="2"/>
      <c r="S27" s="2"/>
      <c r="T27" s="2"/>
      <c r="U27" s="2"/>
      <c r="V27" s="2"/>
      <c r="W27" s="2"/>
      <c r="X27" s="2"/>
      <c r="Y27" s="2"/>
      <c r="Z27" s="2"/>
    </row>
    <row r="28">
      <c r="A28" s="1" t="s">
        <v>13</v>
      </c>
      <c r="B28" s="1" t="s">
        <v>161</v>
      </c>
      <c r="C28" s="1" t="s">
        <v>162</v>
      </c>
      <c r="D28" s="1" t="s">
        <v>165</v>
      </c>
      <c r="E28" s="1" t="s">
        <v>166</v>
      </c>
      <c r="F28" s="1" t="s">
        <v>163</v>
      </c>
      <c r="G28" s="1" t="s">
        <v>21</v>
      </c>
      <c r="H28" s="1" t="s">
        <v>96</v>
      </c>
      <c r="I28" s="1" t="s">
        <v>164</v>
      </c>
      <c r="J28" s="2"/>
      <c r="K28" s="2"/>
      <c r="L28" s="2"/>
      <c r="M28" s="2"/>
      <c r="N28" s="2"/>
      <c r="O28" s="2"/>
      <c r="P28" s="2"/>
      <c r="Q28" s="2"/>
      <c r="R28" s="2"/>
      <c r="S28" s="2"/>
      <c r="T28" s="2"/>
      <c r="U28" s="2"/>
      <c r="V28" s="2"/>
      <c r="W28" s="2"/>
      <c r="X28" s="2"/>
      <c r="Y28" s="2"/>
      <c r="Z28" s="2"/>
    </row>
    <row r="29">
      <c r="A29" s="1" t="s">
        <v>20</v>
      </c>
      <c r="B29" s="1" t="s">
        <v>167</v>
      </c>
      <c r="C29" s="1" t="s">
        <v>162</v>
      </c>
      <c r="D29" s="1" t="s">
        <v>170</v>
      </c>
      <c r="E29" s="1" t="s">
        <v>171</v>
      </c>
      <c r="F29" s="1" t="s">
        <v>168</v>
      </c>
      <c r="G29" s="1" t="s">
        <v>43</v>
      </c>
      <c r="H29" s="1" t="s">
        <v>96</v>
      </c>
      <c r="I29" s="1" t="s">
        <v>169</v>
      </c>
      <c r="J29" s="2"/>
      <c r="K29" s="1"/>
      <c r="L29" s="2"/>
      <c r="M29" s="2"/>
      <c r="N29" s="2"/>
      <c r="O29" s="2"/>
      <c r="P29" s="2"/>
      <c r="Q29" s="2"/>
      <c r="R29" s="2"/>
      <c r="S29" s="2"/>
      <c r="T29" s="2"/>
      <c r="U29" s="2"/>
      <c r="V29" s="2"/>
      <c r="W29" s="2"/>
      <c r="X29" s="2"/>
      <c r="Y29" s="2"/>
      <c r="Z29" s="2"/>
    </row>
    <row r="30">
      <c r="A30" s="1" t="s">
        <v>13</v>
      </c>
      <c r="B30" s="1" t="s">
        <v>172</v>
      </c>
      <c r="C30" s="1" t="s">
        <v>162</v>
      </c>
      <c r="D30" s="1" t="s">
        <v>175</v>
      </c>
      <c r="E30" s="1" t="s">
        <v>176</v>
      </c>
      <c r="F30" s="1" t="s">
        <v>173</v>
      </c>
      <c r="G30" s="1" t="s">
        <v>21</v>
      </c>
      <c r="H30" s="1" t="s">
        <v>96</v>
      </c>
      <c r="I30" s="1" t="s">
        <v>174</v>
      </c>
      <c r="J30" s="2"/>
      <c r="K30" s="2"/>
      <c r="L30" s="2"/>
      <c r="M30" s="2"/>
      <c r="N30" s="2"/>
      <c r="O30" s="2"/>
      <c r="P30" s="2"/>
      <c r="Q30" s="2"/>
      <c r="R30" s="2"/>
      <c r="S30" s="2"/>
      <c r="T30" s="2"/>
      <c r="U30" s="2"/>
      <c r="V30" s="2"/>
      <c r="W30" s="2"/>
      <c r="X30" s="2"/>
      <c r="Y30" s="2"/>
      <c r="Z30" s="2"/>
    </row>
    <row r="31">
      <c r="A31" s="1" t="s">
        <v>13</v>
      </c>
      <c r="B31" s="1" t="s">
        <v>177</v>
      </c>
      <c r="C31" s="1" t="s">
        <v>162</v>
      </c>
      <c r="D31" s="1" t="s">
        <v>180</v>
      </c>
      <c r="E31" s="1" t="s">
        <v>181</v>
      </c>
      <c r="F31" s="1" t="s">
        <v>178</v>
      </c>
      <c r="G31" s="1" t="s">
        <v>21</v>
      </c>
      <c r="H31" s="1" t="s">
        <v>96</v>
      </c>
      <c r="I31" s="1" t="s">
        <v>179</v>
      </c>
      <c r="J31" s="2"/>
      <c r="K31" s="2"/>
      <c r="L31" s="2"/>
      <c r="M31" s="2"/>
      <c r="N31" s="2"/>
      <c r="O31" s="2"/>
      <c r="P31" s="2"/>
      <c r="Q31" s="2"/>
      <c r="R31" s="2"/>
      <c r="S31" s="2"/>
      <c r="T31" s="2"/>
      <c r="U31" s="2"/>
      <c r="V31" s="2"/>
      <c r="W31" s="2"/>
      <c r="X31" s="2"/>
      <c r="Y31" s="2"/>
      <c r="Z31" s="2"/>
    </row>
    <row r="32">
      <c r="A32" s="1" t="s">
        <v>13</v>
      </c>
      <c r="B32" s="1" t="s">
        <v>182</v>
      </c>
      <c r="C32" s="1" t="s">
        <v>162</v>
      </c>
      <c r="D32" s="1" t="s">
        <v>185</v>
      </c>
      <c r="E32" s="1" t="s">
        <v>186</v>
      </c>
      <c r="F32" s="1" t="s">
        <v>183</v>
      </c>
      <c r="G32" s="1" t="s">
        <v>43</v>
      </c>
      <c r="H32" s="1" t="s">
        <v>96</v>
      </c>
      <c r="I32" s="1" t="s">
        <v>184</v>
      </c>
      <c r="J32" s="2"/>
      <c r="K32" s="2"/>
      <c r="L32" s="2"/>
      <c r="M32" s="2"/>
      <c r="N32" s="2"/>
      <c r="O32" s="2"/>
      <c r="P32" s="2"/>
      <c r="Q32" s="2"/>
      <c r="R32" s="2"/>
      <c r="S32" s="2"/>
      <c r="T32" s="2"/>
      <c r="U32" s="2"/>
      <c r="V32" s="2"/>
      <c r="W32" s="2"/>
      <c r="X32" s="2"/>
      <c r="Y32" s="2"/>
      <c r="Z32" s="2"/>
    </row>
    <row r="33">
      <c r="A33" s="1" t="s">
        <v>13</v>
      </c>
      <c r="B33" s="1" t="s">
        <v>187</v>
      </c>
      <c r="C33" s="1" t="s">
        <v>162</v>
      </c>
      <c r="D33" s="1" t="s">
        <v>189</v>
      </c>
      <c r="E33" s="1" t="s">
        <v>190</v>
      </c>
      <c r="F33" s="1" t="s">
        <v>188</v>
      </c>
      <c r="G33" s="1" t="s">
        <v>43</v>
      </c>
      <c r="H33" s="1" t="s">
        <v>96</v>
      </c>
      <c r="I33" s="1" t="s">
        <v>137</v>
      </c>
      <c r="J33" s="2"/>
      <c r="K33" s="2"/>
      <c r="L33" s="2"/>
      <c r="M33" s="2"/>
      <c r="N33" s="2"/>
      <c r="O33" s="2"/>
      <c r="P33" s="2"/>
      <c r="Q33" s="2"/>
      <c r="R33" s="2"/>
      <c r="S33" s="2"/>
      <c r="T33" s="2"/>
      <c r="U33" s="2"/>
      <c r="V33" s="2"/>
      <c r="W33" s="2"/>
      <c r="X33" s="2"/>
      <c r="Y33" s="2"/>
      <c r="Z33" s="2"/>
    </row>
    <row r="34">
      <c r="A34" s="1" t="s">
        <v>13</v>
      </c>
      <c r="B34" s="1" t="s">
        <v>191</v>
      </c>
      <c r="C34" s="1" t="s">
        <v>192</v>
      </c>
      <c r="D34" s="1" t="s">
        <v>195</v>
      </c>
      <c r="E34" s="1" t="s">
        <v>196</v>
      </c>
      <c r="F34" s="1" t="s">
        <v>193</v>
      </c>
      <c r="G34" s="1" t="s">
        <v>21</v>
      </c>
      <c r="H34" s="1" t="s">
        <v>22</v>
      </c>
      <c r="I34" s="1" t="s">
        <v>194</v>
      </c>
      <c r="J34" s="2"/>
      <c r="K34" s="2"/>
      <c r="L34" s="2"/>
      <c r="M34" s="2"/>
      <c r="N34" s="2"/>
      <c r="O34" s="2"/>
      <c r="P34" s="2"/>
      <c r="Q34" s="2"/>
      <c r="R34" s="2"/>
      <c r="S34" s="2"/>
      <c r="T34" s="2"/>
      <c r="U34" s="2"/>
      <c r="V34" s="2"/>
      <c r="W34" s="2"/>
      <c r="X34" s="2"/>
      <c r="Y34" s="2"/>
      <c r="Z34" s="2"/>
    </row>
    <row r="35">
      <c r="A35" s="1" t="s">
        <v>13</v>
      </c>
      <c r="B35" s="1" t="s">
        <v>197</v>
      </c>
      <c r="C35" s="1" t="s">
        <v>192</v>
      </c>
      <c r="D35" s="1" t="s">
        <v>201</v>
      </c>
      <c r="E35" s="1" t="s">
        <v>202</v>
      </c>
      <c r="F35" s="1" t="s">
        <v>199</v>
      </c>
      <c r="G35" s="1" t="s">
        <v>21</v>
      </c>
      <c r="H35" s="1" t="s">
        <v>22</v>
      </c>
      <c r="I35" s="1" t="s">
        <v>200</v>
      </c>
      <c r="J35" s="2"/>
      <c r="K35" s="2"/>
      <c r="L35" s="2"/>
      <c r="M35" s="2"/>
      <c r="N35" s="2"/>
      <c r="O35" s="2"/>
      <c r="P35" s="2"/>
      <c r="Q35" s="2"/>
      <c r="R35" s="2"/>
      <c r="S35" s="2"/>
      <c r="T35" s="2"/>
      <c r="U35" s="2"/>
      <c r="V35" s="2"/>
      <c r="W35" s="2"/>
      <c r="X35" s="2"/>
      <c r="Y35" s="2"/>
      <c r="Z35" s="2"/>
    </row>
    <row r="36">
      <c r="A36" s="1" t="s">
        <v>13</v>
      </c>
      <c r="B36" s="1" t="s">
        <v>203</v>
      </c>
      <c r="C36" s="1" t="s">
        <v>192</v>
      </c>
      <c r="D36" s="1" t="s">
        <v>207</v>
      </c>
      <c r="E36" s="1" t="s">
        <v>208</v>
      </c>
      <c r="F36" s="1" t="s">
        <v>204</v>
      </c>
      <c r="G36" s="1" t="s">
        <v>21</v>
      </c>
      <c r="H36" s="1" t="s">
        <v>205</v>
      </c>
      <c r="I36" s="1" t="s">
        <v>206</v>
      </c>
      <c r="J36" s="2"/>
      <c r="K36" s="2"/>
      <c r="L36" s="2"/>
      <c r="M36" s="2"/>
      <c r="N36" s="2"/>
      <c r="O36" s="2"/>
      <c r="P36" s="2"/>
      <c r="Q36" s="2"/>
      <c r="R36" s="2"/>
      <c r="S36" s="2"/>
      <c r="T36" s="2"/>
      <c r="U36" s="2"/>
      <c r="V36" s="2"/>
      <c r="W36" s="2"/>
      <c r="X36" s="2"/>
      <c r="Y36" s="2"/>
      <c r="Z36" s="2"/>
    </row>
    <row r="37">
      <c r="A37" s="1" t="s">
        <v>13</v>
      </c>
      <c r="B37" s="1" t="s">
        <v>209</v>
      </c>
      <c r="C37" s="1" t="s">
        <v>192</v>
      </c>
      <c r="D37" s="1" t="s">
        <v>212</v>
      </c>
      <c r="E37" s="1" t="s">
        <v>213</v>
      </c>
      <c r="F37" s="1" t="s">
        <v>210</v>
      </c>
      <c r="G37" s="1" t="s">
        <v>21</v>
      </c>
      <c r="H37" s="1" t="s">
        <v>85</v>
      </c>
      <c r="I37" s="1" t="s">
        <v>211</v>
      </c>
      <c r="J37" s="2"/>
      <c r="K37" s="2"/>
      <c r="L37" s="2"/>
      <c r="M37" s="2"/>
      <c r="N37" s="2"/>
      <c r="O37" s="2"/>
      <c r="P37" s="2"/>
      <c r="Q37" s="2"/>
      <c r="R37" s="2"/>
      <c r="S37" s="2"/>
      <c r="T37" s="2"/>
      <c r="U37" s="2"/>
      <c r="V37" s="2"/>
      <c r="W37" s="2"/>
      <c r="X37" s="2"/>
      <c r="Y37" s="2"/>
      <c r="Z37" s="2"/>
    </row>
    <row r="38">
      <c r="A38" s="1" t="s">
        <v>13</v>
      </c>
      <c r="B38" s="1" t="s">
        <v>214</v>
      </c>
      <c r="C38" s="1" t="s">
        <v>192</v>
      </c>
      <c r="D38" s="1" t="s">
        <v>212</v>
      </c>
      <c r="E38" s="1" t="s">
        <v>218</v>
      </c>
      <c r="F38" s="1" t="s">
        <v>215</v>
      </c>
      <c r="G38" s="1" t="s">
        <v>21</v>
      </c>
      <c r="H38" s="1" t="s">
        <v>216</v>
      </c>
      <c r="I38" s="1" t="s">
        <v>217</v>
      </c>
      <c r="J38" s="2"/>
      <c r="K38" s="2"/>
      <c r="L38" s="2"/>
      <c r="M38" s="2"/>
      <c r="N38" s="2"/>
      <c r="O38" s="2"/>
      <c r="P38" s="2"/>
      <c r="Q38" s="2"/>
      <c r="R38" s="2"/>
      <c r="S38" s="2"/>
      <c r="T38" s="2"/>
      <c r="U38" s="2"/>
      <c r="V38" s="2"/>
      <c r="W38" s="2"/>
      <c r="X38" s="2"/>
      <c r="Y38" s="2"/>
      <c r="Z38" s="2"/>
    </row>
    <row r="39">
      <c r="A39" s="1" t="s">
        <v>20</v>
      </c>
      <c r="B39" s="1" t="s">
        <v>219</v>
      </c>
      <c r="C39" s="1" t="s">
        <v>192</v>
      </c>
      <c r="D39" s="1" t="s">
        <v>223</v>
      </c>
      <c r="E39" s="1" t="s">
        <v>224</v>
      </c>
      <c r="F39" s="1" t="s">
        <v>220</v>
      </c>
      <c r="G39" s="1" t="s">
        <v>21</v>
      </c>
      <c r="H39" s="1" t="s">
        <v>221</v>
      </c>
      <c r="I39" s="1" t="s">
        <v>222</v>
      </c>
      <c r="J39" s="2"/>
      <c r="K39" s="1"/>
      <c r="L39" s="2"/>
      <c r="M39" s="2"/>
      <c r="N39" s="2"/>
      <c r="O39" s="2"/>
      <c r="P39" s="2"/>
      <c r="Q39" s="2"/>
      <c r="R39" s="2"/>
      <c r="S39" s="2"/>
      <c r="T39" s="2"/>
      <c r="U39" s="2"/>
      <c r="V39" s="2"/>
      <c r="W39" s="2"/>
      <c r="X39" s="2"/>
      <c r="Y39" s="2"/>
      <c r="Z39" s="2"/>
    </row>
    <row r="40">
      <c r="A40" s="1" t="s">
        <v>13</v>
      </c>
      <c r="B40" s="1" t="s">
        <v>225</v>
      </c>
      <c r="C40" s="1" t="s">
        <v>192</v>
      </c>
      <c r="D40" s="1" t="s">
        <v>228</v>
      </c>
      <c r="E40" s="1" t="s">
        <v>229</v>
      </c>
      <c r="F40" s="1" t="s">
        <v>226</v>
      </c>
      <c r="G40" s="1" t="s">
        <v>43</v>
      </c>
      <c r="H40" s="1" t="s">
        <v>221</v>
      </c>
      <c r="I40" s="1" t="s">
        <v>227</v>
      </c>
      <c r="J40" s="2"/>
      <c r="K40" s="2"/>
      <c r="L40" s="2"/>
      <c r="M40" s="2"/>
      <c r="N40" s="2"/>
      <c r="O40" s="2"/>
      <c r="P40" s="2"/>
      <c r="Q40" s="2"/>
      <c r="R40" s="2"/>
      <c r="S40" s="2"/>
      <c r="T40" s="2"/>
      <c r="U40" s="2"/>
      <c r="V40" s="2"/>
      <c r="W40" s="2"/>
      <c r="X40" s="2"/>
      <c r="Y40" s="2"/>
      <c r="Z40" s="2"/>
    </row>
    <row r="41">
      <c r="A41" s="1" t="s">
        <v>13</v>
      </c>
      <c r="B41" s="1" t="s">
        <v>230</v>
      </c>
      <c r="C41" s="1" t="s">
        <v>192</v>
      </c>
      <c r="D41" s="1" t="s">
        <v>233</v>
      </c>
      <c r="E41" s="1" t="s">
        <v>234</v>
      </c>
      <c r="F41" s="1" t="s">
        <v>231</v>
      </c>
      <c r="G41" s="1" t="s">
        <v>21</v>
      </c>
      <c r="H41" s="1" t="s">
        <v>221</v>
      </c>
      <c r="I41" s="1" t="s">
        <v>232</v>
      </c>
      <c r="J41" s="2"/>
      <c r="K41" s="2"/>
      <c r="L41" s="2"/>
      <c r="M41" s="2"/>
      <c r="N41" s="2"/>
      <c r="O41" s="2"/>
      <c r="P41" s="2"/>
      <c r="Q41" s="2"/>
      <c r="R41" s="2"/>
      <c r="S41" s="2"/>
      <c r="T41" s="2"/>
      <c r="U41" s="2"/>
      <c r="V41" s="2"/>
      <c r="W41" s="2"/>
      <c r="X41" s="2"/>
      <c r="Y41" s="2"/>
      <c r="Z41" s="2"/>
    </row>
    <row r="42">
      <c r="A42" s="1" t="s">
        <v>13</v>
      </c>
      <c r="B42" s="1" t="s">
        <v>235</v>
      </c>
      <c r="C42" s="1" t="s">
        <v>192</v>
      </c>
      <c r="D42" s="1" t="s">
        <v>239</v>
      </c>
      <c r="E42" s="1" t="s">
        <v>240</v>
      </c>
      <c r="F42" s="1" t="s">
        <v>236</v>
      </c>
      <c r="G42" s="1" t="s">
        <v>21</v>
      </c>
      <c r="H42" s="1" t="s">
        <v>237</v>
      </c>
      <c r="I42" s="1" t="s">
        <v>238</v>
      </c>
      <c r="J42" s="2"/>
      <c r="K42" s="2"/>
      <c r="L42" s="2"/>
      <c r="M42" s="2"/>
      <c r="N42" s="2"/>
      <c r="O42" s="2"/>
      <c r="P42" s="2"/>
      <c r="Q42" s="2"/>
      <c r="R42" s="2"/>
      <c r="S42" s="2"/>
      <c r="T42" s="2"/>
      <c r="U42" s="2"/>
      <c r="V42" s="2"/>
      <c r="W42" s="2"/>
      <c r="X42" s="2"/>
      <c r="Y42" s="2"/>
      <c r="Z42" s="2"/>
    </row>
    <row r="43">
      <c r="A43" s="1" t="s">
        <v>20</v>
      </c>
      <c r="B43" s="1" t="s">
        <v>241</v>
      </c>
      <c r="C43" s="1" t="s">
        <v>192</v>
      </c>
      <c r="D43" s="1" t="s">
        <v>243</v>
      </c>
      <c r="E43" s="1" t="s">
        <v>244</v>
      </c>
      <c r="F43" s="1" t="s">
        <v>242</v>
      </c>
      <c r="G43" s="1" t="s">
        <v>21</v>
      </c>
      <c r="H43" s="1" t="s">
        <v>237</v>
      </c>
      <c r="I43" s="1" t="s">
        <v>238</v>
      </c>
      <c r="J43" s="2"/>
      <c r="K43" s="1"/>
      <c r="L43" s="2"/>
      <c r="M43" s="2"/>
      <c r="N43" s="2"/>
      <c r="O43" s="2"/>
      <c r="P43" s="2"/>
      <c r="Q43" s="2"/>
      <c r="R43" s="2"/>
      <c r="S43" s="2"/>
      <c r="T43" s="2"/>
      <c r="U43" s="2"/>
      <c r="V43" s="2"/>
      <c r="W43" s="2"/>
      <c r="X43" s="2"/>
      <c r="Y43" s="2"/>
      <c r="Z43" s="2"/>
    </row>
    <row r="44">
      <c r="A44" s="1" t="s">
        <v>13</v>
      </c>
      <c r="B44" s="1" t="s">
        <v>245</v>
      </c>
      <c r="C44" s="1" t="s">
        <v>192</v>
      </c>
      <c r="D44" s="1" t="s">
        <v>249</v>
      </c>
      <c r="E44" s="1" t="s">
        <v>250</v>
      </c>
      <c r="F44" s="1" t="s">
        <v>246</v>
      </c>
      <c r="G44" s="1" t="s">
        <v>21</v>
      </c>
      <c r="H44" s="1" t="s">
        <v>247</v>
      </c>
      <c r="I44" s="1" t="s">
        <v>248</v>
      </c>
      <c r="J44" s="2"/>
      <c r="K44" s="2"/>
      <c r="L44" s="2"/>
      <c r="M44" s="2"/>
      <c r="N44" s="2"/>
      <c r="O44" s="2"/>
      <c r="P44" s="2"/>
      <c r="Q44" s="2"/>
      <c r="R44" s="2"/>
      <c r="S44" s="2"/>
      <c r="T44" s="2"/>
      <c r="U44" s="2"/>
      <c r="V44" s="2"/>
      <c r="W44" s="2"/>
      <c r="X44" s="2"/>
      <c r="Y44" s="2"/>
      <c r="Z44" s="2"/>
    </row>
    <row r="45">
      <c r="A45" s="1" t="s">
        <v>20</v>
      </c>
      <c r="B45" s="1" t="s">
        <v>251</v>
      </c>
      <c r="C45" s="1" t="s">
        <v>192</v>
      </c>
      <c r="D45" s="1" t="s">
        <v>254</v>
      </c>
      <c r="E45" s="1" t="s">
        <v>255</v>
      </c>
      <c r="F45" s="1" t="s">
        <v>252</v>
      </c>
      <c r="G45" s="1" t="s">
        <v>43</v>
      </c>
      <c r="H45" s="1" t="s">
        <v>247</v>
      </c>
      <c r="I45" s="1" t="s">
        <v>253</v>
      </c>
      <c r="J45" s="2"/>
      <c r="K45" s="1"/>
      <c r="L45" s="2"/>
      <c r="M45" s="2"/>
      <c r="N45" s="2"/>
      <c r="O45" s="2"/>
      <c r="P45" s="2"/>
      <c r="Q45" s="2"/>
      <c r="R45" s="2"/>
      <c r="S45" s="2"/>
      <c r="T45" s="2"/>
      <c r="U45" s="2"/>
      <c r="V45" s="2"/>
      <c r="W45" s="2"/>
      <c r="X45" s="2"/>
      <c r="Y45" s="2"/>
      <c r="Z45" s="2"/>
    </row>
    <row r="46">
      <c r="A46" s="1" t="s">
        <v>13</v>
      </c>
      <c r="B46" s="1" t="s">
        <v>256</v>
      </c>
      <c r="C46" s="1" t="s">
        <v>192</v>
      </c>
      <c r="D46" s="1" t="s">
        <v>259</v>
      </c>
      <c r="E46" s="1" t="s">
        <v>260</v>
      </c>
      <c r="F46" s="1" t="s">
        <v>257</v>
      </c>
      <c r="G46" s="1" t="s">
        <v>43</v>
      </c>
      <c r="H46" s="1" t="s">
        <v>258</v>
      </c>
      <c r="I46" s="1" t="s">
        <v>253</v>
      </c>
      <c r="J46" s="2"/>
      <c r="K46" s="2"/>
      <c r="L46" s="2"/>
      <c r="M46" s="2"/>
      <c r="N46" s="2"/>
      <c r="O46" s="2"/>
      <c r="P46" s="2"/>
      <c r="Q46" s="2"/>
      <c r="R46" s="2"/>
      <c r="S46" s="2"/>
      <c r="T46" s="2"/>
      <c r="U46" s="2"/>
      <c r="V46" s="2"/>
      <c r="W46" s="2"/>
      <c r="X46" s="2"/>
      <c r="Y46" s="2"/>
      <c r="Z46" s="2"/>
    </row>
    <row r="47">
      <c r="A47" s="1" t="s">
        <v>13</v>
      </c>
      <c r="B47" s="1" t="s">
        <v>261</v>
      </c>
      <c r="C47" s="1" t="s">
        <v>192</v>
      </c>
      <c r="D47" s="1" t="s">
        <v>264</v>
      </c>
      <c r="E47" s="1" t="s">
        <v>265</v>
      </c>
      <c r="F47" s="1" t="s">
        <v>262</v>
      </c>
      <c r="G47" s="1" t="s">
        <v>43</v>
      </c>
      <c r="H47" s="1" t="s">
        <v>258</v>
      </c>
      <c r="I47" s="1" t="s">
        <v>263</v>
      </c>
      <c r="J47" s="2"/>
      <c r="K47" s="2"/>
      <c r="L47" s="2"/>
      <c r="M47" s="2"/>
      <c r="N47" s="2"/>
      <c r="O47" s="2"/>
      <c r="P47" s="2"/>
      <c r="Q47" s="2"/>
      <c r="R47" s="2"/>
      <c r="S47" s="2"/>
      <c r="T47" s="2"/>
      <c r="U47" s="2"/>
      <c r="V47" s="2"/>
      <c r="W47" s="2"/>
      <c r="X47" s="2"/>
      <c r="Y47" s="2"/>
      <c r="Z47" s="2"/>
    </row>
    <row r="48">
      <c r="A48" s="1" t="s">
        <v>13</v>
      </c>
      <c r="B48" s="1" t="s">
        <v>266</v>
      </c>
      <c r="C48" s="1" t="s">
        <v>192</v>
      </c>
      <c r="D48" s="1" t="s">
        <v>270</v>
      </c>
      <c r="E48" s="1" t="s">
        <v>271</v>
      </c>
      <c r="F48" s="1" t="s">
        <v>267</v>
      </c>
      <c r="G48" s="1" t="s">
        <v>21</v>
      </c>
      <c r="H48" s="1" t="s">
        <v>237</v>
      </c>
      <c r="I48" s="1" t="s">
        <v>269</v>
      </c>
      <c r="J48" s="2"/>
      <c r="K48" s="2"/>
      <c r="L48" s="2"/>
      <c r="M48" s="2"/>
      <c r="N48" s="2"/>
      <c r="O48" s="2"/>
      <c r="P48" s="2"/>
      <c r="Q48" s="2"/>
      <c r="R48" s="2"/>
      <c r="S48" s="2"/>
      <c r="T48" s="2"/>
      <c r="U48" s="2"/>
      <c r="V48" s="2"/>
      <c r="W48" s="2"/>
      <c r="X48" s="2"/>
      <c r="Y48" s="2"/>
      <c r="Z48" s="2"/>
    </row>
    <row r="49">
      <c r="A49" s="1" t="s">
        <v>20</v>
      </c>
      <c r="B49" s="1" t="s">
        <v>272</v>
      </c>
      <c r="C49" s="1" t="s">
        <v>192</v>
      </c>
      <c r="D49" s="1" t="s">
        <v>275</v>
      </c>
      <c r="E49" s="1" t="s">
        <v>276</v>
      </c>
      <c r="F49" s="1" t="s">
        <v>273</v>
      </c>
      <c r="G49" s="1" t="s">
        <v>21</v>
      </c>
      <c r="H49" s="1" t="s">
        <v>247</v>
      </c>
      <c r="I49" s="1" t="s">
        <v>274</v>
      </c>
      <c r="J49" s="2"/>
      <c r="K49" s="1"/>
      <c r="L49" s="2"/>
      <c r="M49" s="2"/>
      <c r="N49" s="2"/>
      <c r="O49" s="2"/>
      <c r="P49" s="2"/>
      <c r="Q49" s="2"/>
      <c r="R49" s="2"/>
      <c r="S49" s="2"/>
      <c r="T49" s="2"/>
      <c r="U49" s="2"/>
      <c r="V49" s="2"/>
      <c r="W49" s="2"/>
      <c r="X49" s="2"/>
      <c r="Y49" s="2"/>
      <c r="Z49" s="2"/>
    </row>
    <row r="50">
      <c r="A50" s="1" t="s">
        <v>13</v>
      </c>
      <c r="B50" s="1" t="s">
        <v>277</v>
      </c>
      <c r="C50" s="1" t="s">
        <v>192</v>
      </c>
      <c r="D50" s="1" t="s">
        <v>280</v>
      </c>
      <c r="E50" s="1" t="s">
        <v>281</v>
      </c>
      <c r="F50" s="1" t="s">
        <v>278</v>
      </c>
      <c r="G50" s="1" t="s">
        <v>21</v>
      </c>
      <c r="H50" s="1" t="s">
        <v>279</v>
      </c>
      <c r="I50" s="1" t="s">
        <v>274</v>
      </c>
      <c r="J50" s="2"/>
      <c r="K50" s="2"/>
      <c r="L50" s="2"/>
      <c r="M50" s="2"/>
      <c r="N50" s="2"/>
      <c r="O50" s="2"/>
      <c r="P50" s="2"/>
      <c r="Q50" s="2"/>
      <c r="R50" s="2"/>
      <c r="S50" s="2"/>
      <c r="T50" s="2"/>
      <c r="U50" s="2"/>
      <c r="V50" s="2"/>
      <c r="W50" s="2"/>
      <c r="X50" s="2"/>
      <c r="Y50" s="2"/>
      <c r="Z50" s="2"/>
    </row>
    <row r="51">
      <c r="A51" s="1" t="s">
        <v>13</v>
      </c>
      <c r="B51" s="1" t="s">
        <v>282</v>
      </c>
      <c r="C51" s="1" t="s">
        <v>283</v>
      </c>
      <c r="D51" s="1" t="s">
        <v>286</v>
      </c>
      <c r="E51" s="1" t="s">
        <v>287</v>
      </c>
      <c r="F51" s="1" t="s">
        <v>284</v>
      </c>
      <c r="G51" s="1" t="s">
        <v>21</v>
      </c>
      <c r="H51" s="1" t="s">
        <v>85</v>
      </c>
      <c r="I51" s="1" t="s">
        <v>285</v>
      </c>
      <c r="J51" s="2"/>
      <c r="K51" s="2"/>
      <c r="L51" s="2"/>
      <c r="M51" s="2"/>
      <c r="N51" s="2"/>
      <c r="O51" s="2"/>
      <c r="P51" s="2"/>
      <c r="Q51" s="2"/>
      <c r="R51" s="2"/>
      <c r="S51" s="2"/>
      <c r="T51" s="2"/>
      <c r="U51" s="2"/>
      <c r="V51" s="2"/>
      <c r="W51" s="2"/>
      <c r="X51" s="2"/>
      <c r="Y51" s="2"/>
      <c r="Z51" s="2"/>
    </row>
    <row r="52">
      <c r="A52" s="1" t="s">
        <v>13</v>
      </c>
      <c r="B52" s="1" t="s">
        <v>290</v>
      </c>
      <c r="C52" s="1" t="s">
        <v>283</v>
      </c>
      <c r="D52" s="1" t="s">
        <v>291</v>
      </c>
      <c r="E52" s="1" t="s">
        <v>292</v>
      </c>
      <c r="F52" s="1" t="s">
        <v>293</v>
      </c>
      <c r="G52" s="1" t="s">
        <v>21</v>
      </c>
      <c r="H52" s="1" t="s">
        <v>216</v>
      </c>
      <c r="I52" s="1" t="s">
        <v>294</v>
      </c>
      <c r="J52" s="2"/>
      <c r="K52" s="2"/>
      <c r="L52" s="2"/>
      <c r="M52" s="2"/>
      <c r="N52" s="2"/>
      <c r="O52" s="2"/>
      <c r="P52" s="2"/>
      <c r="Q52" s="2"/>
      <c r="R52" s="2"/>
      <c r="S52" s="2"/>
      <c r="T52" s="2"/>
      <c r="U52" s="2"/>
      <c r="V52" s="2"/>
      <c r="W52" s="2"/>
      <c r="X52" s="2"/>
      <c r="Y52" s="2"/>
      <c r="Z52" s="2"/>
    </row>
    <row r="53">
      <c r="A53" s="1" t="s">
        <v>20</v>
      </c>
      <c r="B53" s="1" t="s">
        <v>295</v>
      </c>
      <c r="C53" s="1" t="s">
        <v>283</v>
      </c>
      <c r="D53" s="1" t="s">
        <v>296</v>
      </c>
      <c r="E53" s="1" t="s">
        <v>297</v>
      </c>
      <c r="F53" s="1" t="s">
        <v>298</v>
      </c>
      <c r="G53" s="1" t="s">
        <v>21</v>
      </c>
      <c r="H53" s="1" t="s">
        <v>216</v>
      </c>
      <c r="I53" s="1" t="s">
        <v>299</v>
      </c>
      <c r="J53" s="2"/>
      <c r="K53" s="1"/>
      <c r="L53" s="2"/>
      <c r="M53" s="2"/>
      <c r="N53" s="2"/>
      <c r="O53" s="2"/>
      <c r="P53" s="2"/>
      <c r="Q53" s="2"/>
      <c r="R53" s="2"/>
      <c r="S53" s="2"/>
      <c r="T53" s="2"/>
      <c r="U53" s="2"/>
      <c r="V53" s="2"/>
      <c r="W53" s="2"/>
      <c r="X53" s="2"/>
      <c r="Y53" s="2"/>
      <c r="Z53" s="2"/>
    </row>
    <row r="54">
      <c r="A54" s="1" t="s">
        <v>13</v>
      </c>
      <c r="B54" s="1" t="s">
        <v>300</v>
      </c>
      <c r="C54" s="1" t="s">
        <v>283</v>
      </c>
      <c r="D54" s="1" t="s">
        <v>301</v>
      </c>
      <c r="E54" s="1" t="s">
        <v>302</v>
      </c>
      <c r="F54" s="1" t="s">
        <v>303</v>
      </c>
      <c r="G54" s="1" t="s">
        <v>21</v>
      </c>
      <c r="H54" s="1" t="s">
        <v>216</v>
      </c>
      <c r="I54" s="1" t="s">
        <v>304</v>
      </c>
      <c r="J54" s="2"/>
      <c r="K54" s="2"/>
      <c r="L54" s="2"/>
      <c r="M54" s="2"/>
      <c r="N54" s="2"/>
      <c r="O54" s="2"/>
      <c r="P54" s="2"/>
      <c r="Q54" s="2"/>
      <c r="R54" s="2"/>
      <c r="S54" s="2"/>
      <c r="T54" s="2"/>
      <c r="U54" s="2"/>
      <c r="V54" s="2"/>
      <c r="W54" s="2"/>
      <c r="X54" s="2"/>
      <c r="Y54" s="2"/>
      <c r="Z54" s="2"/>
    </row>
    <row r="55">
      <c r="A55" s="1" t="s">
        <v>13</v>
      </c>
      <c r="B55" s="1" t="s">
        <v>305</v>
      </c>
      <c r="C55" s="1" t="s">
        <v>283</v>
      </c>
      <c r="D55" s="1" t="s">
        <v>306</v>
      </c>
      <c r="E55" s="1" t="s">
        <v>307</v>
      </c>
      <c r="F55" s="1" t="s">
        <v>308</v>
      </c>
      <c r="G55" s="1" t="s">
        <v>43</v>
      </c>
      <c r="H55" s="1" t="s">
        <v>309</v>
      </c>
      <c r="I55" s="1" t="s">
        <v>310</v>
      </c>
      <c r="J55" s="2"/>
      <c r="K55" s="2"/>
      <c r="L55" s="2"/>
      <c r="M55" s="2"/>
      <c r="N55" s="2"/>
      <c r="O55" s="2"/>
      <c r="P55" s="2"/>
      <c r="Q55" s="2"/>
      <c r="R55" s="2"/>
      <c r="S55" s="2"/>
      <c r="T55" s="2"/>
      <c r="U55" s="2"/>
      <c r="V55" s="2"/>
      <c r="W55" s="2"/>
      <c r="X55" s="2"/>
      <c r="Y55" s="2"/>
      <c r="Z55" s="2"/>
    </row>
    <row r="56">
      <c r="A56" s="1" t="s">
        <v>13</v>
      </c>
      <c r="B56" s="1" t="s">
        <v>311</v>
      </c>
      <c r="C56" s="1" t="s">
        <v>283</v>
      </c>
      <c r="D56" s="1" t="s">
        <v>312</v>
      </c>
      <c r="E56" s="1" t="s">
        <v>313</v>
      </c>
      <c r="F56" s="1" t="s">
        <v>314</v>
      </c>
      <c r="G56" s="1" t="s">
        <v>21</v>
      </c>
      <c r="H56" s="1" t="s">
        <v>216</v>
      </c>
      <c r="I56" s="1" t="s">
        <v>315</v>
      </c>
      <c r="J56" s="2"/>
      <c r="K56" s="2"/>
      <c r="L56" s="2"/>
      <c r="M56" s="2"/>
      <c r="N56" s="2"/>
      <c r="O56" s="2"/>
      <c r="P56" s="2"/>
      <c r="Q56" s="2"/>
      <c r="R56" s="2"/>
      <c r="S56" s="2"/>
      <c r="T56" s="2"/>
      <c r="U56" s="2"/>
      <c r="V56" s="2"/>
      <c r="W56" s="2"/>
      <c r="X56" s="2"/>
      <c r="Y56" s="2"/>
      <c r="Z56" s="2"/>
    </row>
    <row r="57">
      <c r="A57" s="1" t="s">
        <v>13</v>
      </c>
      <c r="B57" s="1" t="s">
        <v>316</v>
      </c>
      <c r="C57" s="1" t="s">
        <v>283</v>
      </c>
      <c r="D57" s="1" t="s">
        <v>317</v>
      </c>
      <c r="E57" s="1" t="s">
        <v>318</v>
      </c>
      <c r="F57" s="1" t="s">
        <v>320</v>
      </c>
      <c r="G57" s="1" t="s">
        <v>21</v>
      </c>
      <c r="H57" s="1" t="s">
        <v>237</v>
      </c>
      <c r="I57" s="1" t="s">
        <v>321</v>
      </c>
      <c r="J57" s="2"/>
      <c r="K57" s="2"/>
      <c r="L57" s="2"/>
      <c r="M57" s="2"/>
      <c r="N57" s="2"/>
      <c r="O57" s="2"/>
      <c r="P57" s="2"/>
      <c r="Q57" s="2"/>
      <c r="R57" s="2"/>
      <c r="S57" s="2"/>
      <c r="T57" s="2"/>
      <c r="U57" s="2"/>
      <c r="V57" s="2"/>
      <c r="W57" s="2"/>
      <c r="X57" s="2"/>
      <c r="Y57" s="2"/>
      <c r="Z57" s="2"/>
    </row>
    <row r="58">
      <c r="A58" s="1" t="s">
        <v>13</v>
      </c>
      <c r="B58" s="1" t="s">
        <v>322</v>
      </c>
      <c r="C58" s="1" t="s">
        <v>283</v>
      </c>
      <c r="D58" s="1" t="s">
        <v>323</v>
      </c>
      <c r="E58" s="1" t="s">
        <v>324</v>
      </c>
      <c r="F58" s="1" t="s">
        <v>325</v>
      </c>
      <c r="G58" s="1" t="s">
        <v>21</v>
      </c>
      <c r="H58" s="1" t="s">
        <v>279</v>
      </c>
      <c r="I58" s="1" t="s">
        <v>321</v>
      </c>
      <c r="J58" s="2"/>
      <c r="K58" s="2"/>
      <c r="L58" s="2"/>
      <c r="M58" s="2"/>
      <c r="N58" s="2"/>
      <c r="O58" s="2"/>
      <c r="P58" s="2"/>
      <c r="Q58" s="2"/>
      <c r="R58" s="2"/>
      <c r="S58" s="2"/>
      <c r="T58" s="2"/>
      <c r="U58" s="2"/>
      <c r="V58" s="2"/>
      <c r="W58" s="2"/>
      <c r="X58" s="2"/>
      <c r="Y58" s="2"/>
      <c r="Z58" s="2"/>
    </row>
    <row r="59">
      <c r="A59" s="1" t="s">
        <v>13</v>
      </c>
      <c r="B59" s="1" t="s">
        <v>326</v>
      </c>
      <c r="C59" s="1" t="s">
        <v>283</v>
      </c>
      <c r="D59" s="1" t="s">
        <v>327</v>
      </c>
      <c r="E59" s="1" t="s">
        <v>328</v>
      </c>
      <c r="F59" s="1" t="s">
        <v>329</v>
      </c>
      <c r="G59" s="1" t="s">
        <v>21</v>
      </c>
      <c r="H59" s="1" t="s">
        <v>237</v>
      </c>
      <c r="I59" s="1" t="s">
        <v>330</v>
      </c>
      <c r="J59" s="2"/>
      <c r="K59" s="2"/>
      <c r="L59" s="2"/>
      <c r="M59" s="2"/>
      <c r="N59" s="2"/>
      <c r="O59" s="2"/>
      <c r="P59" s="2"/>
      <c r="Q59" s="2"/>
      <c r="R59" s="2"/>
      <c r="S59" s="2"/>
      <c r="T59" s="2"/>
      <c r="U59" s="2"/>
      <c r="V59" s="2"/>
      <c r="W59" s="2"/>
      <c r="X59" s="2"/>
      <c r="Y59" s="2"/>
      <c r="Z59" s="2"/>
    </row>
    <row r="60">
      <c r="A60" s="1" t="s">
        <v>13</v>
      </c>
      <c r="B60" s="1" t="s">
        <v>331</v>
      </c>
      <c r="C60" s="1" t="s">
        <v>283</v>
      </c>
      <c r="D60" s="1" t="s">
        <v>332</v>
      </c>
      <c r="E60" s="1" t="s">
        <v>333</v>
      </c>
      <c r="F60" s="1" t="s">
        <v>334</v>
      </c>
      <c r="G60" s="1" t="s">
        <v>43</v>
      </c>
      <c r="H60" s="1" t="s">
        <v>237</v>
      </c>
      <c r="I60" s="1" t="s">
        <v>330</v>
      </c>
      <c r="J60" s="2"/>
      <c r="K60" s="2"/>
      <c r="L60" s="2"/>
      <c r="M60" s="2"/>
      <c r="N60" s="2"/>
      <c r="O60" s="2"/>
      <c r="P60" s="2"/>
      <c r="Q60" s="2"/>
      <c r="R60" s="2"/>
      <c r="S60" s="2"/>
      <c r="T60" s="2"/>
      <c r="U60" s="2"/>
      <c r="V60" s="2"/>
      <c r="W60" s="2"/>
      <c r="X60" s="2"/>
      <c r="Y60" s="2"/>
      <c r="Z60" s="2"/>
    </row>
    <row r="61">
      <c r="A61" s="1" t="s">
        <v>13</v>
      </c>
      <c r="B61" s="1" t="s">
        <v>335</v>
      </c>
      <c r="C61" s="1" t="s">
        <v>283</v>
      </c>
      <c r="D61" s="1" t="s">
        <v>336</v>
      </c>
      <c r="E61" s="1" t="s">
        <v>337</v>
      </c>
      <c r="F61" s="1" t="s">
        <v>338</v>
      </c>
      <c r="G61" s="1" t="s">
        <v>43</v>
      </c>
      <c r="H61" s="1" t="s">
        <v>216</v>
      </c>
      <c r="I61" s="1" t="s">
        <v>340</v>
      </c>
      <c r="J61" s="2"/>
      <c r="K61" s="2"/>
      <c r="L61" s="2"/>
      <c r="M61" s="2"/>
      <c r="N61" s="2"/>
      <c r="O61" s="2"/>
      <c r="P61" s="2"/>
      <c r="Q61" s="2"/>
      <c r="R61" s="2"/>
      <c r="S61" s="2"/>
      <c r="T61" s="2"/>
      <c r="U61" s="2"/>
      <c r="V61" s="2"/>
      <c r="W61" s="2"/>
      <c r="X61" s="2"/>
      <c r="Y61" s="2"/>
      <c r="Z61" s="2"/>
    </row>
    <row r="62">
      <c r="A62" s="1" t="s">
        <v>13</v>
      </c>
      <c r="B62" s="1" t="s">
        <v>341</v>
      </c>
      <c r="C62" s="1" t="s">
        <v>342</v>
      </c>
      <c r="D62" s="1" t="s">
        <v>343</v>
      </c>
      <c r="E62" s="1" t="s">
        <v>344</v>
      </c>
      <c r="F62" s="1" t="s">
        <v>345</v>
      </c>
      <c r="G62" s="1" t="s">
        <v>21</v>
      </c>
      <c r="H62" s="1" t="s">
        <v>346</v>
      </c>
      <c r="I62" s="1" t="s">
        <v>347</v>
      </c>
      <c r="J62" s="2"/>
      <c r="K62" s="2"/>
      <c r="L62" s="2"/>
      <c r="M62" s="2"/>
      <c r="N62" s="2"/>
      <c r="O62" s="2"/>
      <c r="P62" s="2"/>
      <c r="Q62" s="2"/>
      <c r="R62" s="2"/>
      <c r="S62" s="2"/>
      <c r="T62" s="2"/>
      <c r="U62" s="2"/>
      <c r="V62" s="2"/>
      <c r="W62" s="2"/>
      <c r="X62" s="2"/>
      <c r="Y62" s="2"/>
      <c r="Z62" s="2"/>
    </row>
    <row r="63">
      <c r="A63" s="1" t="s">
        <v>13</v>
      </c>
      <c r="B63" s="1" t="s">
        <v>348</v>
      </c>
      <c r="C63" s="1" t="s">
        <v>342</v>
      </c>
      <c r="D63" s="1" t="s">
        <v>349</v>
      </c>
      <c r="E63" s="1" t="s">
        <v>350</v>
      </c>
      <c r="F63" s="1" t="s">
        <v>351</v>
      </c>
      <c r="G63" s="1" t="s">
        <v>21</v>
      </c>
      <c r="H63" s="1" t="s">
        <v>247</v>
      </c>
      <c r="I63" s="1" t="s">
        <v>352</v>
      </c>
      <c r="J63" s="2"/>
      <c r="K63" s="2"/>
      <c r="L63" s="2"/>
      <c r="M63" s="2"/>
      <c r="N63" s="2"/>
      <c r="O63" s="2"/>
      <c r="P63" s="2"/>
      <c r="Q63" s="2"/>
      <c r="R63" s="2"/>
      <c r="S63" s="2"/>
      <c r="T63" s="2"/>
      <c r="U63" s="2"/>
      <c r="V63" s="2"/>
      <c r="W63" s="2"/>
      <c r="X63" s="2"/>
      <c r="Y63" s="2"/>
      <c r="Z63" s="2"/>
    </row>
    <row r="64">
      <c r="A64" s="1" t="s">
        <v>13</v>
      </c>
      <c r="B64" s="1" t="s">
        <v>353</v>
      </c>
      <c r="C64" s="1" t="s">
        <v>342</v>
      </c>
      <c r="D64" s="1" t="s">
        <v>354</v>
      </c>
      <c r="E64" s="1" t="s">
        <v>355</v>
      </c>
      <c r="F64" s="1" t="s">
        <v>356</v>
      </c>
      <c r="G64" s="1" t="s">
        <v>43</v>
      </c>
      <c r="H64" s="1" t="s">
        <v>247</v>
      </c>
      <c r="I64" s="1" t="s">
        <v>357</v>
      </c>
      <c r="J64" s="2"/>
      <c r="K64" s="2"/>
      <c r="L64" s="2"/>
      <c r="M64" s="2"/>
      <c r="N64" s="2"/>
      <c r="O64" s="2"/>
      <c r="P64" s="2"/>
      <c r="Q64" s="2"/>
      <c r="R64" s="2"/>
      <c r="S64" s="2"/>
      <c r="T64" s="2"/>
      <c r="U64" s="2"/>
      <c r="V64" s="2"/>
      <c r="W64" s="2"/>
      <c r="X64" s="2"/>
      <c r="Y64" s="2"/>
      <c r="Z64" s="2"/>
    </row>
    <row r="65">
      <c r="A65" s="1" t="s">
        <v>13</v>
      </c>
      <c r="B65" s="1" t="s">
        <v>358</v>
      </c>
      <c r="C65" s="1" t="s">
        <v>342</v>
      </c>
      <c r="D65" s="1" t="s">
        <v>359</v>
      </c>
      <c r="E65" s="1" t="s">
        <v>360</v>
      </c>
      <c r="F65" s="1" t="s">
        <v>361</v>
      </c>
      <c r="G65" s="1" t="s">
        <v>21</v>
      </c>
      <c r="H65" s="1" t="s">
        <v>247</v>
      </c>
      <c r="I65" s="1" t="s">
        <v>362</v>
      </c>
      <c r="J65" s="2"/>
      <c r="K65" s="2"/>
      <c r="L65" s="2"/>
      <c r="M65" s="2"/>
      <c r="N65" s="2"/>
      <c r="O65" s="2"/>
      <c r="P65" s="2"/>
      <c r="Q65" s="2"/>
      <c r="R65" s="2"/>
      <c r="S65" s="2"/>
      <c r="T65" s="2"/>
      <c r="U65" s="2"/>
      <c r="V65" s="2"/>
      <c r="W65" s="2"/>
      <c r="X65" s="2"/>
      <c r="Y65" s="2"/>
      <c r="Z65" s="2"/>
    </row>
    <row r="66">
      <c r="A66" s="1" t="s">
        <v>13</v>
      </c>
      <c r="B66" s="1" t="s">
        <v>363</v>
      </c>
      <c r="C66" s="1" t="s">
        <v>342</v>
      </c>
      <c r="D66" s="1" t="s">
        <v>364</v>
      </c>
      <c r="E66" s="1" t="s">
        <v>365</v>
      </c>
      <c r="F66" s="1" t="s">
        <v>366</v>
      </c>
      <c r="G66" s="1" t="s">
        <v>21</v>
      </c>
      <c r="H66" s="1" t="s">
        <v>247</v>
      </c>
      <c r="I66" s="1" t="s">
        <v>367</v>
      </c>
      <c r="J66" s="2"/>
      <c r="K66" s="2"/>
      <c r="L66" s="2"/>
      <c r="M66" s="2"/>
      <c r="N66" s="2"/>
      <c r="O66" s="2"/>
      <c r="P66" s="2"/>
      <c r="Q66" s="2"/>
      <c r="R66" s="2"/>
      <c r="S66" s="2"/>
      <c r="T66" s="2"/>
      <c r="U66" s="2"/>
      <c r="V66" s="2"/>
      <c r="W66" s="2"/>
      <c r="X66" s="2"/>
      <c r="Y66" s="2"/>
      <c r="Z66" s="2"/>
    </row>
    <row r="67">
      <c r="A67" s="1" t="s">
        <v>368</v>
      </c>
      <c r="B67" s="1" t="s">
        <v>369</v>
      </c>
      <c r="C67" s="1" t="s">
        <v>342</v>
      </c>
      <c r="D67" s="1" t="s">
        <v>370</v>
      </c>
      <c r="E67" s="1" t="s">
        <v>371</v>
      </c>
      <c r="F67" s="1" t="s">
        <v>372</v>
      </c>
      <c r="G67" s="1" t="s">
        <v>21</v>
      </c>
      <c r="H67" s="1" t="s">
        <v>373</v>
      </c>
      <c r="I67" s="1" t="s">
        <v>374</v>
      </c>
      <c r="J67" s="2"/>
      <c r="K67" s="2"/>
      <c r="L67" s="2"/>
      <c r="M67" s="2"/>
      <c r="N67" s="2"/>
      <c r="O67" s="2"/>
      <c r="P67" s="2"/>
      <c r="Q67" s="2"/>
      <c r="R67" s="2"/>
      <c r="S67" s="2"/>
      <c r="T67" s="2"/>
      <c r="U67" s="2"/>
      <c r="V67" s="2"/>
      <c r="W67" s="2"/>
      <c r="X67" s="2"/>
      <c r="Y67" s="2"/>
      <c r="Z67" s="2"/>
    </row>
    <row r="68">
      <c r="A68" s="1" t="s">
        <v>13</v>
      </c>
      <c r="B68" s="1" t="s">
        <v>375</v>
      </c>
      <c r="C68" s="1" t="s">
        <v>376</v>
      </c>
      <c r="D68" s="1" t="s">
        <v>377</v>
      </c>
      <c r="E68" s="1" t="s">
        <v>378</v>
      </c>
      <c r="F68" s="1" t="s">
        <v>379</v>
      </c>
      <c r="G68" s="1" t="s">
        <v>21</v>
      </c>
      <c r="H68" s="1" t="s">
        <v>380</v>
      </c>
      <c r="I68" s="1" t="s">
        <v>381</v>
      </c>
      <c r="J68" s="2"/>
      <c r="K68" s="2"/>
      <c r="L68" s="2"/>
      <c r="M68" s="2"/>
      <c r="N68" s="2"/>
      <c r="O68" s="2"/>
      <c r="P68" s="2"/>
      <c r="Q68" s="2"/>
      <c r="R68" s="2"/>
      <c r="S68" s="2"/>
      <c r="T68" s="2"/>
      <c r="U68" s="2"/>
      <c r="V68" s="2"/>
      <c r="W68" s="2"/>
      <c r="X68" s="2"/>
      <c r="Y68" s="2"/>
      <c r="Z68" s="2"/>
    </row>
    <row r="69">
      <c r="A69" s="1" t="s">
        <v>13</v>
      </c>
      <c r="B69" s="1" t="s">
        <v>382</v>
      </c>
      <c r="C69" s="1" t="s">
        <v>376</v>
      </c>
      <c r="D69" s="1" t="s">
        <v>383</v>
      </c>
      <c r="E69" s="1" t="s">
        <v>384</v>
      </c>
      <c r="F69" s="1" t="s">
        <v>385</v>
      </c>
      <c r="G69" s="1" t="s">
        <v>21</v>
      </c>
      <c r="H69" s="1" t="s">
        <v>96</v>
      </c>
      <c r="I69" s="1" t="s">
        <v>386</v>
      </c>
      <c r="J69" s="2"/>
      <c r="K69" s="2"/>
      <c r="L69" s="2"/>
      <c r="M69" s="2"/>
      <c r="N69" s="2"/>
      <c r="O69" s="2"/>
      <c r="P69" s="2"/>
      <c r="Q69" s="2"/>
      <c r="R69" s="2"/>
      <c r="S69" s="2"/>
      <c r="T69" s="2"/>
      <c r="U69" s="2"/>
      <c r="V69" s="2"/>
      <c r="W69" s="2"/>
      <c r="X69" s="2"/>
      <c r="Y69" s="2"/>
      <c r="Z69" s="2"/>
    </row>
    <row r="70">
      <c r="A70" s="1" t="s">
        <v>13</v>
      </c>
      <c r="B70" s="1" t="s">
        <v>387</v>
      </c>
      <c r="C70" s="1" t="s">
        <v>376</v>
      </c>
      <c r="D70" s="1" t="s">
        <v>388</v>
      </c>
      <c r="E70" s="1" t="s">
        <v>389</v>
      </c>
      <c r="F70" s="1" t="s">
        <v>390</v>
      </c>
      <c r="G70" s="1" t="s">
        <v>21</v>
      </c>
      <c r="H70" s="1" t="s">
        <v>96</v>
      </c>
      <c r="I70" s="1" t="s">
        <v>386</v>
      </c>
      <c r="J70" s="2"/>
      <c r="K70" s="2"/>
      <c r="L70" s="2"/>
      <c r="M70" s="2"/>
      <c r="N70" s="2"/>
      <c r="O70" s="2"/>
      <c r="P70" s="2"/>
      <c r="Q70" s="2"/>
      <c r="R70" s="2"/>
      <c r="S70" s="2"/>
      <c r="T70" s="2"/>
      <c r="U70" s="2"/>
      <c r="V70" s="2"/>
      <c r="W70" s="2"/>
      <c r="X70" s="2"/>
      <c r="Y70" s="2"/>
      <c r="Z70" s="2"/>
    </row>
    <row r="71">
      <c r="A71" s="1" t="s">
        <v>13</v>
      </c>
      <c r="B71" s="1" t="s">
        <v>391</v>
      </c>
      <c r="C71" s="1" t="s">
        <v>376</v>
      </c>
      <c r="D71" s="1" t="s">
        <v>392</v>
      </c>
      <c r="E71" s="1" t="s">
        <v>393</v>
      </c>
      <c r="F71" s="1" t="s">
        <v>394</v>
      </c>
      <c r="G71" s="1" t="s">
        <v>21</v>
      </c>
      <c r="H71" s="1" t="s">
        <v>96</v>
      </c>
      <c r="I71" s="1" t="s">
        <v>386</v>
      </c>
      <c r="J71" s="2"/>
      <c r="K71" s="2"/>
      <c r="L71" s="2"/>
      <c r="M71" s="2"/>
      <c r="N71" s="2"/>
      <c r="O71" s="2"/>
      <c r="P71" s="2"/>
      <c r="Q71" s="2"/>
      <c r="R71" s="2"/>
      <c r="S71" s="2"/>
      <c r="T71" s="2"/>
      <c r="U71" s="2"/>
      <c r="V71" s="2"/>
      <c r="W71" s="2"/>
      <c r="X71" s="2"/>
      <c r="Y71" s="2"/>
      <c r="Z71" s="2"/>
    </row>
    <row r="72">
      <c r="A72" s="1" t="s">
        <v>13</v>
      </c>
      <c r="B72" s="1" t="s">
        <v>395</v>
      </c>
      <c r="C72" s="1" t="s">
        <v>376</v>
      </c>
      <c r="D72" s="1" t="s">
        <v>396</v>
      </c>
      <c r="E72" s="1" t="s">
        <v>397</v>
      </c>
      <c r="F72" s="1" t="s">
        <v>398</v>
      </c>
      <c r="G72" s="1" t="s">
        <v>21</v>
      </c>
      <c r="H72" s="1" t="s">
        <v>96</v>
      </c>
      <c r="I72" s="1" t="s">
        <v>386</v>
      </c>
      <c r="J72" s="2"/>
      <c r="K72" s="2"/>
      <c r="L72" s="2"/>
      <c r="M72" s="2"/>
      <c r="N72" s="2"/>
      <c r="O72" s="2"/>
      <c r="P72" s="2"/>
      <c r="Q72" s="2"/>
      <c r="R72" s="2"/>
      <c r="S72" s="2"/>
      <c r="T72" s="2"/>
      <c r="U72" s="2"/>
      <c r="V72" s="2"/>
      <c r="W72" s="2"/>
      <c r="X72" s="2"/>
      <c r="Y72" s="2"/>
      <c r="Z72" s="2"/>
    </row>
    <row r="73">
      <c r="A73" s="1" t="s">
        <v>13</v>
      </c>
      <c r="B73" s="1" t="s">
        <v>399</v>
      </c>
      <c r="C73" s="1" t="s">
        <v>376</v>
      </c>
      <c r="D73" s="1" t="s">
        <v>400</v>
      </c>
      <c r="E73" s="1" t="s">
        <v>401</v>
      </c>
      <c r="F73" s="1" t="s">
        <v>402</v>
      </c>
      <c r="G73" s="1" t="s">
        <v>21</v>
      </c>
      <c r="H73" s="1" t="s">
        <v>96</v>
      </c>
      <c r="I73" s="1" t="s">
        <v>403</v>
      </c>
      <c r="J73" s="2"/>
      <c r="K73" s="2"/>
      <c r="L73" s="2"/>
      <c r="M73" s="2"/>
      <c r="N73" s="2"/>
      <c r="O73" s="2"/>
      <c r="P73" s="2"/>
      <c r="Q73" s="2"/>
      <c r="R73" s="2"/>
      <c r="S73" s="2"/>
      <c r="T73" s="2"/>
      <c r="U73" s="2"/>
      <c r="V73" s="2"/>
      <c r="W73" s="2"/>
      <c r="X73" s="2"/>
      <c r="Y73" s="2"/>
      <c r="Z73" s="2"/>
    </row>
    <row r="74">
      <c r="A74" s="1" t="s">
        <v>13</v>
      </c>
      <c r="B74" s="1" t="s">
        <v>404</v>
      </c>
      <c r="C74" s="1" t="s">
        <v>376</v>
      </c>
      <c r="D74" s="1" t="s">
        <v>405</v>
      </c>
      <c r="E74" s="1" t="s">
        <v>406</v>
      </c>
      <c r="F74" s="1" t="s">
        <v>407</v>
      </c>
      <c r="G74" s="1" t="s">
        <v>21</v>
      </c>
      <c r="H74" s="1" t="s">
        <v>96</v>
      </c>
      <c r="I74" s="1" t="s">
        <v>403</v>
      </c>
      <c r="J74" s="2"/>
      <c r="K74" s="2"/>
      <c r="L74" s="2"/>
      <c r="M74" s="2"/>
      <c r="N74" s="2"/>
      <c r="O74" s="2"/>
      <c r="P74" s="2"/>
      <c r="Q74" s="2"/>
      <c r="R74" s="2"/>
      <c r="S74" s="2"/>
      <c r="T74" s="2"/>
      <c r="U74" s="2"/>
      <c r="V74" s="2"/>
      <c r="W74" s="2"/>
      <c r="X74" s="2"/>
      <c r="Y74" s="2"/>
      <c r="Z74" s="2"/>
    </row>
    <row r="75">
      <c r="A75" s="1" t="s">
        <v>13</v>
      </c>
      <c r="B75" s="1" t="s">
        <v>408</v>
      </c>
      <c r="C75" s="1" t="s">
        <v>376</v>
      </c>
      <c r="D75" s="1" t="s">
        <v>409</v>
      </c>
      <c r="E75" s="1" t="s">
        <v>410</v>
      </c>
      <c r="F75" s="1" t="s">
        <v>411</v>
      </c>
      <c r="G75" s="1" t="s">
        <v>21</v>
      </c>
      <c r="H75" s="1" t="s">
        <v>412</v>
      </c>
      <c r="I75" s="1" t="s">
        <v>413</v>
      </c>
      <c r="J75" s="2"/>
      <c r="K75" s="2"/>
      <c r="L75" s="1"/>
      <c r="M75" s="2"/>
      <c r="N75" s="2"/>
      <c r="O75" s="2"/>
      <c r="P75" s="2"/>
      <c r="Q75" s="2"/>
      <c r="R75" s="2"/>
      <c r="S75" s="2"/>
      <c r="T75" s="2"/>
      <c r="U75" s="2"/>
      <c r="V75" s="2"/>
      <c r="W75" s="2"/>
      <c r="X75" s="2"/>
      <c r="Y75" s="2"/>
      <c r="Z75" s="2"/>
    </row>
    <row r="76">
      <c r="A76" s="1" t="s">
        <v>20</v>
      </c>
      <c r="B76" s="1" t="s">
        <v>414</v>
      </c>
      <c r="C76" s="1" t="s">
        <v>376</v>
      </c>
      <c r="D76" s="1" t="s">
        <v>415</v>
      </c>
      <c r="E76" s="1" t="s">
        <v>416</v>
      </c>
      <c r="F76" s="1" t="s">
        <v>417</v>
      </c>
      <c r="G76" s="1" t="s">
        <v>21</v>
      </c>
      <c r="H76" s="1" t="s">
        <v>412</v>
      </c>
      <c r="I76" s="1" t="s">
        <v>418</v>
      </c>
      <c r="J76" s="2"/>
      <c r="K76" s="1"/>
      <c r="L76" s="2"/>
      <c r="M76" s="2"/>
      <c r="N76" s="2"/>
      <c r="O76" s="2"/>
      <c r="P76" s="2"/>
      <c r="Q76" s="2"/>
      <c r="R76" s="2"/>
      <c r="S76" s="2"/>
      <c r="T76" s="2"/>
      <c r="U76" s="2"/>
      <c r="V76" s="2"/>
      <c r="W76" s="2"/>
      <c r="X76" s="2"/>
      <c r="Y76" s="2"/>
      <c r="Z76" s="2"/>
    </row>
    <row r="77">
      <c r="A77" s="1" t="s">
        <v>13</v>
      </c>
      <c r="B77" s="1" t="s">
        <v>419</v>
      </c>
      <c r="C77" s="1" t="s">
        <v>376</v>
      </c>
      <c r="D77" s="1" t="s">
        <v>420</v>
      </c>
      <c r="E77" s="1" t="s">
        <v>421</v>
      </c>
      <c r="F77" s="1" t="s">
        <v>422</v>
      </c>
      <c r="G77" s="1" t="s">
        <v>21</v>
      </c>
      <c r="H77" s="1" t="s">
        <v>412</v>
      </c>
      <c r="I77" s="1" t="s">
        <v>423</v>
      </c>
      <c r="J77" s="2"/>
      <c r="K77" s="2"/>
      <c r="L77" s="2"/>
      <c r="M77" s="2"/>
      <c r="N77" s="2"/>
      <c r="O77" s="2"/>
      <c r="P77" s="2"/>
      <c r="Q77" s="2"/>
      <c r="R77" s="2"/>
      <c r="S77" s="2"/>
      <c r="T77" s="2"/>
      <c r="U77" s="2"/>
      <c r="V77" s="2"/>
      <c r="W77" s="2"/>
      <c r="X77" s="2"/>
      <c r="Y77" s="2"/>
      <c r="Z77" s="2"/>
    </row>
    <row r="78">
      <c r="A78" s="1" t="s">
        <v>20</v>
      </c>
      <c r="B78" s="1" t="s">
        <v>424</v>
      </c>
      <c r="C78" s="1" t="s">
        <v>376</v>
      </c>
      <c r="D78" s="1" t="s">
        <v>425</v>
      </c>
      <c r="E78" s="1" t="s">
        <v>426</v>
      </c>
      <c r="F78" s="1" t="s">
        <v>427</v>
      </c>
      <c r="G78" s="1" t="s">
        <v>21</v>
      </c>
      <c r="H78" s="1" t="s">
        <v>412</v>
      </c>
      <c r="I78" s="1" t="s">
        <v>428</v>
      </c>
      <c r="J78" s="2"/>
      <c r="K78" s="1"/>
      <c r="L78" s="2"/>
      <c r="M78" s="2"/>
      <c r="N78" s="2"/>
      <c r="O78" s="2"/>
      <c r="P78" s="2"/>
      <c r="Q78" s="2"/>
      <c r="R78" s="2"/>
      <c r="S78" s="2"/>
      <c r="T78" s="2"/>
      <c r="U78" s="2"/>
      <c r="V78" s="2"/>
      <c r="W78" s="2"/>
      <c r="X78" s="2"/>
      <c r="Y78" s="2"/>
      <c r="Z78" s="2"/>
    </row>
    <row r="79">
      <c r="A79" s="1" t="s">
        <v>13</v>
      </c>
      <c r="B79" s="1" t="s">
        <v>429</v>
      </c>
      <c r="C79" s="1" t="s">
        <v>376</v>
      </c>
      <c r="D79" s="1" t="s">
        <v>430</v>
      </c>
      <c r="E79" s="1" t="s">
        <v>431</v>
      </c>
      <c r="F79" s="1" t="s">
        <v>432</v>
      </c>
      <c r="G79" s="1" t="s">
        <v>21</v>
      </c>
      <c r="H79" s="1" t="s">
        <v>412</v>
      </c>
      <c r="I79" s="1" t="s">
        <v>433</v>
      </c>
      <c r="J79" s="2"/>
      <c r="K79" s="2"/>
      <c r="L79" s="2"/>
      <c r="M79" s="2"/>
      <c r="N79" s="2"/>
      <c r="O79" s="2"/>
      <c r="P79" s="2"/>
      <c r="Q79" s="2"/>
      <c r="R79" s="2"/>
      <c r="S79" s="2"/>
      <c r="T79" s="2"/>
      <c r="U79" s="2"/>
      <c r="V79" s="2"/>
      <c r="W79" s="2"/>
      <c r="X79" s="2"/>
      <c r="Y79" s="2"/>
      <c r="Z79" s="2"/>
    </row>
    <row r="80">
      <c r="A80" s="1" t="s">
        <v>146</v>
      </c>
      <c r="B80" s="1" t="s">
        <v>434</v>
      </c>
      <c r="C80" s="1" t="s">
        <v>376</v>
      </c>
      <c r="D80" s="1" t="s">
        <v>435</v>
      </c>
      <c r="E80" s="1" t="s">
        <v>436</v>
      </c>
      <c r="F80" s="1" t="s">
        <v>437</v>
      </c>
      <c r="G80" s="1" t="s">
        <v>21</v>
      </c>
      <c r="H80" s="1" t="s">
        <v>438</v>
      </c>
      <c r="I80" s="1" t="s">
        <v>439</v>
      </c>
      <c r="J80" s="2"/>
      <c r="K80" s="1"/>
      <c r="L80" s="2"/>
      <c r="M80" s="2"/>
      <c r="N80" s="2"/>
      <c r="O80" s="2"/>
      <c r="P80" s="2"/>
      <c r="Q80" s="2"/>
      <c r="R80" s="2"/>
      <c r="S80" s="2"/>
      <c r="T80" s="2"/>
      <c r="U80" s="2"/>
      <c r="V80" s="2"/>
      <c r="W80" s="2"/>
      <c r="X80" s="2"/>
      <c r="Y80" s="2"/>
      <c r="Z80" s="2"/>
    </row>
    <row r="81">
      <c r="A81" s="1" t="s">
        <v>146</v>
      </c>
      <c r="B81" s="1" t="s">
        <v>440</v>
      </c>
      <c r="C81" s="1" t="s">
        <v>376</v>
      </c>
      <c r="D81" s="1" t="s">
        <v>441</v>
      </c>
      <c r="E81" s="1" t="s">
        <v>442</v>
      </c>
      <c r="F81" s="1" t="s">
        <v>443</v>
      </c>
      <c r="G81" s="1" t="s">
        <v>21</v>
      </c>
      <c r="H81" s="1" t="s">
        <v>438</v>
      </c>
      <c r="I81" s="1" t="s">
        <v>444</v>
      </c>
      <c r="J81" s="2"/>
      <c r="K81" s="1"/>
      <c r="L81" s="2"/>
      <c r="M81" s="2"/>
      <c r="N81" s="2"/>
      <c r="O81" s="2"/>
      <c r="P81" s="2"/>
      <c r="Q81" s="2"/>
      <c r="R81" s="2"/>
      <c r="S81" s="2"/>
      <c r="T81" s="2"/>
      <c r="U81" s="2"/>
      <c r="V81" s="2"/>
      <c r="W81" s="2"/>
      <c r="X81" s="2"/>
      <c r="Y81" s="2"/>
      <c r="Z81" s="2"/>
    </row>
    <row r="82">
      <c r="A82" s="1" t="s">
        <v>146</v>
      </c>
      <c r="B82" s="1" t="s">
        <v>445</v>
      </c>
      <c r="C82" s="1" t="s">
        <v>376</v>
      </c>
      <c r="D82" s="1" t="s">
        <v>446</v>
      </c>
      <c r="E82" s="1" t="s">
        <v>447</v>
      </c>
      <c r="F82" s="1" t="s">
        <v>448</v>
      </c>
      <c r="G82" s="1" t="s">
        <v>21</v>
      </c>
      <c r="H82" s="1" t="s">
        <v>438</v>
      </c>
      <c r="I82" s="1" t="s">
        <v>449</v>
      </c>
      <c r="J82" s="2"/>
      <c r="K82" s="1"/>
      <c r="L82" s="2"/>
      <c r="M82" s="2"/>
      <c r="N82" s="2"/>
      <c r="O82" s="2"/>
      <c r="P82" s="2"/>
      <c r="Q82" s="2"/>
      <c r="R82" s="2"/>
      <c r="S82" s="2"/>
      <c r="T82" s="2"/>
      <c r="U82" s="2"/>
      <c r="V82" s="2"/>
      <c r="W82" s="2"/>
      <c r="X82" s="2"/>
      <c r="Y82" s="2"/>
      <c r="Z82" s="2"/>
    </row>
    <row r="83">
      <c r="A83" s="1" t="s">
        <v>146</v>
      </c>
      <c r="B83" s="1" t="s">
        <v>450</v>
      </c>
      <c r="C83" s="1" t="s">
        <v>376</v>
      </c>
      <c r="D83" s="1" t="s">
        <v>451</v>
      </c>
      <c r="E83" s="1" t="s">
        <v>452</v>
      </c>
      <c r="F83" s="1" t="s">
        <v>453</v>
      </c>
      <c r="G83" s="1" t="s">
        <v>43</v>
      </c>
      <c r="H83" s="1" t="s">
        <v>438</v>
      </c>
      <c r="I83" s="1" t="s">
        <v>449</v>
      </c>
      <c r="J83" s="2"/>
      <c r="K83" s="1"/>
      <c r="L83" s="2"/>
      <c r="M83" s="2"/>
      <c r="N83" s="2"/>
      <c r="O83" s="2"/>
      <c r="P83" s="2"/>
      <c r="Q83" s="2"/>
      <c r="R83" s="2"/>
      <c r="S83" s="2"/>
      <c r="T83" s="2"/>
      <c r="U83" s="2"/>
      <c r="V83" s="2"/>
      <c r="W83" s="2"/>
      <c r="X83" s="2"/>
      <c r="Y83" s="2"/>
      <c r="Z83" s="2"/>
    </row>
    <row r="84">
      <c r="A84" s="1" t="s">
        <v>146</v>
      </c>
      <c r="B84" s="1" t="s">
        <v>454</v>
      </c>
      <c r="C84" s="1" t="s">
        <v>376</v>
      </c>
      <c r="D84" s="1" t="s">
        <v>455</v>
      </c>
      <c r="E84" s="1" t="s">
        <v>456</v>
      </c>
      <c r="F84" s="1" t="s">
        <v>457</v>
      </c>
      <c r="G84" s="1" t="s">
        <v>43</v>
      </c>
      <c r="H84" s="1" t="s">
        <v>438</v>
      </c>
      <c r="I84" s="1" t="s">
        <v>458</v>
      </c>
      <c r="J84" s="2"/>
      <c r="K84" s="1"/>
      <c r="L84" s="2"/>
      <c r="M84" s="2"/>
      <c r="N84" s="2"/>
      <c r="O84" s="2"/>
      <c r="P84" s="2"/>
      <c r="Q84" s="2"/>
      <c r="R84" s="2"/>
      <c r="S84" s="2"/>
      <c r="T84" s="2"/>
      <c r="U84" s="2"/>
      <c r="V84" s="2"/>
      <c r="W84" s="2"/>
      <c r="X84" s="2"/>
      <c r="Y84" s="2"/>
      <c r="Z84" s="2"/>
    </row>
    <row r="85">
      <c r="A85" s="1" t="s">
        <v>146</v>
      </c>
      <c r="B85" s="1" t="s">
        <v>460</v>
      </c>
      <c r="C85" s="1" t="s">
        <v>461</v>
      </c>
      <c r="D85" s="1" t="s">
        <v>462</v>
      </c>
      <c r="E85" s="1" t="s">
        <v>463</v>
      </c>
      <c r="F85" s="1" t="s">
        <v>464</v>
      </c>
      <c r="G85" s="1" t="s">
        <v>21</v>
      </c>
      <c r="H85" s="1" t="s">
        <v>465</v>
      </c>
      <c r="I85" s="1" t="s">
        <v>466</v>
      </c>
      <c r="J85" s="2"/>
      <c r="K85" s="2"/>
      <c r="L85" s="2"/>
      <c r="M85" s="2"/>
      <c r="N85" s="2"/>
      <c r="O85" s="2"/>
      <c r="P85" s="2"/>
      <c r="Q85" s="2"/>
      <c r="R85" s="2"/>
      <c r="S85" s="2"/>
      <c r="T85" s="2"/>
      <c r="U85" s="2"/>
      <c r="V85" s="2"/>
      <c r="W85" s="2"/>
      <c r="X85" s="2"/>
      <c r="Y85" s="2"/>
      <c r="Z85" s="2"/>
    </row>
    <row r="86">
      <c r="A86" s="1" t="s">
        <v>146</v>
      </c>
      <c r="B86" s="1" t="s">
        <v>467</v>
      </c>
      <c r="C86" s="1" t="s">
        <v>461</v>
      </c>
      <c r="D86" s="1" t="s">
        <v>468</v>
      </c>
      <c r="E86" s="1" t="s">
        <v>469</v>
      </c>
      <c r="F86" s="1" t="s">
        <v>470</v>
      </c>
      <c r="G86" s="1" t="s">
        <v>21</v>
      </c>
      <c r="H86" s="1" t="s">
        <v>465</v>
      </c>
      <c r="I86" s="1" t="s">
        <v>466</v>
      </c>
      <c r="J86" s="2"/>
      <c r="K86" s="2"/>
      <c r="L86" s="2"/>
      <c r="M86" s="2"/>
      <c r="N86" s="2"/>
      <c r="O86" s="2"/>
      <c r="P86" s="2"/>
      <c r="Q86" s="2"/>
      <c r="R86" s="2"/>
      <c r="S86" s="2"/>
      <c r="T86" s="2"/>
      <c r="U86" s="2"/>
      <c r="V86" s="2"/>
      <c r="W86" s="2"/>
      <c r="X86" s="2"/>
      <c r="Y86" s="2"/>
      <c r="Z86" s="2"/>
    </row>
    <row r="87">
      <c r="A87" s="1" t="s">
        <v>146</v>
      </c>
      <c r="B87" s="1" t="s">
        <v>472</v>
      </c>
      <c r="C87" s="1" t="s">
        <v>461</v>
      </c>
      <c r="D87" s="1" t="s">
        <v>473</v>
      </c>
      <c r="E87" s="1" t="s">
        <v>474</v>
      </c>
      <c r="F87" s="1" t="s">
        <v>475</v>
      </c>
      <c r="G87" s="1" t="s">
        <v>21</v>
      </c>
      <c r="H87" s="1" t="s">
        <v>465</v>
      </c>
      <c r="I87" s="1" t="s">
        <v>466</v>
      </c>
      <c r="J87" s="2"/>
      <c r="K87" s="2"/>
      <c r="L87" s="2"/>
      <c r="M87" s="2"/>
      <c r="N87" s="2"/>
      <c r="O87" s="2"/>
      <c r="P87" s="2"/>
      <c r="Q87" s="2"/>
      <c r="R87" s="2"/>
      <c r="S87" s="2"/>
      <c r="T87" s="2"/>
      <c r="U87" s="2"/>
      <c r="V87" s="2"/>
      <c r="W87" s="2"/>
      <c r="X87" s="2"/>
      <c r="Y87" s="2"/>
      <c r="Z87" s="2"/>
    </row>
    <row r="88">
      <c r="A88" s="1" t="s">
        <v>146</v>
      </c>
      <c r="B88" s="1" t="s">
        <v>476</v>
      </c>
      <c r="C88" s="1" t="s">
        <v>461</v>
      </c>
      <c r="D88" s="1" t="s">
        <v>477</v>
      </c>
      <c r="E88" s="1" t="s">
        <v>478</v>
      </c>
      <c r="F88" s="1" t="s">
        <v>479</v>
      </c>
      <c r="G88" s="1" t="s">
        <v>21</v>
      </c>
      <c r="H88" s="1" t="s">
        <v>465</v>
      </c>
      <c r="I88" s="1" t="s">
        <v>466</v>
      </c>
      <c r="J88" s="2"/>
      <c r="K88" s="2"/>
      <c r="L88" s="2"/>
      <c r="M88" s="2"/>
      <c r="N88" s="2"/>
      <c r="O88" s="2"/>
      <c r="P88" s="2"/>
      <c r="Q88" s="2"/>
      <c r="R88" s="2"/>
      <c r="S88" s="2"/>
      <c r="T88" s="2"/>
      <c r="U88" s="2"/>
      <c r="V88" s="2"/>
      <c r="W88" s="2"/>
      <c r="X88" s="2"/>
      <c r="Y88" s="2"/>
      <c r="Z88" s="2"/>
    </row>
    <row r="89">
      <c r="A89" s="1" t="s">
        <v>146</v>
      </c>
      <c r="B89" s="1" t="s">
        <v>480</v>
      </c>
      <c r="C89" s="1" t="s">
        <v>461</v>
      </c>
      <c r="D89" s="1" t="s">
        <v>481</v>
      </c>
      <c r="E89" s="1" t="s">
        <v>482</v>
      </c>
      <c r="F89" s="1" t="s">
        <v>483</v>
      </c>
      <c r="G89" s="1" t="s">
        <v>21</v>
      </c>
      <c r="H89" s="1" t="s">
        <v>465</v>
      </c>
      <c r="I89" s="1" t="s">
        <v>466</v>
      </c>
      <c r="J89" s="2"/>
      <c r="K89" s="2"/>
      <c r="L89" s="2"/>
      <c r="M89" s="2"/>
      <c r="N89" s="2"/>
      <c r="O89" s="2"/>
      <c r="P89" s="2"/>
      <c r="Q89" s="2"/>
      <c r="R89" s="2"/>
      <c r="S89" s="2"/>
      <c r="T89" s="2"/>
      <c r="U89" s="2"/>
      <c r="V89" s="2"/>
      <c r="W89" s="2"/>
      <c r="X89" s="2"/>
      <c r="Y89" s="2"/>
      <c r="Z89" s="2"/>
    </row>
    <row r="90">
      <c r="A90" s="1" t="s">
        <v>146</v>
      </c>
      <c r="B90" s="1" t="s">
        <v>484</v>
      </c>
      <c r="C90" s="1" t="s">
        <v>461</v>
      </c>
      <c r="D90" s="1" t="s">
        <v>485</v>
      </c>
      <c r="E90" s="1" t="s">
        <v>486</v>
      </c>
      <c r="F90" s="1" t="s">
        <v>487</v>
      </c>
      <c r="G90" s="1" t="s">
        <v>21</v>
      </c>
      <c r="H90" s="1" t="s">
        <v>465</v>
      </c>
      <c r="I90" s="1" t="s">
        <v>466</v>
      </c>
      <c r="J90" s="2"/>
      <c r="K90" s="2"/>
      <c r="L90" s="2"/>
      <c r="M90" s="2"/>
      <c r="N90" s="2"/>
      <c r="O90" s="2"/>
      <c r="P90" s="2"/>
      <c r="Q90" s="2"/>
      <c r="R90" s="2"/>
      <c r="S90" s="2"/>
      <c r="T90" s="2"/>
      <c r="U90" s="2"/>
      <c r="V90" s="2"/>
      <c r="W90" s="2"/>
      <c r="X90" s="2"/>
      <c r="Y90" s="2"/>
      <c r="Z90" s="2"/>
    </row>
    <row r="91">
      <c r="A91" s="1" t="s">
        <v>146</v>
      </c>
      <c r="B91" s="1" t="s">
        <v>489</v>
      </c>
      <c r="C91" s="1" t="s">
        <v>461</v>
      </c>
      <c r="D91" s="1" t="s">
        <v>490</v>
      </c>
      <c r="E91" s="1" t="s">
        <v>491</v>
      </c>
      <c r="F91" s="1" t="s">
        <v>492</v>
      </c>
      <c r="G91" s="1" t="s">
        <v>21</v>
      </c>
      <c r="H91" s="1" t="s">
        <v>465</v>
      </c>
      <c r="I91" s="1" t="s">
        <v>466</v>
      </c>
      <c r="J91" s="2"/>
      <c r="K91" s="2"/>
      <c r="L91" s="2"/>
      <c r="M91" s="2"/>
      <c r="N91" s="2"/>
      <c r="O91" s="2"/>
      <c r="P91" s="2"/>
      <c r="Q91" s="2"/>
      <c r="R91" s="2"/>
      <c r="S91" s="2"/>
      <c r="T91" s="2"/>
      <c r="U91" s="2"/>
      <c r="V91" s="2"/>
      <c r="W91" s="2"/>
      <c r="X91" s="2"/>
      <c r="Y91" s="2"/>
      <c r="Z91" s="2"/>
    </row>
    <row r="92">
      <c r="A92" s="1" t="s">
        <v>13</v>
      </c>
      <c r="B92" s="1" t="s">
        <v>493</v>
      </c>
      <c r="C92" s="1" t="s">
        <v>494</v>
      </c>
      <c r="D92" s="1" t="s">
        <v>495</v>
      </c>
      <c r="E92" s="1" t="s">
        <v>496</v>
      </c>
      <c r="F92" s="1" t="s">
        <v>497</v>
      </c>
      <c r="G92" s="1" t="s">
        <v>43</v>
      </c>
      <c r="H92" s="1" t="s">
        <v>96</v>
      </c>
      <c r="I92" s="1" t="s">
        <v>498</v>
      </c>
      <c r="J92" s="2"/>
      <c r="K92" s="2"/>
      <c r="L92" s="2"/>
      <c r="M92" s="2"/>
      <c r="N92" s="2"/>
      <c r="O92" s="2"/>
      <c r="P92" s="2"/>
      <c r="Q92" s="2"/>
      <c r="R92" s="2"/>
      <c r="S92" s="2"/>
      <c r="T92" s="2"/>
      <c r="U92" s="2"/>
      <c r="V92" s="2"/>
      <c r="W92" s="2"/>
      <c r="X92" s="2"/>
      <c r="Y92" s="2"/>
      <c r="Z92" s="2"/>
    </row>
    <row r="93">
      <c r="A93" s="1" t="s">
        <v>13</v>
      </c>
      <c r="B93" s="1" t="s">
        <v>499</v>
      </c>
      <c r="C93" s="1" t="s">
        <v>494</v>
      </c>
      <c r="D93" s="1" t="s">
        <v>500</v>
      </c>
      <c r="E93" s="1" t="s">
        <v>501</v>
      </c>
      <c r="F93" s="1" t="s">
        <v>502</v>
      </c>
      <c r="G93" s="1" t="s">
        <v>43</v>
      </c>
      <c r="H93" s="1" t="s">
        <v>96</v>
      </c>
      <c r="I93" s="1" t="s">
        <v>503</v>
      </c>
      <c r="J93" s="2"/>
      <c r="K93" s="2"/>
      <c r="L93" s="2"/>
      <c r="M93" s="2"/>
      <c r="N93" s="2"/>
      <c r="O93" s="2"/>
      <c r="P93" s="2"/>
      <c r="Q93" s="2"/>
      <c r="R93" s="2"/>
      <c r="S93" s="2"/>
      <c r="T93" s="2"/>
      <c r="U93" s="2"/>
      <c r="V93" s="2"/>
      <c r="W93" s="2"/>
      <c r="X93" s="2"/>
      <c r="Y93" s="2"/>
      <c r="Z93" s="2"/>
    </row>
    <row r="94">
      <c r="A94" s="1" t="s">
        <v>13</v>
      </c>
      <c r="B94" s="1" t="s">
        <v>504</v>
      </c>
      <c r="C94" s="1" t="s">
        <v>494</v>
      </c>
      <c r="D94" s="1" t="s">
        <v>505</v>
      </c>
      <c r="E94" s="1" t="s">
        <v>506</v>
      </c>
      <c r="F94" s="1" t="s">
        <v>507</v>
      </c>
      <c r="G94" s="1" t="s">
        <v>43</v>
      </c>
      <c r="H94" s="1" t="s">
        <v>96</v>
      </c>
      <c r="I94" s="1" t="s">
        <v>508</v>
      </c>
      <c r="J94" s="2"/>
      <c r="K94" s="2"/>
      <c r="L94" s="2"/>
      <c r="M94" s="2"/>
      <c r="N94" s="2"/>
      <c r="O94" s="2"/>
      <c r="P94" s="2"/>
      <c r="Q94" s="2"/>
      <c r="R94" s="2"/>
      <c r="S94" s="2"/>
      <c r="T94" s="2"/>
      <c r="U94" s="2"/>
      <c r="V94" s="2"/>
      <c r="W94" s="2"/>
      <c r="X94" s="2"/>
      <c r="Y94" s="2"/>
      <c r="Z94" s="2"/>
    </row>
    <row r="95">
      <c r="A95" s="1" t="s">
        <v>13</v>
      </c>
      <c r="B95" s="1" t="s">
        <v>509</v>
      </c>
      <c r="C95" s="1" t="s">
        <v>494</v>
      </c>
      <c r="D95" s="1" t="s">
        <v>510</v>
      </c>
      <c r="E95" s="1" t="s">
        <v>511</v>
      </c>
      <c r="F95" s="1" t="s">
        <v>512</v>
      </c>
      <c r="G95" s="1" t="s">
        <v>21</v>
      </c>
      <c r="H95" s="1" t="s">
        <v>513</v>
      </c>
      <c r="I95" s="1" t="s">
        <v>253</v>
      </c>
      <c r="J95" s="2"/>
      <c r="K95" s="2"/>
      <c r="L95" s="2"/>
      <c r="M95" s="2"/>
      <c r="N95" s="2"/>
      <c r="O95" s="2"/>
      <c r="P95" s="2"/>
      <c r="Q95" s="2"/>
      <c r="R95" s="2"/>
      <c r="S95" s="2"/>
      <c r="T95" s="2"/>
      <c r="U95" s="2"/>
      <c r="V95" s="2"/>
      <c r="W95" s="2"/>
      <c r="X95" s="2"/>
      <c r="Y95" s="2"/>
      <c r="Z95" s="2"/>
    </row>
    <row r="96">
      <c r="A96" s="1" t="s">
        <v>13</v>
      </c>
      <c r="B96" s="1" t="s">
        <v>514</v>
      </c>
      <c r="C96" s="1" t="s">
        <v>494</v>
      </c>
      <c r="D96" s="1" t="s">
        <v>515</v>
      </c>
      <c r="E96" s="1" t="s">
        <v>516</v>
      </c>
      <c r="F96" s="1" t="s">
        <v>517</v>
      </c>
      <c r="G96" s="1" t="s">
        <v>73</v>
      </c>
      <c r="H96" s="1" t="s">
        <v>96</v>
      </c>
      <c r="I96" s="1" t="s">
        <v>518</v>
      </c>
      <c r="J96" s="2"/>
      <c r="K96" s="2"/>
      <c r="L96" s="2"/>
      <c r="M96" s="2"/>
      <c r="N96" s="2"/>
      <c r="O96" s="2"/>
      <c r="P96" s="2"/>
      <c r="Q96" s="2"/>
      <c r="R96" s="2"/>
      <c r="S96" s="2"/>
      <c r="T96" s="2"/>
      <c r="U96" s="2"/>
      <c r="V96" s="2"/>
      <c r="W96" s="2"/>
      <c r="X96" s="2"/>
      <c r="Y96" s="2"/>
      <c r="Z96" s="2"/>
    </row>
    <row r="97">
      <c r="A97" s="1" t="s">
        <v>13</v>
      </c>
      <c r="B97" s="1" t="s">
        <v>519</v>
      </c>
      <c r="C97" s="1" t="s">
        <v>494</v>
      </c>
      <c r="D97" s="1" t="s">
        <v>520</v>
      </c>
      <c r="E97" s="1" t="s">
        <v>521</v>
      </c>
      <c r="F97" s="1" t="s">
        <v>522</v>
      </c>
      <c r="G97" s="1" t="s">
        <v>43</v>
      </c>
      <c r="H97" s="1" t="s">
        <v>523</v>
      </c>
      <c r="I97" s="1" t="s">
        <v>38</v>
      </c>
      <c r="J97" s="2"/>
      <c r="K97" s="2"/>
      <c r="L97" s="2"/>
      <c r="M97" s="2"/>
      <c r="N97" s="2"/>
      <c r="O97" s="2"/>
      <c r="P97" s="2"/>
      <c r="Q97" s="2"/>
      <c r="R97" s="2"/>
      <c r="S97" s="2"/>
      <c r="T97" s="2"/>
      <c r="U97" s="2"/>
      <c r="V97" s="2"/>
      <c r="W97" s="2"/>
      <c r="X97" s="2"/>
      <c r="Y97" s="2"/>
      <c r="Z97" s="2"/>
    </row>
    <row r="98">
      <c r="A98" s="1" t="s">
        <v>13</v>
      </c>
      <c r="B98" s="1" t="s">
        <v>524</v>
      </c>
      <c r="C98" s="1" t="s">
        <v>494</v>
      </c>
      <c r="D98" s="1" t="s">
        <v>525</v>
      </c>
      <c r="E98" s="1" t="s">
        <v>526</v>
      </c>
      <c r="F98" s="1" t="s">
        <v>527</v>
      </c>
      <c r="G98" s="1" t="s">
        <v>43</v>
      </c>
      <c r="H98" s="1" t="s">
        <v>528</v>
      </c>
      <c r="I98" s="1" t="s">
        <v>137</v>
      </c>
      <c r="J98" s="2"/>
      <c r="K98" s="2"/>
      <c r="L98" s="2"/>
      <c r="M98" s="2"/>
      <c r="N98" s="2"/>
      <c r="O98" s="2"/>
      <c r="P98" s="2"/>
      <c r="Q98" s="2"/>
      <c r="R98" s="2"/>
      <c r="S98" s="2"/>
      <c r="T98" s="2"/>
      <c r="U98" s="2"/>
      <c r="V98" s="2"/>
      <c r="W98" s="2"/>
      <c r="X98" s="2"/>
      <c r="Y98" s="2"/>
      <c r="Z98" s="2"/>
    </row>
    <row r="99">
      <c r="A99" s="1" t="s">
        <v>13</v>
      </c>
      <c r="B99" s="1" t="s">
        <v>529</v>
      </c>
      <c r="C99" s="1" t="s">
        <v>494</v>
      </c>
      <c r="D99" s="1" t="s">
        <v>530</v>
      </c>
      <c r="E99" s="1" t="s">
        <v>531</v>
      </c>
      <c r="F99" s="1" t="s">
        <v>532</v>
      </c>
      <c r="G99" s="1" t="s">
        <v>43</v>
      </c>
      <c r="H99" s="1" t="s">
        <v>523</v>
      </c>
      <c r="I99" s="1" t="s">
        <v>534</v>
      </c>
      <c r="J99" s="2"/>
      <c r="K99" s="2"/>
      <c r="L99" s="2"/>
      <c r="M99" s="2"/>
      <c r="N99" s="2"/>
      <c r="O99" s="2"/>
      <c r="P99" s="2"/>
      <c r="Q99" s="2"/>
      <c r="R99" s="2"/>
      <c r="S99" s="2"/>
      <c r="T99" s="2"/>
      <c r="U99" s="2"/>
      <c r="V99" s="2"/>
      <c r="W99" s="2"/>
      <c r="X99" s="2"/>
      <c r="Y99" s="2"/>
      <c r="Z99" s="2"/>
    </row>
    <row r="100">
      <c r="A100" s="1" t="s">
        <v>146</v>
      </c>
      <c r="B100" s="1" t="s">
        <v>535</v>
      </c>
      <c r="C100" s="1" t="s">
        <v>536</v>
      </c>
      <c r="D100" s="1" t="s">
        <v>537</v>
      </c>
      <c r="E100" s="1" t="s">
        <v>538</v>
      </c>
      <c r="F100" s="1" t="s">
        <v>539</v>
      </c>
      <c r="G100" s="1" t="s">
        <v>21</v>
      </c>
      <c r="H100" s="1" t="s">
        <v>465</v>
      </c>
      <c r="I100" s="1" t="s">
        <v>540</v>
      </c>
      <c r="J100" s="2"/>
      <c r="K100" s="2"/>
      <c r="L100" s="2"/>
      <c r="M100" s="2"/>
      <c r="N100" s="2"/>
      <c r="O100" s="2"/>
      <c r="P100" s="2"/>
      <c r="Q100" s="2"/>
      <c r="R100" s="2"/>
      <c r="S100" s="2"/>
      <c r="T100" s="2"/>
      <c r="U100" s="2"/>
      <c r="V100" s="2"/>
      <c r="W100" s="2"/>
      <c r="X100" s="2"/>
      <c r="Y100" s="2"/>
      <c r="Z100" s="2"/>
    </row>
    <row r="101">
      <c r="A101" s="1" t="s">
        <v>146</v>
      </c>
      <c r="B101" s="1" t="s">
        <v>541</v>
      </c>
      <c r="C101" s="1" t="s">
        <v>536</v>
      </c>
      <c r="D101" s="1" t="s">
        <v>542</v>
      </c>
      <c r="E101" s="1" t="s">
        <v>543</v>
      </c>
      <c r="F101" s="1" t="s">
        <v>544</v>
      </c>
      <c r="G101" s="1" t="s">
        <v>21</v>
      </c>
      <c r="H101" s="1" t="s">
        <v>465</v>
      </c>
      <c r="I101" s="1" t="s">
        <v>545</v>
      </c>
      <c r="J101" s="2"/>
      <c r="K101" s="2"/>
      <c r="L101" s="2"/>
      <c r="M101" s="2"/>
      <c r="N101" s="2"/>
      <c r="O101" s="2"/>
      <c r="P101" s="2"/>
      <c r="Q101" s="2"/>
      <c r="R101" s="2"/>
      <c r="S101" s="2"/>
      <c r="T101" s="2"/>
      <c r="U101" s="2"/>
      <c r="V101" s="2"/>
      <c r="W101" s="2"/>
      <c r="X101" s="2"/>
      <c r="Y101" s="2"/>
      <c r="Z101" s="2"/>
    </row>
    <row r="102">
      <c r="A102" s="2" t="s">
        <v>13</v>
      </c>
      <c r="B102" s="1" t="s">
        <v>546</v>
      </c>
      <c r="C102" s="1" t="s">
        <v>547</v>
      </c>
      <c r="D102" s="1" t="s">
        <v>548</v>
      </c>
      <c r="E102" s="1" t="s">
        <v>549</v>
      </c>
      <c r="F102" s="1" t="s">
        <v>550</v>
      </c>
      <c r="G102" s="1" t="s">
        <v>43</v>
      </c>
      <c r="H102" s="1" t="s">
        <v>22</v>
      </c>
      <c r="I102" s="1" t="s">
        <v>551</v>
      </c>
      <c r="J102" s="2"/>
      <c r="K102" s="2"/>
      <c r="L102" s="2"/>
      <c r="M102" s="2"/>
      <c r="N102" s="2"/>
      <c r="O102" s="2"/>
      <c r="P102" s="2"/>
      <c r="Q102" s="2"/>
      <c r="R102" s="2"/>
      <c r="S102" s="2"/>
      <c r="T102" s="2"/>
      <c r="U102" s="2"/>
      <c r="V102" s="2"/>
      <c r="W102" s="2"/>
      <c r="X102" s="2"/>
      <c r="Y102" s="2"/>
      <c r="Z102" s="2"/>
    </row>
    <row r="103">
      <c r="A103" s="2" t="s">
        <v>13</v>
      </c>
      <c r="B103" s="1" t="s">
        <v>552</v>
      </c>
      <c r="C103" s="1" t="s">
        <v>547</v>
      </c>
      <c r="D103" s="1" t="s">
        <v>553</v>
      </c>
      <c r="E103" s="1" t="s">
        <v>554</v>
      </c>
      <c r="F103" s="1" t="s">
        <v>555</v>
      </c>
      <c r="G103" s="1" t="s">
        <v>43</v>
      </c>
      <c r="H103" s="1" t="s">
        <v>22</v>
      </c>
      <c r="I103" s="1" t="s">
        <v>551</v>
      </c>
      <c r="J103" s="2"/>
      <c r="K103" s="2"/>
      <c r="L103" s="2"/>
      <c r="M103" s="2"/>
      <c r="N103" s="2"/>
      <c r="O103" s="2"/>
      <c r="P103" s="2"/>
      <c r="Q103" s="2"/>
      <c r="R103" s="2"/>
      <c r="S103" s="2"/>
      <c r="T103" s="2"/>
      <c r="U103" s="2"/>
      <c r="V103" s="2"/>
      <c r="W103" s="2"/>
      <c r="X103" s="2"/>
      <c r="Y103" s="2"/>
      <c r="Z103" s="2"/>
    </row>
    <row r="104">
      <c r="A104" s="2" t="s">
        <v>13</v>
      </c>
      <c r="B104" s="1" t="s">
        <v>557</v>
      </c>
      <c r="C104" s="1" t="s">
        <v>547</v>
      </c>
      <c r="D104" s="1" t="s">
        <v>558</v>
      </c>
      <c r="E104" s="1" t="s">
        <v>559</v>
      </c>
      <c r="F104" s="1" t="s">
        <v>560</v>
      </c>
      <c r="G104" s="1" t="s">
        <v>43</v>
      </c>
      <c r="H104" s="1" t="s">
        <v>22</v>
      </c>
      <c r="I104" s="1" t="s">
        <v>551</v>
      </c>
      <c r="J104" s="2"/>
      <c r="K104" s="2"/>
      <c r="L104" s="2"/>
      <c r="M104" s="2"/>
      <c r="N104" s="2"/>
      <c r="O104" s="2"/>
      <c r="P104" s="2"/>
      <c r="Q104" s="2"/>
      <c r="R104" s="2"/>
      <c r="S104" s="2"/>
      <c r="T104" s="2"/>
      <c r="U104" s="2"/>
      <c r="V104" s="2"/>
      <c r="W104" s="2"/>
      <c r="X104" s="2"/>
      <c r="Y104" s="2"/>
      <c r="Z104" s="2"/>
    </row>
    <row r="105">
      <c r="A105" s="2" t="s">
        <v>13</v>
      </c>
      <c r="B105" s="1" t="s">
        <v>561</v>
      </c>
      <c r="C105" s="1" t="s">
        <v>547</v>
      </c>
      <c r="D105" s="1" t="s">
        <v>562</v>
      </c>
      <c r="E105" s="1" t="s">
        <v>563</v>
      </c>
      <c r="F105" s="1" t="s">
        <v>564</v>
      </c>
      <c r="G105" s="1" t="s">
        <v>43</v>
      </c>
      <c r="H105" s="1" t="s">
        <v>22</v>
      </c>
      <c r="I105" s="1" t="s">
        <v>551</v>
      </c>
      <c r="J105" s="2"/>
      <c r="K105" s="2"/>
      <c r="L105" s="2"/>
      <c r="M105" s="2"/>
      <c r="N105" s="2"/>
      <c r="O105" s="2"/>
      <c r="P105" s="2"/>
      <c r="Q105" s="2"/>
      <c r="R105" s="2"/>
      <c r="S105" s="2"/>
      <c r="T105" s="2"/>
      <c r="U105" s="2"/>
      <c r="V105" s="2"/>
      <c r="W105" s="2"/>
      <c r="X105" s="2"/>
      <c r="Y105" s="2"/>
      <c r="Z105" s="2"/>
    </row>
    <row r="106">
      <c r="A106" s="2" t="s">
        <v>13</v>
      </c>
      <c r="B106" s="1" t="s">
        <v>565</v>
      </c>
      <c r="C106" s="1" t="s">
        <v>547</v>
      </c>
      <c r="D106" s="1" t="s">
        <v>566</v>
      </c>
      <c r="E106" s="1" t="s">
        <v>567</v>
      </c>
      <c r="F106" s="1" t="s">
        <v>568</v>
      </c>
      <c r="G106" s="1" t="s">
        <v>43</v>
      </c>
      <c r="H106" s="1" t="s">
        <v>569</v>
      </c>
      <c r="I106" s="1" t="s">
        <v>551</v>
      </c>
      <c r="J106" s="2"/>
      <c r="K106" s="2"/>
      <c r="L106" s="2"/>
      <c r="M106" s="2"/>
      <c r="N106" s="2"/>
      <c r="O106" s="2"/>
      <c r="P106" s="2"/>
      <c r="Q106" s="2"/>
      <c r="R106" s="2"/>
      <c r="S106" s="2"/>
      <c r="T106" s="2"/>
      <c r="U106" s="2"/>
      <c r="V106" s="2"/>
      <c r="W106" s="2"/>
      <c r="X106" s="2"/>
      <c r="Y106" s="2"/>
      <c r="Z106" s="2"/>
    </row>
    <row r="107">
      <c r="A107" s="2" t="s">
        <v>13</v>
      </c>
      <c r="B107" s="1" t="s">
        <v>570</v>
      </c>
      <c r="C107" s="1" t="s">
        <v>547</v>
      </c>
      <c r="D107" s="1" t="s">
        <v>571</v>
      </c>
      <c r="E107" s="1" t="s">
        <v>572</v>
      </c>
      <c r="F107" s="1" t="s">
        <v>573</v>
      </c>
      <c r="G107" s="1" t="s">
        <v>43</v>
      </c>
      <c r="H107" s="1" t="s">
        <v>22</v>
      </c>
      <c r="I107" s="1" t="s">
        <v>551</v>
      </c>
      <c r="J107" s="2"/>
      <c r="K107" s="2"/>
      <c r="L107" s="2"/>
      <c r="M107" s="2"/>
      <c r="N107" s="2"/>
      <c r="O107" s="2"/>
      <c r="P107" s="2"/>
      <c r="Q107" s="2"/>
      <c r="R107" s="2"/>
      <c r="S107" s="2"/>
      <c r="T107" s="2"/>
      <c r="U107" s="2"/>
      <c r="V107" s="2"/>
      <c r="W107" s="2"/>
      <c r="X107" s="2"/>
      <c r="Y107" s="2"/>
      <c r="Z107" s="2"/>
    </row>
    <row r="108">
      <c r="A108" s="2" t="s">
        <v>13</v>
      </c>
      <c r="B108" s="1" t="s">
        <v>574</v>
      </c>
      <c r="C108" s="1" t="s">
        <v>547</v>
      </c>
      <c r="D108" s="1" t="s">
        <v>575</v>
      </c>
      <c r="E108" s="1" t="s">
        <v>576</v>
      </c>
      <c r="F108" s="1" t="s">
        <v>577</v>
      </c>
      <c r="G108" s="1" t="s">
        <v>43</v>
      </c>
      <c r="H108" s="1" t="s">
        <v>22</v>
      </c>
      <c r="I108" s="1" t="s">
        <v>551</v>
      </c>
      <c r="J108" s="2"/>
      <c r="K108" s="2"/>
      <c r="L108" s="2"/>
      <c r="M108" s="2"/>
      <c r="N108" s="2"/>
      <c r="O108" s="2"/>
      <c r="P108" s="2"/>
      <c r="Q108" s="2"/>
      <c r="R108" s="2"/>
      <c r="S108" s="2"/>
      <c r="T108" s="2"/>
      <c r="U108" s="2"/>
      <c r="V108" s="2"/>
      <c r="W108" s="2"/>
      <c r="X108" s="2"/>
      <c r="Y108" s="2"/>
      <c r="Z108" s="2"/>
    </row>
    <row r="109">
      <c r="A109" s="2" t="s">
        <v>13</v>
      </c>
      <c r="B109" s="1" t="s">
        <v>578</v>
      </c>
      <c r="C109" s="1" t="s">
        <v>547</v>
      </c>
      <c r="D109" s="1" t="s">
        <v>579</v>
      </c>
      <c r="E109" s="1" t="s">
        <v>580</v>
      </c>
      <c r="F109" s="1" t="s">
        <v>581</v>
      </c>
      <c r="G109" s="1" t="s">
        <v>43</v>
      </c>
      <c r="H109" s="1" t="s">
        <v>582</v>
      </c>
      <c r="I109" s="1" t="s">
        <v>551</v>
      </c>
      <c r="J109" s="2"/>
      <c r="K109" s="2"/>
      <c r="L109" s="2"/>
      <c r="M109" s="2"/>
      <c r="N109" s="2"/>
      <c r="O109" s="2"/>
      <c r="P109" s="2"/>
      <c r="Q109" s="2"/>
      <c r="R109" s="2"/>
      <c r="S109" s="2"/>
      <c r="T109" s="2"/>
      <c r="U109" s="2"/>
      <c r="V109" s="2"/>
      <c r="W109" s="2"/>
      <c r="X109" s="2"/>
      <c r="Y109" s="2"/>
      <c r="Z109" s="2"/>
    </row>
    <row r="110">
      <c r="A110" s="2" t="s">
        <v>13</v>
      </c>
      <c r="B110" s="1" t="s">
        <v>583</v>
      </c>
      <c r="C110" s="1" t="s">
        <v>547</v>
      </c>
      <c r="D110" s="1" t="s">
        <v>584</v>
      </c>
      <c r="E110" s="1" t="s">
        <v>585</v>
      </c>
      <c r="F110" s="1" t="s">
        <v>586</v>
      </c>
      <c r="G110" s="1" t="s">
        <v>43</v>
      </c>
      <c r="H110" s="1" t="s">
        <v>22</v>
      </c>
      <c r="I110" s="1" t="s">
        <v>551</v>
      </c>
      <c r="J110" s="2"/>
      <c r="K110" s="2"/>
      <c r="L110" s="2"/>
      <c r="M110" s="2"/>
      <c r="N110" s="2"/>
      <c r="O110" s="2"/>
      <c r="P110" s="2"/>
      <c r="Q110" s="2"/>
      <c r="R110" s="2"/>
      <c r="S110" s="2"/>
      <c r="T110" s="2"/>
      <c r="U110" s="2"/>
      <c r="V110" s="2"/>
      <c r="W110" s="2"/>
      <c r="X110" s="2"/>
      <c r="Y110" s="2"/>
      <c r="Z110" s="2"/>
    </row>
    <row r="111">
      <c r="A111" s="2" t="s">
        <v>13</v>
      </c>
      <c r="B111" s="1" t="s">
        <v>587</v>
      </c>
      <c r="C111" s="1" t="s">
        <v>547</v>
      </c>
      <c r="D111" s="1" t="s">
        <v>588</v>
      </c>
      <c r="E111" s="1" t="s">
        <v>589</v>
      </c>
      <c r="F111" s="1" t="s">
        <v>590</v>
      </c>
      <c r="G111" s="1" t="s">
        <v>43</v>
      </c>
      <c r="H111" s="1" t="s">
        <v>22</v>
      </c>
      <c r="I111" s="1" t="s">
        <v>551</v>
      </c>
      <c r="J111" s="2"/>
      <c r="K111" s="2"/>
      <c r="L111" s="2"/>
      <c r="M111" s="2"/>
      <c r="N111" s="2"/>
      <c r="O111" s="2"/>
      <c r="P111" s="2"/>
      <c r="Q111" s="2"/>
      <c r="R111" s="2"/>
      <c r="S111" s="2"/>
      <c r="T111" s="2"/>
      <c r="U111" s="2"/>
      <c r="V111" s="2"/>
      <c r="W111" s="2"/>
      <c r="X111" s="2"/>
      <c r="Y111" s="2"/>
      <c r="Z111" s="2"/>
    </row>
    <row r="112">
      <c r="A112" s="2" t="s">
        <v>13</v>
      </c>
      <c r="B112" s="1" t="s">
        <v>591</v>
      </c>
      <c r="C112" s="1" t="s">
        <v>547</v>
      </c>
      <c r="D112" s="1" t="s">
        <v>592</v>
      </c>
      <c r="E112" s="1" t="s">
        <v>593</v>
      </c>
      <c r="F112" s="1" t="s">
        <v>594</v>
      </c>
      <c r="G112" s="1" t="s">
        <v>21</v>
      </c>
      <c r="H112" s="1" t="s">
        <v>22</v>
      </c>
      <c r="I112" s="1" t="s">
        <v>551</v>
      </c>
      <c r="J112" s="2"/>
      <c r="K112" s="2"/>
      <c r="L112" s="2"/>
      <c r="M112" s="2"/>
      <c r="N112" s="2"/>
      <c r="O112" s="2"/>
      <c r="P112" s="2"/>
      <c r="Q112" s="2"/>
      <c r="R112" s="2"/>
      <c r="S112" s="2"/>
      <c r="T112" s="2"/>
      <c r="U112" s="2"/>
      <c r="V112" s="2"/>
      <c r="W112" s="2"/>
      <c r="X112" s="2"/>
      <c r="Y112" s="2"/>
      <c r="Z112" s="2"/>
    </row>
    <row r="113">
      <c r="A113" s="2" t="s">
        <v>13</v>
      </c>
      <c r="B113" s="1" t="s">
        <v>595</v>
      </c>
      <c r="C113" s="1" t="s">
        <v>547</v>
      </c>
      <c r="D113" s="1" t="s">
        <v>596</v>
      </c>
      <c r="E113" s="1" t="s">
        <v>597</v>
      </c>
      <c r="F113" s="1" t="s">
        <v>598</v>
      </c>
      <c r="G113" s="1" t="s">
        <v>73</v>
      </c>
      <c r="H113" s="1" t="s">
        <v>22</v>
      </c>
      <c r="I113" s="1" t="s">
        <v>551</v>
      </c>
      <c r="J113" s="2"/>
      <c r="K113" s="2"/>
      <c r="L113" s="2"/>
      <c r="M113" s="2"/>
      <c r="N113" s="2"/>
      <c r="O113" s="2"/>
      <c r="P113" s="2"/>
      <c r="Q113" s="2"/>
      <c r="R113" s="2"/>
      <c r="S113" s="2"/>
      <c r="T113" s="2"/>
      <c r="U113" s="2"/>
      <c r="V113" s="2"/>
      <c r="W113" s="2"/>
      <c r="X113" s="2"/>
      <c r="Y113" s="2"/>
      <c r="Z113" s="2"/>
    </row>
    <row r="114">
      <c r="A114" s="2" t="s">
        <v>13</v>
      </c>
      <c r="B114" s="1" t="s">
        <v>599</v>
      </c>
      <c r="C114" s="1" t="s">
        <v>547</v>
      </c>
      <c r="D114" s="1" t="s">
        <v>600</v>
      </c>
      <c r="E114" s="1" t="s">
        <v>601</v>
      </c>
      <c r="F114" s="1" t="s">
        <v>602</v>
      </c>
      <c r="G114" s="1" t="s">
        <v>43</v>
      </c>
      <c r="H114" s="1" t="s">
        <v>22</v>
      </c>
      <c r="I114" s="1" t="s">
        <v>551</v>
      </c>
      <c r="J114" s="2"/>
      <c r="K114" s="2"/>
      <c r="L114" s="2"/>
      <c r="M114" s="2"/>
      <c r="N114" s="2"/>
      <c r="O114" s="2"/>
      <c r="P114" s="2"/>
      <c r="Q114" s="2"/>
      <c r="R114" s="2"/>
      <c r="S114" s="2"/>
      <c r="T114" s="2"/>
      <c r="U114" s="2"/>
      <c r="V114" s="2"/>
      <c r="W114" s="2"/>
      <c r="X114" s="2"/>
      <c r="Y114" s="2"/>
      <c r="Z114" s="2"/>
    </row>
    <row r="115">
      <c r="A115" s="2" t="s">
        <v>13</v>
      </c>
      <c r="B115" s="1" t="s">
        <v>603</v>
      </c>
      <c r="C115" s="1" t="s">
        <v>547</v>
      </c>
      <c r="D115" s="1" t="s">
        <v>604</v>
      </c>
      <c r="E115" s="1" t="s">
        <v>605</v>
      </c>
      <c r="F115" s="1" t="s">
        <v>606</v>
      </c>
      <c r="G115" s="1" t="s">
        <v>43</v>
      </c>
      <c r="H115" s="1" t="s">
        <v>22</v>
      </c>
      <c r="I115" s="1" t="s">
        <v>551</v>
      </c>
      <c r="J115" s="2"/>
      <c r="K115" s="2"/>
      <c r="L115" s="2"/>
      <c r="M115" s="2"/>
      <c r="N115" s="2"/>
      <c r="O115" s="2"/>
      <c r="P115" s="2"/>
      <c r="Q115" s="2"/>
      <c r="R115" s="2"/>
      <c r="S115" s="2"/>
      <c r="T115" s="2"/>
      <c r="U115" s="2"/>
      <c r="V115" s="2"/>
      <c r="W115" s="2"/>
      <c r="X115" s="2"/>
      <c r="Y115" s="2"/>
      <c r="Z115" s="2"/>
    </row>
    <row r="116">
      <c r="A116" s="2" t="s">
        <v>13</v>
      </c>
      <c r="B116" s="1" t="s">
        <v>607</v>
      </c>
      <c r="C116" s="1" t="s">
        <v>547</v>
      </c>
      <c r="D116" s="1" t="s">
        <v>608</v>
      </c>
      <c r="E116" s="1" t="s">
        <v>609</v>
      </c>
      <c r="F116" s="1" t="s">
        <v>610</v>
      </c>
      <c r="G116" s="1" t="s">
        <v>43</v>
      </c>
      <c r="H116" s="1" t="s">
        <v>22</v>
      </c>
      <c r="I116" s="1" t="s">
        <v>551</v>
      </c>
      <c r="J116" s="2"/>
      <c r="K116" s="2"/>
      <c r="L116" s="2"/>
      <c r="M116" s="2"/>
      <c r="N116" s="2"/>
      <c r="O116" s="2"/>
      <c r="P116" s="2"/>
      <c r="Q116" s="2"/>
      <c r="R116" s="2"/>
      <c r="S116" s="2"/>
      <c r="T116" s="2"/>
      <c r="U116" s="2"/>
      <c r="V116" s="2"/>
      <c r="W116" s="2"/>
      <c r="X116" s="2"/>
      <c r="Y116" s="2"/>
      <c r="Z116" s="2"/>
    </row>
    <row r="117">
      <c r="A117" s="2" t="s">
        <v>13</v>
      </c>
      <c r="B117" s="1" t="s">
        <v>611</v>
      </c>
      <c r="C117" s="1" t="s">
        <v>547</v>
      </c>
      <c r="D117" s="1" t="s">
        <v>612</v>
      </c>
      <c r="E117" s="1" t="s">
        <v>613</v>
      </c>
      <c r="F117" s="1" t="s">
        <v>614</v>
      </c>
      <c r="G117" s="1" t="s">
        <v>73</v>
      </c>
      <c r="H117" s="1" t="s">
        <v>22</v>
      </c>
      <c r="I117" s="1" t="s">
        <v>551</v>
      </c>
      <c r="J117" s="2"/>
      <c r="K117" s="2"/>
      <c r="L117" s="2"/>
      <c r="M117" s="2"/>
      <c r="N117" s="2"/>
      <c r="O117" s="2"/>
      <c r="P117" s="2"/>
      <c r="Q117" s="2"/>
      <c r="R117" s="2"/>
      <c r="S117" s="2"/>
      <c r="T117" s="2"/>
      <c r="U117" s="2"/>
      <c r="V117" s="2"/>
      <c r="W117" s="2"/>
      <c r="X117" s="2"/>
      <c r="Y117" s="2"/>
      <c r="Z117" s="2"/>
    </row>
    <row r="118">
      <c r="A118" s="2" t="s">
        <v>13</v>
      </c>
      <c r="B118" s="1" t="s">
        <v>615</v>
      </c>
      <c r="C118" s="1" t="s">
        <v>547</v>
      </c>
      <c r="D118" s="1" t="s">
        <v>616</v>
      </c>
      <c r="E118" s="1" t="s">
        <v>617</v>
      </c>
      <c r="F118" s="1" t="s">
        <v>618</v>
      </c>
      <c r="G118" s="1" t="s">
        <v>73</v>
      </c>
      <c r="H118" s="1" t="s">
        <v>22</v>
      </c>
      <c r="I118" s="1" t="s">
        <v>551</v>
      </c>
      <c r="J118" s="2"/>
      <c r="K118" s="2"/>
      <c r="L118" s="2"/>
      <c r="M118" s="2"/>
      <c r="N118" s="2"/>
      <c r="O118" s="2"/>
      <c r="P118" s="2"/>
      <c r="Q118" s="2"/>
      <c r="R118" s="2"/>
      <c r="S118" s="2"/>
      <c r="T118" s="2"/>
      <c r="U118" s="2"/>
      <c r="V118" s="2"/>
      <c r="W118" s="2"/>
      <c r="X118" s="2"/>
      <c r="Y118" s="2"/>
      <c r="Z118" s="2"/>
    </row>
    <row r="119">
      <c r="A119" s="2" t="s">
        <v>13</v>
      </c>
      <c r="B119" s="1" t="s">
        <v>619</v>
      </c>
      <c r="C119" s="1" t="s">
        <v>547</v>
      </c>
      <c r="D119" s="1" t="s">
        <v>620</v>
      </c>
      <c r="E119" s="1" t="s">
        <v>621</v>
      </c>
      <c r="F119" s="1" t="s">
        <v>622</v>
      </c>
      <c r="G119" s="1" t="s">
        <v>43</v>
      </c>
      <c r="H119" s="1" t="s">
        <v>22</v>
      </c>
      <c r="I119" s="1" t="s">
        <v>551</v>
      </c>
      <c r="J119" s="2"/>
      <c r="K119" s="2"/>
      <c r="L119" s="2"/>
      <c r="M119" s="2"/>
      <c r="N119" s="2"/>
      <c r="O119" s="2"/>
      <c r="P119" s="2"/>
      <c r="Q119" s="2"/>
      <c r="R119" s="2"/>
      <c r="S119" s="2"/>
      <c r="T119" s="2"/>
      <c r="U119" s="2"/>
      <c r="V119" s="2"/>
      <c r="W119" s="2"/>
      <c r="X119" s="2"/>
      <c r="Y119" s="2"/>
      <c r="Z119" s="2"/>
    </row>
    <row r="120">
      <c r="A120" s="2" t="s">
        <v>13</v>
      </c>
      <c r="B120" s="1" t="s">
        <v>623</v>
      </c>
      <c r="C120" s="1" t="s">
        <v>624</v>
      </c>
      <c r="D120" s="1" t="s">
        <v>625</v>
      </c>
      <c r="E120" s="1" t="s">
        <v>626</v>
      </c>
      <c r="F120" s="1" t="s">
        <v>627</v>
      </c>
      <c r="G120" s="1" t="s">
        <v>43</v>
      </c>
      <c r="H120" s="1" t="s">
        <v>628</v>
      </c>
      <c r="I120" s="1" t="s">
        <v>629</v>
      </c>
      <c r="J120" s="2"/>
      <c r="K120" s="2"/>
      <c r="L120" s="2"/>
      <c r="M120" s="2"/>
      <c r="N120" s="2"/>
      <c r="O120" s="2"/>
      <c r="P120" s="2"/>
      <c r="Q120" s="2"/>
      <c r="R120" s="2"/>
      <c r="S120" s="2"/>
      <c r="T120" s="2"/>
      <c r="U120" s="2"/>
      <c r="V120" s="2"/>
      <c r="W120" s="2"/>
      <c r="X120" s="2"/>
      <c r="Y120" s="2"/>
      <c r="Z120" s="2"/>
    </row>
    <row r="121">
      <c r="A121" s="2" t="s">
        <v>13</v>
      </c>
      <c r="B121" s="1" t="s">
        <v>630</v>
      </c>
      <c r="C121" s="1" t="s">
        <v>624</v>
      </c>
      <c r="D121" s="1" t="s">
        <v>631</v>
      </c>
      <c r="E121" s="1" t="s">
        <v>632</v>
      </c>
      <c r="F121" s="1" t="s">
        <v>633</v>
      </c>
      <c r="G121" s="1" t="s">
        <v>43</v>
      </c>
      <c r="H121" s="1" t="s">
        <v>628</v>
      </c>
      <c r="I121" s="1" t="s">
        <v>629</v>
      </c>
      <c r="J121" s="2"/>
      <c r="K121" s="2"/>
      <c r="L121" s="2"/>
      <c r="M121" s="2"/>
      <c r="N121" s="2"/>
      <c r="O121" s="2"/>
      <c r="P121" s="2"/>
      <c r="Q121" s="2"/>
      <c r="R121" s="2"/>
      <c r="S121" s="2"/>
      <c r="T121" s="2"/>
      <c r="U121" s="2"/>
      <c r="V121" s="2"/>
      <c r="W121" s="2"/>
      <c r="X121" s="2"/>
      <c r="Y121" s="2"/>
      <c r="Z121" s="2"/>
    </row>
    <row r="122">
      <c r="A122" s="2" t="s">
        <v>13</v>
      </c>
      <c r="B122" s="1" t="s">
        <v>634</v>
      </c>
      <c r="C122" s="1" t="s">
        <v>624</v>
      </c>
      <c r="D122" s="1" t="s">
        <v>635</v>
      </c>
      <c r="E122" s="1" t="s">
        <v>636</v>
      </c>
      <c r="F122" s="1" t="s">
        <v>637</v>
      </c>
      <c r="G122" s="1" t="s">
        <v>43</v>
      </c>
      <c r="H122" s="1" t="s">
        <v>582</v>
      </c>
      <c r="I122" s="1" t="s">
        <v>629</v>
      </c>
      <c r="J122" s="2"/>
      <c r="K122" s="2"/>
      <c r="L122" s="2"/>
      <c r="M122" s="2"/>
      <c r="N122" s="2"/>
      <c r="O122" s="2"/>
      <c r="P122" s="2"/>
      <c r="Q122" s="2"/>
      <c r="R122" s="2"/>
      <c r="S122" s="2"/>
      <c r="T122" s="2"/>
      <c r="U122" s="2"/>
      <c r="V122" s="2"/>
      <c r="W122" s="2"/>
      <c r="X122" s="2"/>
      <c r="Y122" s="2"/>
      <c r="Z122" s="2"/>
    </row>
    <row r="123">
      <c r="A123" s="2" t="s">
        <v>13</v>
      </c>
      <c r="B123" s="1" t="s">
        <v>638</v>
      </c>
      <c r="C123" s="1" t="s">
        <v>624</v>
      </c>
      <c r="D123" s="1" t="s">
        <v>639</v>
      </c>
      <c r="E123" s="1" t="s">
        <v>640</v>
      </c>
      <c r="F123" s="1" t="s">
        <v>641</v>
      </c>
      <c r="G123" s="1" t="s">
        <v>43</v>
      </c>
      <c r="H123" s="1" t="s">
        <v>642</v>
      </c>
      <c r="I123" s="1" t="s">
        <v>629</v>
      </c>
      <c r="J123" s="2"/>
      <c r="K123" s="2"/>
      <c r="L123" s="2"/>
      <c r="M123" s="2"/>
      <c r="N123" s="2"/>
      <c r="O123" s="2"/>
      <c r="P123" s="2"/>
      <c r="Q123" s="2"/>
      <c r="R123" s="2"/>
      <c r="S123" s="2"/>
      <c r="T123" s="2"/>
      <c r="U123" s="2"/>
      <c r="V123" s="2"/>
      <c r="W123" s="2"/>
      <c r="X123" s="2"/>
      <c r="Y123" s="2"/>
      <c r="Z123" s="2"/>
    </row>
    <row r="124">
      <c r="A124" s="2" t="s">
        <v>13</v>
      </c>
      <c r="B124" s="1" t="s">
        <v>643</v>
      </c>
      <c r="C124" s="1" t="s">
        <v>624</v>
      </c>
      <c r="D124" s="1" t="s">
        <v>644</v>
      </c>
      <c r="E124" s="1" t="s">
        <v>645</v>
      </c>
      <c r="F124" s="1" t="s">
        <v>646</v>
      </c>
      <c r="G124" s="1" t="s">
        <v>43</v>
      </c>
      <c r="H124" s="1" t="s">
        <v>642</v>
      </c>
      <c r="I124" s="1" t="s">
        <v>629</v>
      </c>
      <c r="J124" s="2"/>
      <c r="K124" s="2"/>
      <c r="L124" s="2"/>
      <c r="M124" s="2"/>
      <c r="N124" s="2"/>
      <c r="O124" s="2"/>
      <c r="P124" s="2"/>
      <c r="Q124" s="2"/>
      <c r="R124" s="2"/>
      <c r="S124" s="2"/>
      <c r="T124" s="2"/>
      <c r="U124" s="2"/>
      <c r="V124" s="2"/>
      <c r="W124" s="2"/>
      <c r="X124" s="2"/>
      <c r="Y124" s="2"/>
      <c r="Z124" s="2"/>
    </row>
    <row r="125">
      <c r="A125" s="2" t="s">
        <v>13</v>
      </c>
      <c r="B125" s="1" t="s">
        <v>647</v>
      </c>
      <c r="C125" s="1" t="s">
        <v>624</v>
      </c>
      <c r="D125" s="1" t="s">
        <v>648</v>
      </c>
      <c r="E125" s="1" t="s">
        <v>649</v>
      </c>
      <c r="F125" s="1" t="s">
        <v>650</v>
      </c>
      <c r="G125" s="1" t="s">
        <v>43</v>
      </c>
      <c r="H125" s="1" t="s">
        <v>569</v>
      </c>
      <c r="I125" s="1" t="s">
        <v>629</v>
      </c>
      <c r="J125" s="2"/>
      <c r="K125" s="2"/>
      <c r="L125" s="2"/>
      <c r="M125" s="2"/>
      <c r="N125" s="2"/>
      <c r="O125" s="2"/>
      <c r="P125" s="2"/>
      <c r="Q125" s="2"/>
      <c r="R125" s="2"/>
      <c r="S125" s="2"/>
      <c r="T125" s="2"/>
      <c r="U125" s="2"/>
      <c r="V125" s="2"/>
      <c r="W125" s="2"/>
      <c r="X125" s="2"/>
      <c r="Y125" s="2"/>
      <c r="Z125" s="2"/>
    </row>
    <row r="126">
      <c r="A126" s="2" t="s">
        <v>13</v>
      </c>
      <c r="B126" s="1" t="s">
        <v>651</v>
      </c>
      <c r="C126" s="1" t="s">
        <v>624</v>
      </c>
      <c r="D126" s="1" t="s">
        <v>652</v>
      </c>
      <c r="E126" s="1" t="s">
        <v>653</v>
      </c>
      <c r="F126" s="1" t="s">
        <v>654</v>
      </c>
      <c r="G126" s="1" t="s">
        <v>43</v>
      </c>
      <c r="H126" s="1" t="s">
        <v>569</v>
      </c>
      <c r="I126" s="1" t="s">
        <v>629</v>
      </c>
      <c r="J126" s="2"/>
      <c r="K126" s="2"/>
      <c r="L126" s="2"/>
      <c r="M126" s="2"/>
      <c r="N126" s="2"/>
      <c r="O126" s="2"/>
      <c r="P126" s="2"/>
      <c r="Q126" s="2"/>
      <c r="R126" s="2"/>
      <c r="S126" s="2"/>
      <c r="T126" s="2"/>
      <c r="U126" s="2"/>
      <c r="V126" s="2"/>
      <c r="W126" s="2"/>
      <c r="X126" s="2"/>
      <c r="Y126" s="2"/>
      <c r="Z126" s="2"/>
    </row>
    <row r="127">
      <c r="A127" s="2" t="s">
        <v>13</v>
      </c>
      <c r="B127" s="1" t="s">
        <v>655</v>
      </c>
      <c r="C127" s="1" t="s">
        <v>624</v>
      </c>
      <c r="D127" s="1" t="s">
        <v>656</v>
      </c>
      <c r="E127" s="1" t="s">
        <v>657</v>
      </c>
      <c r="F127" s="1" t="s">
        <v>658</v>
      </c>
      <c r="G127" s="1" t="s">
        <v>43</v>
      </c>
      <c r="H127" s="1" t="s">
        <v>569</v>
      </c>
      <c r="I127" s="1" t="s">
        <v>629</v>
      </c>
      <c r="J127" s="2"/>
      <c r="K127" s="2"/>
      <c r="L127" s="2"/>
      <c r="M127" s="2"/>
      <c r="N127" s="2"/>
      <c r="O127" s="2"/>
      <c r="P127" s="2"/>
      <c r="Q127" s="2"/>
      <c r="R127" s="2"/>
      <c r="S127" s="2"/>
      <c r="T127" s="2"/>
      <c r="U127" s="2"/>
      <c r="V127" s="2"/>
      <c r="W127" s="2"/>
      <c r="X127" s="2"/>
      <c r="Y127" s="2"/>
      <c r="Z127" s="2"/>
    </row>
    <row r="128">
      <c r="A128" s="2" t="s">
        <v>13</v>
      </c>
      <c r="B128" s="1" t="s">
        <v>659</v>
      </c>
      <c r="C128" s="1" t="s">
        <v>624</v>
      </c>
      <c r="D128" s="1" t="s">
        <v>660</v>
      </c>
      <c r="E128" s="1" t="s">
        <v>661</v>
      </c>
      <c r="F128" s="1" t="s">
        <v>662</v>
      </c>
      <c r="G128" s="1" t="s">
        <v>43</v>
      </c>
      <c r="H128" s="1" t="s">
        <v>628</v>
      </c>
      <c r="I128" s="1" t="s">
        <v>629</v>
      </c>
      <c r="J128" s="2"/>
      <c r="K128" s="2"/>
      <c r="L128" s="2"/>
      <c r="M128" s="2"/>
      <c r="N128" s="2"/>
      <c r="O128" s="2"/>
      <c r="P128" s="2"/>
      <c r="Q128" s="2"/>
      <c r="R128" s="2"/>
      <c r="S128" s="2"/>
      <c r="T128" s="2"/>
      <c r="U128" s="2"/>
      <c r="V128" s="2"/>
      <c r="W128" s="2"/>
      <c r="X128" s="2"/>
      <c r="Y128" s="2"/>
      <c r="Z128" s="2"/>
    </row>
    <row r="129">
      <c r="A129" s="2" t="s">
        <v>13</v>
      </c>
      <c r="B129" s="1" t="s">
        <v>663</v>
      </c>
      <c r="C129" s="1" t="s">
        <v>624</v>
      </c>
      <c r="D129" s="1" t="s">
        <v>664</v>
      </c>
      <c r="E129" s="1" t="s">
        <v>665</v>
      </c>
      <c r="F129" s="1" t="s">
        <v>666</v>
      </c>
      <c r="G129" s="1" t="s">
        <v>43</v>
      </c>
      <c r="H129" s="1" t="s">
        <v>569</v>
      </c>
      <c r="I129" s="1" t="s">
        <v>629</v>
      </c>
      <c r="J129" s="2"/>
      <c r="K129" s="2"/>
      <c r="L129" s="2"/>
      <c r="M129" s="2"/>
      <c r="N129" s="2"/>
      <c r="O129" s="2"/>
      <c r="P129" s="2"/>
      <c r="Q129" s="2"/>
      <c r="R129" s="2"/>
      <c r="S129" s="2"/>
      <c r="T129" s="2"/>
      <c r="U129" s="2"/>
      <c r="V129" s="2"/>
      <c r="W129" s="2"/>
      <c r="X129" s="2"/>
      <c r="Y129" s="2"/>
      <c r="Z129" s="2"/>
    </row>
    <row r="130">
      <c r="A130" s="2" t="s">
        <v>13</v>
      </c>
      <c r="B130" s="1" t="s">
        <v>667</v>
      </c>
      <c r="C130" s="1" t="s">
        <v>624</v>
      </c>
      <c r="D130" s="1" t="s">
        <v>668</v>
      </c>
      <c r="E130" s="1" t="s">
        <v>669</v>
      </c>
      <c r="F130" s="1" t="s">
        <v>670</v>
      </c>
      <c r="G130" s="1" t="s">
        <v>43</v>
      </c>
      <c r="H130" s="1" t="s">
        <v>569</v>
      </c>
      <c r="I130" s="1" t="s">
        <v>629</v>
      </c>
      <c r="J130" s="2"/>
      <c r="K130" s="2"/>
      <c r="L130" s="2"/>
      <c r="M130" s="2"/>
      <c r="N130" s="2"/>
      <c r="O130" s="2"/>
      <c r="P130" s="2"/>
      <c r="Q130" s="2"/>
      <c r="R130" s="2"/>
      <c r="S130" s="2"/>
      <c r="T130" s="2"/>
      <c r="U130" s="2"/>
      <c r="V130" s="2"/>
      <c r="W130" s="2"/>
      <c r="X130" s="2"/>
      <c r="Y130" s="2"/>
      <c r="Z130" s="2"/>
    </row>
    <row r="131">
      <c r="A131" s="2" t="s">
        <v>13</v>
      </c>
      <c r="B131" s="1" t="s">
        <v>671</v>
      </c>
      <c r="C131" s="1" t="s">
        <v>624</v>
      </c>
      <c r="D131" s="1" t="s">
        <v>672</v>
      </c>
      <c r="E131" s="1" t="s">
        <v>673</v>
      </c>
      <c r="F131" s="1" t="s">
        <v>674</v>
      </c>
      <c r="G131" s="1" t="s">
        <v>43</v>
      </c>
      <c r="H131" s="1" t="s">
        <v>569</v>
      </c>
      <c r="I131" s="1" t="s">
        <v>629</v>
      </c>
      <c r="J131" s="2"/>
      <c r="K131" s="2"/>
      <c r="L131" s="2"/>
      <c r="M131" s="2"/>
      <c r="N131" s="2"/>
      <c r="O131" s="2"/>
      <c r="P131" s="2"/>
      <c r="Q131" s="2"/>
      <c r="R131" s="2"/>
      <c r="S131" s="2"/>
      <c r="T131" s="2"/>
      <c r="U131" s="2"/>
      <c r="V131" s="2"/>
      <c r="W131" s="2"/>
      <c r="X131" s="2"/>
      <c r="Y131" s="2"/>
      <c r="Z131" s="2"/>
    </row>
    <row r="132">
      <c r="A132" s="2" t="s">
        <v>13</v>
      </c>
      <c r="B132" s="1" t="s">
        <v>675</v>
      </c>
      <c r="C132" s="1" t="s">
        <v>624</v>
      </c>
      <c r="D132" s="1" t="s">
        <v>676</v>
      </c>
      <c r="E132" s="1" t="s">
        <v>677</v>
      </c>
      <c r="F132" s="1" t="s">
        <v>678</v>
      </c>
      <c r="G132" s="1" t="s">
        <v>43</v>
      </c>
      <c r="H132" s="1" t="s">
        <v>628</v>
      </c>
      <c r="I132" s="1" t="s">
        <v>629</v>
      </c>
      <c r="J132" s="2"/>
      <c r="K132" s="2"/>
      <c r="L132" s="2"/>
      <c r="M132" s="2"/>
      <c r="N132" s="2"/>
      <c r="O132" s="2"/>
      <c r="P132" s="2"/>
      <c r="Q132" s="2"/>
      <c r="R132" s="2"/>
      <c r="S132" s="2"/>
      <c r="T132" s="2"/>
      <c r="U132" s="2"/>
      <c r="V132" s="2"/>
      <c r="W132" s="2"/>
      <c r="X132" s="2"/>
      <c r="Y132" s="2"/>
      <c r="Z132" s="2"/>
    </row>
    <row r="133">
      <c r="A133" s="2" t="s">
        <v>13</v>
      </c>
      <c r="B133" s="1" t="s">
        <v>679</v>
      </c>
      <c r="C133" s="1" t="s">
        <v>624</v>
      </c>
      <c r="D133" s="1" t="s">
        <v>680</v>
      </c>
      <c r="E133" s="1" t="s">
        <v>681</v>
      </c>
      <c r="F133" s="1" t="s">
        <v>682</v>
      </c>
      <c r="G133" s="1" t="s">
        <v>43</v>
      </c>
      <c r="H133" s="1" t="s">
        <v>569</v>
      </c>
      <c r="I133" s="1" t="s">
        <v>629</v>
      </c>
      <c r="J133" s="2"/>
      <c r="K133" s="2"/>
      <c r="L133" s="2"/>
      <c r="M133" s="2"/>
      <c r="N133" s="2"/>
      <c r="O133" s="2"/>
      <c r="P133" s="2"/>
      <c r="Q133" s="2"/>
      <c r="R133" s="2"/>
      <c r="S133" s="2"/>
      <c r="T133" s="2"/>
      <c r="U133" s="2"/>
      <c r="V133" s="2"/>
      <c r="W133" s="2"/>
      <c r="X133" s="2"/>
      <c r="Y133" s="2"/>
      <c r="Z133" s="2"/>
    </row>
    <row r="134">
      <c r="A134" s="2" t="s">
        <v>13</v>
      </c>
      <c r="B134" s="1" t="s">
        <v>683</v>
      </c>
      <c r="C134" s="1" t="s">
        <v>624</v>
      </c>
      <c r="D134" s="1" t="s">
        <v>684</v>
      </c>
      <c r="E134" s="1" t="s">
        <v>685</v>
      </c>
      <c r="F134" s="1" t="s">
        <v>686</v>
      </c>
      <c r="G134" s="1" t="s">
        <v>43</v>
      </c>
      <c r="H134" s="1" t="s">
        <v>582</v>
      </c>
      <c r="I134" s="1" t="s">
        <v>629</v>
      </c>
      <c r="J134" s="2"/>
      <c r="K134" s="2"/>
      <c r="L134" s="2"/>
      <c r="M134" s="2"/>
      <c r="N134" s="2"/>
      <c r="O134" s="2"/>
      <c r="P134" s="2"/>
      <c r="Q134" s="2"/>
      <c r="R134" s="2"/>
      <c r="S134" s="2"/>
      <c r="T134" s="2"/>
      <c r="U134" s="2"/>
      <c r="V134" s="2"/>
      <c r="W134" s="2"/>
      <c r="X134" s="2"/>
      <c r="Y134" s="2"/>
      <c r="Z134" s="2"/>
    </row>
    <row r="135">
      <c r="A135" s="2" t="s">
        <v>13</v>
      </c>
      <c r="B135" s="1" t="s">
        <v>687</v>
      </c>
      <c r="C135" s="1" t="s">
        <v>624</v>
      </c>
      <c r="D135" s="1" t="s">
        <v>688</v>
      </c>
      <c r="E135" s="1" t="s">
        <v>689</v>
      </c>
      <c r="F135" s="1" t="s">
        <v>690</v>
      </c>
      <c r="G135" s="1" t="s">
        <v>43</v>
      </c>
      <c r="H135" s="1" t="s">
        <v>642</v>
      </c>
      <c r="I135" s="1" t="s">
        <v>629</v>
      </c>
      <c r="J135" s="2"/>
      <c r="K135" s="2"/>
      <c r="L135" s="2"/>
      <c r="M135" s="2"/>
      <c r="N135" s="2"/>
      <c r="O135" s="2"/>
      <c r="P135" s="2"/>
      <c r="Q135" s="2"/>
      <c r="R135" s="2"/>
      <c r="S135" s="2"/>
      <c r="T135" s="2"/>
      <c r="U135" s="2"/>
      <c r="V135" s="2"/>
      <c r="W135" s="2"/>
      <c r="X135" s="2"/>
      <c r="Y135" s="2"/>
      <c r="Z135" s="2"/>
    </row>
    <row r="136">
      <c r="A136" s="2" t="s">
        <v>13</v>
      </c>
      <c r="B136" s="1" t="s">
        <v>691</v>
      </c>
      <c r="C136" s="1" t="s">
        <v>624</v>
      </c>
      <c r="D136" s="1" t="s">
        <v>692</v>
      </c>
      <c r="E136" s="1" t="s">
        <v>693</v>
      </c>
      <c r="F136" s="1" t="s">
        <v>694</v>
      </c>
      <c r="G136" s="1" t="s">
        <v>43</v>
      </c>
      <c r="H136" s="1" t="s">
        <v>628</v>
      </c>
      <c r="I136" s="1" t="s">
        <v>629</v>
      </c>
      <c r="J136" s="2"/>
      <c r="K136" s="2"/>
      <c r="L136" s="2"/>
      <c r="M136" s="2"/>
      <c r="N136" s="2"/>
      <c r="O136" s="2"/>
      <c r="P136" s="2"/>
      <c r="Q136" s="2"/>
      <c r="R136" s="2"/>
      <c r="S136" s="2"/>
      <c r="T136" s="2"/>
      <c r="U136" s="2"/>
      <c r="V136" s="2"/>
      <c r="W136" s="2"/>
      <c r="X136" s="2"/>
      <c r="Y136" s="2"/>
      <c r="Z136" s="2"/>
    </row>
    <row r="137">
      <c r="A137" s="2" t="s">
        <v>13</v>
      </c>
      <c r="B137" s="1" t="s">
        <v>695</v>
      </c>
      <c r="C137" s="1" t="s">
        <v>624</v>
      </c>
      <c r="D137" s="1" t="s">
        <v>696</v>
      </c>
      <c r="E137" s="1" t="s">
        <v>697</v>
      </c>
      <c r="F137" s="1" t="s">
        <v>698</v>
      </c>
      <c r="G137" s="1" t="s">
        <v>43</v>
      </c>
      <c r="H137" s="1" t="s">
        <v>582</v>
      </c>
      <c r="I137" s="1" t="s">
        <v>629</v>
      </c>
      <c r="J137" s="2"/>
      <c r="K137" s="2"/>
      <c r="L137" s="2"/>
      <c r="M137" s="2"/>
      <c r="N137" s="2"/>
      <c r="O137" s="2"/>
      <c r="P137" s="2"/>
      <c r="Q137" s="2"/>
      <c r="R137" s="2"/>
      <c r="S137" s="2"/>
      <c r="T137" s="2"/>
      <c r="U137" s="2"/>
      <c r="V137" s="2"/>
      <c r="W137" s="2"/>
      <c r="X137" s="2"/>
      <c r="Y137" s="2"/>
      <c r="Z137" s="2"/>
    </row>
    <row r="138">
      <c r="A138" s="2" t="s">
        <v>13</v>
      </c>
      <c r="B138" s="1" t="s">
        <v>699</v>
      </c>
      <c r="C138" s="1" t="s">
        <v>624</v>
      </c>
      <c r="D138" s="1" t="s">
        <v>700</v>
      </c>
      <c r="E138" s="1" t="s">
        <v>701</v>
      </c>
      <c r="F138" s="1" t="s">
        <v>702</v>
      </c>
      <c r="G138" s="1" t="s">
        <v>21</v>
      </c>
      <c r="H138" s="1" t="s">
        <v>582</v>
      </c>
      <c r="I138" s="1" t="s">
        <v>629</v>
      </c>
      <c r="J138" s="2"/>
      <c r="K138" s="2"/>
      <c r="L138" s="2"/>
      <c r="M138" s="2"/>
      <c r="N138" s="2"/>
      <c r="O138" s="2"/>
      <c r="P138" s="2"/>
      <c r="Q138" s="2"/>
      <c r="R138" s="2"/>
      <c r="S138" s="2"/>
      <c r="T138" s="2"/>
      <c r="U138" s="2"/>
      <c r="V138" s="2"/>
      <c r="W138" s="2"/>
      <c r="X138" s="2"/>
      <c r="Y138" s="2"/>
      <c r="Z138" s="2"/>
    </row>
    <row r="139">
      <c r="A139" s="2" t="s">
        <v>13</v>
      </c>
      <c r="B139" s="1" t="s">
        <v>703</v>
      </c>
      <c r="C139" s="1" t="s">
        <v>624</v>
      </c>
      <c r="D139" s="1" t="s">
        <v>704</v>
      </c>
      <c r="E139" s="1" t="s">
        <v>705</v>
      </c>
      <c r="F139" s="1" t="s">
        <v>706</v>
      </c>
      <c r="G139" s="1" t="s">
        <v>43</v>
      </c>
      <c r="H139" s="1" t="s">
        <v>569</v>
      </c>
      <c r="I139" s="1" t="s">
        <v>629</v>
      </c>
      <c r="J139" s="2"/>
      <c r="K139" s="2"/>
      <c r="L139" s="2"/>
      <c r="M139" s="2"/>
      <c r="N139" s="2"/>
      <c r="O139" s="2"/>
      <c r="P139" s="2"/>
      <c r="Q139" s="2"/>
      <c r="R139" s="2"/>
      <c r="S139" s="2"/>
      <c r="T139" s="2"/>
      <c r="U139" s="2"/>
      <c r="V139" s="2"/>
      <c r="W139" s="2"/>
      <c r="X139" s="2"/>
      <c r="Y139" s="2"/>
      <c r="Z139" s="2"/>
    </row>
    <row r="140">
      <c r="A140" s="2" t="s">
        <v>13</v>
      </c>
      <c r="B140" s="1" t="s">
        <v>707</v>
      </c>
      <c r="C140" s="1" t="s">
        <v>624</v>
      </c>
      <c r="D140" s="1" t="s">
        <v>708</v>
      </c>
      <c r="E140" s="1" t="s">
        <v>709</v>
      </c>
      <c r="F140" s="1" t="s">
        <v>710</v>
      </c>
      <c r="G140" s="1" t="s">
        <v>43</v>
      </c>
      <c r="H140" s="1" t="s">
        <v>628</v>
      </c>
      <c r="I140" s="1" t="s">
        <v>629</v>
      </c>
      <c r="J140" s="2"/>
      <c r="K140" s="2"/>
      <c r="L140" s="2"/>
      <c r="M140" s="2"/>
      <c r="N140" s="2"/>
      <c r="O140" s="2"/>
      <c r="P140" s="2"/>
      <c r="Q140" s="2"/>
      <c r="R140" s="2"/>
      <c r="S140" s="2"/>
      <c r="T140" s="2"/>
      <c r="U140" s="2"/>
      <c r="V140" s="2"/>
      <c r="W140" s="2"/>
      <c r="X140" s="2"/>
      <c r="Y140" s="2"/>
      <c r="Z140" s="2"/>
    </row>
    <row r="141">
      <c r="A141" s="2" t="s">
        <v>13</v>
      </c>
      <c r="B141" s="1" t="s">
        <v>711</v>
      </c>
      <c r="C141" s="1" t="s">
        <v>712</v>
      </c>
      <c r="D141" s="1" t="s">
        <v>713</v>
      </c>
      <c r="E141" s="1" t="s">
        <v>714</v>
      </c>
      <c r="F141" s="1" t="s">
        <v>715</v>
      </c>
      <c r="G141" s="1" t="s">
        <v>21</v>
      </c>
      <c r="H141" s="1" t="s">
        <v>22</v>
      </c>
      <c r="I141" s="1" t="s">
        <v>716</v>
      </c>
      <c r="J141" s="2"/>
      <c r="K141" s="2"/>
      <c r="L141" s="2"/>
      <c r="M141" s="2"/>
      <c r="N141" s="2"/>
      <c r="O141" s="2"/>
      <c r="P141" s="2"/>
      <c r="Q141" s="2"/>
      <c r="R141" s="2"/>
      <c r="S141" s="2"/>
      <c r="T141" s="2"/>
      <c r="U141" s="2"/>
      <c r="V141" s="2"/>
      <c r="W141" s="2"/>
      <c r="X141" s="2"/>
      <c r="Y141" s="2"/>
      <c r="Z141" s="2"/>
    </row>
    <row r="142">
      <c r="A142" s="2" t="s">
        <v>13</v>
      </c>
      <c r="B142" s="1" t="s">
        <v>717</v>
      </c>
      <c r="C142" s="1" t="s">
        <v>712</v>
      </c>
      <c r="D142" s="1" t="s">
        <v>718</v>
      </c>
      <c r="E142" s="1" t="s">
        <v>719</v>
      </c>
      <c r="F142" s="1" t="s">
        <v>720</v>
      </c>
      <c r="G142" s="1" t="s">
        <v>21</v>
      </c>
      <c r="H142" s="1" t="s">
        <v>721</v>
      </c>
      <c r="I142" s="1" t="s">
        <v>716</v>
      </c>
      <c r="J142" s="2"/>
      <c r="K142" s="2"/>
      <c r="L142" s="2"/>
      <c r="M142" s="2"/>
      <c r="N142" s="2"/>
      <c r="O142" s="2"/>
      <c r="P142" s="2"/>
      <c r="Q142" s="2"/>
      <c r="R142" s="2"/>
      <c r="S142" s="2"/>
      <c r="T142" s="2"/>
      <c r="U142" s="2"/>
      <c r="V142" s="2"/>
      <c r="W142" s="2"/>
      <c r="X142" s="2"/>
      <c r="Y142" s="2"/>
      <c r="Z142" s="2"/>
    </row>
    <row r="143">
      <c r="A143" s="2" t="s">
        <v>13</v>
      </c>
      <c r="B143" s="1" t="s">
        <v>722</v>
      </c>
      <c r="C143" s="1" t="s">
        <v>712</v>
      </c>
      <c r="D143" s="1" t="s">
        <v>723</v>
      </c>
      <c r="E143" s="1" t="s">
        <v>724</v>
      </c>
      <c r="F143" s="1" t="s">
        <v>725</v>
      </c>
      <c r="G143" s="1" t="s">
        <v>43</v>
      </c>
      <c r="H143" s="1" t="s">
        <v>582</v>
      </c>
      <c r="I143" s="1" t="s">
        <v>716</v>
      </c>
      <c r="J143" s="2"/>
      <c r="K143" s="2"/>
      <c r="L143" s="2"/>
      <c r="M143" s="2"/>
      <c r="N143" s="2"/>
      <c r="O143" s="2"/>
      <c r="P143" s="2"/>
      <c r="Q143" s="2"/>
      <c r="R143" s="2"/>
      <c r="S143" s="2"/>
      <c r="T143" s="2"/>
      <c r="U143" s="2"/>
      <c r="V143" s="2"/>
      <c r="W143" s="2"/>
      <c r="X143" s="2"/>
      <c r="Y143" s="2"/>
      <c r="Z143" s="2"/>
    </row>
    <row r="144">
      <c r="A144" s="2" t="s">
        <v>13</v>
      </c>
      <c r="B144" s="1" t="s">
        <v>726</v>
      </c>
      <c r="C144" s="1" t="s">
        <v>712</v>
      </c>
      <c r="D144" s="1" t="s">
        <v>727</v>
      </c>
      <c r="E144" s="1" t="s">
        <v>728</v>
      </c>
      <c r="F144" s="1" t="s">
        <v>729</v>
      </c>
      <c r="G144" s="1" t="s">
        <v>43</v>
      </c>
      <c r="H144" s="1" t="s">
        <v>642</v>
      </c>
      <c r="I144" s="1" t="s">
        <v>716</v>
      </c>
      <c r="J144" s="2"/>
      <c r="K144" s="2"/>
      <c r="L144" s="2"/>
      <c r="M144" s="2"/>
      <c r="N144" s="2"/>
      <c r="O144" s="2"/>
      <c r="P144" s="2"/>
      <c r="Q144" s="2"/>
      <c r="R144" s="2"/>
      <c r="S144" s="2"/>
      <c r="T144" s="2"/>
      <c r="U144" s="2"/>
      <c r="V144" s="2"/>
      <c r="W144" s="2"/>
      <c r="X144" s="2"/>
      <c r="Y144" s="2"/>
      <c r="Z144" s="2"/>
    </row>
    <row r="145">
      <c r="A145" s="2" t="s">
        <v>13</v>
      </c>
      <c r="B145" s="1" t="s">
        <v>730</v>
      </c>
      <c r="C145" s="1" t="s">
        <v>712</v>
      </c>
      <c r="D145" s="1" t="s">
        <v>731</v>
      </c>
      <c r="E145" s="1" t="s">
        <v>732</v>
      </c>
      <c r="F145" s="1" t="s">
        <v>733</v>
      </c>
      <c r="G145" s="1" t="s">
        <v>21</v>
      </c>
      <c r="H145" s="1" t="s">
        <v>721</v>
      </c>
      <c r="I145" s="1" t="s">
        <v>716</v>
      </c>
      <c r="J145" s="2"/>
      <c r="K145" s="2"/>
      <c r="L145" s="2"/>
      <c r="M145" s="2"/>
      <c r="N145" s="2"/>
      <c r="O145" s="2"/>
      <c r="P145" s="2"/>
      <c r="Q145" s="2"/>
      <c r="R145" s="2"/>
      <c r="S145" s="2"/>
      <c r="T145" s="2"/>
      <c r="U145" s="2"/>
      <c r="V145" s="2"/>
      <c r="W145" s="2"/>
      <c r="X145" s="2"/>
      <c r="Y145" s="2"/>
      <c r="Z145" s="2"/>
    </row>
    <row r="146">
      <c r="A146" s="2" t="s">
        <v>13</v>
      </c>
      <c r="B146" s="1" t="s">
        <v>734</v>
      </c>
      <c r="C146" s="1" t="s">
        <v>712</v>
      </c>
      <c r="D146" s="1" t="s">
        <v>735</v>
      </c>
      <c r="E146" s="1" t="s">
        <v>736</v>
      </c>
      <c r="F146" s="1" t="s">
        <v>737</v>
      </c>
      <c r="G146" s="1" t="s">
        <v>43</v>
      </c>
      <c r="H146" s="1" t="s">
        <v>721</v>
      </c>
      <c r="I146" s="1" t="s">
        <v>716</v>
      </c>
      <c r="J146" s="2"/>
      <c r="K146" s="2"/>
      <c r="L146" s="2"/>
      <c r="M146" s="2"/>
      <c r="N146" s="2"/>
      <c r="O146" s="2"/>
      <c r="P146" s="2"/>
      <c r="Q146" s="2"/>
      <c r="R146" s="2"/>
      <c r="S146" s="2"/>
      <c r="T146" s="2"/>
      <c r="U146" s="2"/>
      <c r="V146" s="2"/>
      <c r="W146" s="2"/>
      <c r="X146" s="2"/>
      <c r="Y146" s="2"/>
      <c r="Z146" s="2"/>
    </row>
    <row r="147">
      <c r="A147" s="2" t="s">
        <v>13</v>
      </c>
      <c r="B147" s="1" t="s">
        <v>738</v>
      </c>
      <c r="C147" s="1" t="s">
        <v>712</v>
      </c>
      <c r="D147" s="1" t="s">
        <v>739</v>
      </c>
      <c r="E147" s="1" t="s">
        <v>740</v>
      </c>
      <c r="F147" s="1" t="s">
        <v>741</v>
      </c>
      <c r="G147" s="1" t="s">
        <v>43</v>
      </c>
      <c r="H147" s="1" t="s">
        <v>721</v>
      </c>
      <c r="I147" s="1" t="s">
        <v>716</v>
      </c>
      <c r="J147" s="2"/>
      <c r="K147" s="2"/>
      <c r="L147" s="2"/>
      <c r="M147" s="2"/>
      <c r="N147" s="2"/>
      <c r="O147" s="2"/>
      <c r="P147" s="2"/>
      <c r="Q147" s="2"/>
      <c r="R147" s="2"/>
      <c r="S147" s="2"/>
      <c r="T147" s="2"/>
      <c r="U147" s="2"/>
      <c r="V147" s="2"/>
      <c r="W147" s="2"/>
      <c r="X147" s="2"/>
      <c r="Y147" s="2"/>
      <c r="Z147" s="2"/>
    </row>
    <row r="148">
      <c r="A148" s="2" t="s">
        <v>13</v>
      </c>
      <c r="B148" s="1" t="s">
        <v>742</v>
      </c>
      <c r="C148" s="1" t="s">
        <v>712</v>
      </c>
      <c r="D148" s="1" t="s">
        <v>743</v>
      </c>
      <c r="E148" s="1" t="s">
        <v>744</v>
      </c>
      <c r="F148" s="1" t="s">
        <v>745</v>
      </c>
      <c r="G148" s="1" t="s">
        <v>43</v>
      </c>
      <c r="H148" s="1" t="s">
        <v>582</v>
      </c>
      <c r="I148" s="1" t="s">
        <v>716</v>
      </c>
      <c r="J148" s="2"/>
      <c r="K148" s="2"/>
      <c r="L148" s="2"/>
      <c r="M148" s="2"/>
      <c r="N148" s="2"/>
      <c r="O148" s="2"/>
      <c r="P148" s="2"/>
      <c r="Q148" s="2"/>
      <c r="R148" s="2"/>
      <c r="S148" s="2"/>
      <c r="T148" s="2"/>
      <c r="U148" s="2"/>
      <c r="V148" s="2"/>
      <c r="W148" s="2"/>
      <c r="X148" s="2"/>
      <c r="Y148" s="2"/>
      <c r="Z148" s="2"/>
    </row>
    <row r="149">
      <c r="A149" s="2" t="s">
        <v>13</v>
      </c>
      <c r="B149" s="1" t="s">
        <v>746</v>
      </c>
      <c r="C149" s="1" t="s">
        <v>712</v>
      </c>
      <c r="D149" s="1" t="s">
        <v>747</v>
      </c>
      <c r="E149" s="1" t="s">
        <v>748</v>
      </c>
      <c r="F149" s="1" t="s">
        <v>749</v>
      </c>
      <c r="G149" s="1" t="s">
        <v>43</v>
      </c>
      <c r="H149" s="1" t="s">
        <v>721</v>
      </c>
      <c r="I149" s="1" t="s">
        <v>716</v>
      </c>
      <c r="J149" s="2"/>
      <c r="K149" s="2"/>
      <c r="L149" s="2"/>
      <c r="M149" s="2"/>
      <c r="N149" s="2"/>
      <c r="O149" s="2"/>
      <c r="P149" s="2"/>
      <c r="Q149" s="2"/>
      <c r="R149" s="2"/>
      <c r="S149" s="2"/>
      <c r="T149" s="2"/>
      <c r="U149" s="2"/>
      <c r="V149" s="2"/>
      <c r="W149" s="2"/>
      <c r="X149" s="2"/>
      <c r="Y149" s="2"/>
      <c r="Z149" s="2"/>
    </row>
    <row r="150">
      <c r="A150" s="2" t="s">
        <v>13</v>
      </c>
      <c r="B150" s="1" t="s">
        <v>750</v>
      </c>
      <c r="C150" s="1" t="s">
        <v>712</v>
      </c>
      <c r="D150" s="1" t="s">
        <v>751</v>
      </c>
      <c r="E150" s="1" t="s">
        <v>752</v>
      </c>
      <c r="F150" s="1" t="s">
        <v>753</v>
      </c>
      <c r="G150" s="1" t="s">
        <v>43</v>
      </c>
      <c r="H150" s="1" t="s">
        <v>721</v>
      </c>
      <c r="I150" s="1" t="s">
        <v>716</v>
      </c>
      <c r="J150" s="2"/>
      <c r="K150" s="2"/>
      <c r="L150" s="2"/>
      <c r="M150" s="2"/>
      <c r="N150" s="2"/>
      <c r="O150" s="2"/>
      <c r="P150" s="2"/>
      <c r="Q150" s="2"/>
      <c r="R150" s="2"/>
      <c r="S150" s="2"/>
      <c r="T150" s="2"/>
      <c r="U150" s="2"/>
      <c r="V150" s="2"/>
      <c r="W150" s="2"/>
      <c r="X150" s="2"/>
      <c r="Y150" s="2"/>
      <c r="Z150" s="2"/>
    </row>
    <row r="151">
      <c r="A151" s="2" t="s">
        <v>13</v>
      </c>
      <c r="B151" s="1" t="s">
        <v>754</v>
      </c>
      <c r="C151" s="1" t="s">
        <v>712</v>
      </c>
      <c r="D151" s="1" t="s">
        <v>755</v>
      </c>
      <c r="E151" s="1" t="s">
        <v>756</v>
      </c>
      <c r="F151" s="1" t="s">
        <v>757</v>
      </c>
      <c r="G151" s="1" t="s">
        <v>43</v>
      </c>
      <c r="H151" s="1" t="s">
        <v>721</v>
      </c>
      <c r="I151" s="1" t="s">
        <v>716</v>
      </c>
      <c r="J151" s="2"/>
      <c r="K151" s="2"/>
      <c r="L151" s="2"/>
      <c r="M151" s="2"/>
      <c r="N151" s="2"/>
      <c r="O151" s="2"/>
      <c r="P151" s="2"/>
      <c r="Q151" s="2"/>
      <c r="R151" s="2"/>
      <c r="S151" s="2"/>
      <c r="T151" s="2"/>
      <c r="U151" s="2"/>
      <c r="V151" s="2"/>
      <c r="W151" s="2"/>
      <c r="X151" s="2"/>
      <c r="Y151" s="2"/>
      <c r="Z151" s="2"/>
    </row>
    <row r="152">
      <c r="A152" s="2" t="s">
        <v>13</v>
      </c>
      <c r="B152" s="1" t="s">
        <v>758</v>
      </c>
      <c r="C152" s="1" t="s">
        <v>712</v>
      </c>
      <c r="D152" s="1" t="s">
        <v>759</v>
      </c>
      <c r="E152" s="1" t="s">
        <v>760</v>
      </c>
      <c r="F152" s="1" t="s">
        <v>761</v>
      </c>
      <c r="G152" s="1" t="s">
        <v>21</v>
      </c>
      <c r="H152" s="1" t="s">
        <v>721</v>
      </c>
      <c r="I152" s="1" t="s">
        <v>716</v>
      </c>
      <c r="J152" s="2"/>
      <c r="K152" s="2"/>
      <c r="L152" s="2"/>
      <c r="M152" s="2"/>
      <c r="N152" s="2"/>
      <c r="O152" s="2"/>
      <c r="P152" s="2"/>
      <c r="Q152" s="2"/>
      <c r="R152" s="2"/>
      <c r="S152" s="2"/>
      <c r="T152" s="2"/>
      <c r="U152" s="2"/>
      <c r="V152" s="2"/>
      <c r="W152" s="2"/>
      <c r="X152" s="2"/>
      <c r="Y152" s="2"/>
      <c r="Z152" s="2"/>
    </row>
    <row r="153">
      <c r="A153" s="2" t="s">
        <v>13</v>
      </c>
      <c r="B153" s="1" t="s">
        <v>762</v>
      </c>
      <c r="C153" s="1" t="s">
        <v>712</v>
      </c>
      <c r="D153" s="1" t="s">
        <v>763</v>
      </c>
      <c r="E153" s="1" t="s">
        <v>764</v>
      </c>
      <c r="F153" s="1" t="s">
        <v>765</v>
      </c>
      <c r="G153" s="1" t="s">
        <v>21</v>
      </c>
      <c r="H153" s="1" t="s">
        <v>721</v>
      </c>
      <c r="I153" s="1" t="s">
        <v>716</v>
      </c>
      <c r="J153" s="2"/>
      <c r="K153" s="2"/>
      <c r="L153" s="2"/>
      <c r="M153" s="2"/>
      <c r="N153" s="2"/>
      <c r="O153" s="2"/>
      <c r="P153" s="2"/>
      <c r="Q153" s="2"/>
      <c r="R153" s="2"/>
      <c r="S153" s="2"/>
      <c r="T153" s="2"/>
      <c r="U153" s="2"/>
      <c r="V153" s="2"/>
      <c r="W153" s="2"/>
      <c r="X153" s="2"/>
      <c r="Y153" s="2"/>
      <c r="Z153" s="2"/>
    </row>
    <row r="154">
      <c r="A154" s="2" t="s">
        <v>13</v>
      </c>
      <c r="B154" s="1" t="s">
        <v>766</v>
      </c>
      <c r="C154" s="1" t="s">
        <v>712</v>
      </c>
      <c r="D154" s="1" t="s">
        <v>767</v>
      </c>
      <c r="E154" s="1" t="s">
        <v>768</v>
      </c>
      <c r="F154" s="1" t="s">
        <v>769</v>
      </c>
      <c r="G154" s="1" t="s">
        <v>21</v>
      </c>
      <c r="H154" s="1" t="s">
        <v>721</v>
      </c>
      <c r="I154" s="1" t="s">
        <v>716</v>
      </c>
      <c r="J154" s="2"/>
      <c r="K154" s="2"/>
      <c r="L154" s="2"/>
      <c r="M154" s="2"/>
      <c r="N154" s="2"/>
      <c r="O154" s="2"/>
      <c r="P154" s="2"/>
      <c r="Q154" s="2"/>
      <c r="R154" s="2"/>
      <c r="S154" s="2"/>
      <c r="T154" s="2"/>
      <c r="U154" s="2"/>
      <c r="V154" s="2"/>
      <c r="W154" s="2"/>
      <c r="X154" s="2"/>
      <c r="Y154" s="2"/>
      <c r="Z154" s="2"/>
    </row>
    <row r="155">
      <c r="A155" s="2" t="s">
        <v>13</v>
      </c>
      <c r="B155" s="1" t="s">
        <v>770</v>
      </c>
      <c r="C155" s="1" t="s">
        <v>712</v>
      </c>
      <c r="D155" s="1" t="s">
        <v>771</v>
      </c>
      <c r="E155" s="1" t="s">
        <v>772</v>
      </c>
      <c r="F155" s="1" t="s">
        <v>773</v>
      </c>
      <c r="G155" s="1" t="s">
        <v>21</v>
      </c>
      <c r="H155" s="1" t="s">
        <v>721</v>
      </c>
      <c r="I155" s="1" t="s">
        <v>716</v>
      </c>
      <c r="J155" s="2"/>
      <c r="K155" s="2"/>
      <c r="L155" s="2"/>
      <c r="M155" s="2"/>
      <c r="N155" s="2"/>
      <c r="O155" s="2"/>
      <c r="P155" s="2"/>
      <c r="Q155" s="2"/>
      <c r="R155" s="2"/>
      <c r="S155" s="2"/>
      <c r="T155" s="2"/>
      <c r="U155" s="2"/>
      <c r="V155" s="2"/>
      <c r="W155" s="2"/>
      <c r="X155" s="2"/>
      <c r="Y155" s="2"/>
      <c r="Z155" s="2"/>
    </row>
    <row r="156">
      <c r="A156" s="2" t="s">
        <v>13</v>
      </c>
      <c r="B156" s="1" t="s">
        <v>774</v>
      </c>
      <c r="C156" s="1" t="s">
        <v>712</v>
      </c>
      <c r="D156" s="1" t="s">
        <v>775</v>
      </c>
      <c r="E156" s="1" t="s">
        <v>776</v>
      </c>
      <c r="F156" s="1" t="s">
        <v>777</v>
      </c>
      <c r="G156" s="1" t="s">
        <v>21</v>
      </c>
      <c r="H156" s="1" t="s">
        <v>721</v>
      </c>
      <c r="I156" s="1" t="s">
        <v>716</v>
      </c>
      <c r="J156" s="2"/>
      <c r="K156" s="2"/>
      <c r="L156" s="2"/>
      <c r="M156" s="2"/>
      <c r="N156" s="2"/>
      <c r="O156" s="2"/>
      <c r="P156" s="2"/>
      <c r="Q156" s="2"/>
      <c r="R156" s="2"/>
      <c r="S156" s="2"/>
      <c r="T156" s="2"/>
      <c r="U156" s="2"/>
      <c r="V156" s="2"/>
      <c r="W156" s="2"/>
      <c r="X156" s="2"/>
      <c r="Y156" s="2"/>
      <c r="Z156" s="2"/>
    </row>
    <row r="157">
      <c r="A157" s="2" t="s">
        <v>13</v>
      </c>
      <c r="B157" s="1" t="s">
        <v>778</v>
      </c>
      <c r="C157" s="1" t="s">
        <v>712</v>
      </c>
      <c r="D157" s="1" t="s">
        <v>779</v>
      </c>
      <c r="E157" s="1" t="s">
        <v>780</v>
      </c>
      <c r="F157" s="1" t="s">
        <v>781</v>
      </c>
      <c r="G157" s="1" t="s">
        <v>43</v>
      </c>
      <c r="H157" s="1" t="s">
        <v>721</v>
      </c>
      <c r="I157" s="1" t="s">
        <v>716</v>
      </c>
      <c r="J157" s="2"/>
      <c r="K157" s="2"/>
      <c r="L157" s="2"/>
      <c r="M157" s="2"/>
      <c r="N157" s="2"/>
      <c r="O157" s="2"/>
      <c r="P157" s="2"/>
      <c r="Q157" s="2"/>
      <c r="R157" s="2"/>
      <c r="S157" s="2"/>
      <c r="T157" s="2"/>
      <c r="U157" s="2"/>
      <c r="V157" s="2"/>
      <c r="W157" s="2"/>
      <c r="X157" s="2"/>
      <c r="Y157" s="2"/>
      <c r="Z157" s="2"/>
    </row>
    <row r="158">
      <c r="A158" s="2" t="s">
        <v>13</v>
      </c>
      <c r="B158" s="1" t="s">
        <v>782</v>
      </c>
      <c r="C158" s="1" t="s">
        <v>712</v>
      </c>
      <c r="D158" s="1" t="s">
        <v>783</v>
      </c>
      <c r="E158" s="1" t="s">
        <v>784</v>
      </c>
      <c r="F158" s="1" t="s">
        <v>785</v>
      </c>
      <c r="G158" s="1" t="s">
        <v>43</v>
      </c>
      <c r="H158" s="1" t="s">
        <v>721</v>
      </c>
      <c r="I158" s="1" t="s">
        <v>716</v>
      </c>
      <c r="J158" s="2"/>
      <c r="K158" s="2"/>
      <c r="L158" s="2"/>
      <c r="M158" s="2"/>
      <c r="N158" s="2"/>
      <c r="O158" s="2"/>
      <c r="P158" s="2"/>
      <c r="Q158" s="2"/>
      <c r="R158" s="2"/>
      <c r="S158" s="2"/>
      <c r="T158" s="2"/>
      <c r="U158" s="2"/>
      <c r="V158" s="2"/>
      <c r="W158" s="2"/>
      <c r="X158" s="2"/>
      <c r="Y158" s="2"/>
      <c r="Z158" s="2"/>
    </row>
    <row r="159">
      <c r="A159" s="2" t="s">
        <v>13</v>
      </c>
      <c r="B159" s="1" t="s">
        <v>786</v>
      </c>
      <c r="C159" s="1" t="s">
        <v>712</v>
      </c>
      <c r="D159" s="1" t="s">
        <v>787</v>
      </c>
      <c r="E159" s="1" t="s">
        <v>788</v>
      </c>
      <c r="F159" s="1" t="s">
        <v>789</v>
      </c>
      <c r="G159" s="1" t="s">
        <v>43</v>
      </c>
      <c r="H159" s="1" t="s">
        <v>721</v>
      </c>
      <c r="I159" s="1" t="s">
        <v>716</v>
      </c>
      <c r="J159" s="2"/>
      <c r="K159" s="2"/>
      <c r="L159" s="2"/>
      <c r="M159" s="2"/>
      <c r="N159" s="2"/>
      <c r="O159" s="2"/>
      <c r="P159" s="2"/>
      <c r="Q159" s="2"/>
      <c r="R159" s="2"/>
      <c r="S159" s="2"/>
      <c r="T159" s="2"/>
      <c r="U159" s="2"/>
      <c r="V159" s="2"/>
      <c r="W159" s="2"/>
      <c r="X159" s="2"/>
      <c r="Y159" s="2"/>
      <c r="Z159" s="2"/>
    </row>
    <row r="160">
      <c r="A160" s="2" t="s">
        <v>13</v>
      </c>
      <c r="B160" s="1" t="s">
        <v>790</v>
      </c>
      <c r="C160" s="1" t="s">
        <v>712</v>
      </c>
      <c r="D160" s="1" t="s">
        <v>791</v>
      </c>
      <c r="E160" s="1" t="s">
        <v>792</v>
      </c>
      <c r="F160" s="1" t="s">
        <v>793</v>
      </c>
      <c r="G160" s="1" t="s">
        <v>43</v>
      </c>
      <c r="H160" s="1" t="s">
        <v>721</v>
      </c>
      <c r="I160" s="1" t="s">
        <v>716</v>
      </c>
      <c r="J160" s="2"/>
      <c r="K160" s="2"/>
      <c r="L160" s="2"/>
      <c r="M160" s="2"/>
      <c r="N160" s="2"/>
      <c r="O160" s="2"/>
      <c r="P160" s="2"/>
      <c r="Q160" s="2"/>
      <c r="R160" s="2"/>
      <c r="S160" s="2"/>
      <c r="T160" s="2"/>
      <c r="U160" s="2"/>
      <c r="V160" s="2"/>
      <c r="W160" s="2"/>
      <c r="X160" s="2"/>
      <c r="Y160" s="2"/>
      <c r="Z160" s="2"/>
    </row>
    <row r="161">
      <c r="A161" s="2" t="s">
        <v>13</v>
      </c>
      <c r="B161" s="1" t="s">
        <v>794</v>
      </c>
      <c r="C161" s="1" t="s">
        <v>795</v>
      </c>
      <c r="D161" s="1" t="s">
        <v>796</v>
      </c>
      <c r="E161" s="1" t="s">
        <v>797</v>
      </c>
      <c r="F161" s="1" t="s">
        <v>798</v>
      </c>
      <c r="G161" s="1" t="s">
        <v>43</v>
      </c>
      <c r="H161" s="1" t="s">
        <v>22</v>
      </c>
      <c r="I161" s="1" t="s">
        <v>799</v>
      </c>
      <c r="J161" s="2"/>
      <c r="K161" s="2"/>
      <c r="L161" s="2"/>
      <c r="M161" s="2"/>
      <c r="N161" s="2"/>
      <c r="O161" s="2"/>
      <c r="P161" s="2"/>
      <c r="Q161" s="2"/>
      <c r="R161" s="2"/>
      <c r="S161" s="2"/>
      <c r="T161" s="2"/>
      <c r="U161" s="2"/>
      <c r="V161" s="2"/>
      <c r="W161" s="2"/>
      <c r="X161" s="2"/>
      <c r="Y161" s="2"/>
      <c r="Z161" s="2"/>
    </row>
    <row r="162">
      <c r="A162" s="2" t="s">
        <v>13</v>
      </c>
      <c r="B162" s="1" t="s">
        <v>800</v>
      </c>
      <c r="C162" s="1" t="s">
        <v>795</v>
      </c>
      <c r="D162" s="1" t="s">
        <v>801</v>
      </c>
      <c r="E162" s="1" t="s">
        <v>802</v>
      </c>
      <c r="F162" s="1" t="s">
        <v>803</v>
      </c>
      <c r="G162" s="1" t="s">
        <v>43</v>
      </c>
      <c r="H162" s="1" t="s">
        <v>22</v>
      </c>
      <c r="I162" s="1" t="s">
        <v>799</v>
      </c>
      <c r="J162" s="2"/>
      <c r="K162" s="2"/>
      <c r="L162" s="2"/>
      <c r="M162" s="2"/>
      <c r="N162" s="2"/>
      <c r="O162" s="2"/>
      <c r="P162" s="2"/>
      <c r="Q162" s="2"/>
      <c r="R162" s="2"/>
      <c r="S162" s="2"/>
      <c r="T162" s="2"/>
      <c r="U162" s="2"/>
      <c r="V162" s="2"/>
      <c r="W162" s="2"/>
      <c r="X162" s="2"/>
      <c r="Y162" s="2"/>
      <c r="Z162" s="2"/>
    </row>
    <row r="163">
      <c r="A163" s="2" t="s">
        <v>13</v>
      </c>
      <c r="B163" s="1" t="s">
        <v>804</v>
      </c>
      <c r="C163" s="1" t="s">
        <v>795</v>
      </c>
      <c r="D163" s="1" t="s">
        <v>805</v>
      </c>
      <c r="E163" s="1" t="s">
        <v>806</v>
      </c>
      <c r="F163" s="1" t="s">
        <v>807</v>
      </c>
      <c r="G163" s="1" t="s">
        <v>43</v>
      </c>
      <c r="H163" s="1" t="s">
        <v>22</v>
      </c>
      <c r="I163" s="1" t="s">
        <v>799</v>
      </c>
      <c r="J163" s="2"/>
      <c r="K163" s="2"/>
      <c r="L163" s="2"/>
      <c r="M163" s="2"/>
      <c r="N163" s="2"/>
      <c r="O163" s="2"/>
      <c r="P163" s="2"/>
      <c r="Q163" s="2"/>
      <c r="R163" s="2"/>
      <c r="S163" s="2"/>
      <c r="T163" s="2"/>
      <c r="U163" s="2"/>
      <c r="V163" s="2"/>
      <c r="W163" s="2"/>
      <c r="X163" s="2"/>
      <c r="Y163" s="2"/>
      <c r="Z163" s="2"/>
    </row>
    <row r="164">
      <c r="A164" s="2" t="s">
        <v>13</v>
      </c>
      <c r="B164" s="1" t="s">
        <v>808</v>
      </c>
      <c r="C164" s="1" t="s">
        <v>795</v>
      </c>
      <c r="D164" s="1" t="s">
        <v>809</v>
      </c>
      <c r="E164" s="1" t="s">
        <v>810</v>
      </c>
      <c r="F164" s="1" t="s">
        <v>811</v>
      </c>
      <c r="G164" s="1" t="s">
        <v>43</v>
      </c>
      <c r="H164" s="1" t="s">
        <v>22</v>
      </c>
      <c r="I164" s="1" t="s">
        <v>799</v>
      </c>
      <c r="J164" s="2"/>
      <c r="K164" s="2"/>
      <c r="L164" s="2"/>
      <c r="M164" s="2"/>
      <c r="N164" s="2"/>
      <c r="O164" s="2"/>
      <c r="P164" s="2"/>
      <c r="Q164" s="2"/>
      <c r="R164" s="2"/>
      <c r="S164" s="2"/>
      <c r="T164" s="2"/>
      <c r="U164" s="2"/>
      <c r="V164" s="2"/>
      <c r="W164" s="2"/>
      <c r="X164" s="2"/>
      <c r="Y164" s="2"/>
      <c r="Z164" s="2"/>
    </row>
    <row r="165">
      <c r="A165" s="2" t="s">
        <v>13</v>
      </c>
      <c r="B165" s="1" t="s">
        <v>812</v>
      </c>
      <c r="C165" s="1" t="s">
        <v>795</v>
      </c>
      <c r="D165" s="1" t="s">
        <v>813</v>
      </c>
      <c r="E165" s="1" t="s">
        <v>814</v>
      </c>
      <c r="F165" s="1" t="s">
        <v>815</v>
      </c>
      <c r="G165" s="1" t="s">
        <v>43</v>
      </c>
      <c r="H165" s="1" t="s">
        <v>22</v>
      </c>
      <c r="I165" s="1" t="s">
        <v>799</v>
      </c>
      <c r="J165" s="2"/>
      <c r="K165" s="2"/>
      <c r="L165" s="2"/>
      <c r="M165" s="2"/>
      <c r="N165" s="2"/>
      <c r="O165" s="2"/>
      <c r="P165" s="2"/>
      <c r="Q165" s="2"/>
      <c r="R165" s="2"/>
      <c r="S165" s="2"/>
      <c r="T165" s="2"/>
      <c r="U165" s="2"/>
      <c r="V165" s="2"/>
      <c r="W165" s="2"/>
      <c r="X165" s="2"/>
      <c r="Y165" s="2"/>
      <c r="Z165" s="2"/>
    </row>
    <row r="166">
      <c r="A166" s="2" t="s">
        <v>13</v>
      </c>
      <c r="B166" s="1" t="s">
        <v>816</v>
      </c>
      <c r="C166" s="1" t="s">
        <v>795</v>
      </c>
      <c r="D166" s="1" t="s">
        <v>817</v>
      </c>
      <c r="E166" s="1" t="s">
        <v>818</v>
      </c>
      <c r="F166" s="1" t="s">
        <v>819</v>
      </c>
      <c r="G166" s="1" t="s">
        <v>43</v>
      </c>
      <c r="H166" s="1" t="s">
        <v>22</v>
      </c>
      <c r="I166" s="1" t="s">
        <v>799</v>
      </c>
      <c r="J166" s="2"/>
      <c r="K166" s="2"/>
      <c r="L166" s="2"/>
      <c r="M166" s="2"/>
      <c r="N166" s="2"/>
      <c r="O166" s="2"/>
      <c r="P166" s="2"/>
      <c r="Q166" s="2"/>
      <c r="R166" s="2"/>
      <c r="S166" s="2"/>
      <c r="T166" s="2"/>
      <c r="U166" s="2"/>
      <c r="V166" s="2"/>
      <c r="W166" s="2"/>
      <c r="X166" s="2"/>
      <c r="Y166" s="2"/>
      <c r="Z166" s="2"/>
    </row>
    <row r="167">
      <c r="A167" s="2" t="s">
        <v>13</v>
      </c>
      <c r="B167" s="1" t="s">
        <v>820</v>
      </c>
      <c r="C167" s="1" t="s">
        <v>795</v>
      </c>
      <c r="D167" s="1" t="s">
        <v>821</v>
      </c>
      <c r="E167" s="1" t="s">
        <v>822</v>
      </c>
      <c r="F167" s="1" t="s">
        <v>823</v>
      </c>
      <c r="G167" s="1" t="s">
        <v>43</v>
      </c>
      <c r="H167" s="1" t="s">
        <v>22</v>
      </c>
      <c r="I167" s="1" t="s">
        <v>799</v>
      </c>
      <c r="J167" s="2"/>
      <c r="K167" s="2"/>
      <c r="L167" s="2"/>
      <c r="M167" s="2"/>
      <c r="N167" s="2"/>
      <c r="O167" s="2"/>
      <c r="P167" s="2"/>
      <c r="Q167" s="2"/>
      <c r="R167" s="2"/>
      <c r="S167" s="2"/>
      <c r="T167" s="2"/>
      <c r="U167" s="2"/>
      <c r="V167" s="2"/>
      <c r="W167" s="2"/>
      <c r="X167" s="2"/>
      <c r="Y167" s="2"/>
      <c r="Z167" s="2"/>
    </row>
    <row r="168">
      <c r="A168" s="2" t="s">
        <v>13</v>
      </c>
      <c r="B168" s="1" t="s">
        <v>824</v>
      </c>
      <c r="C168" s="1" t="s">
        <v>795</v>
      </c>
      <c r="D168" s="1" t="s">
        <v>825</v>
      </c>
      <c r="E168" s="1" t="s">
        <v>826</v>
      </c>
      <c r="F168" s="1" t="s">
        <v>827</v>
      </c>
      <c r="G168" s="1" t="s">
        <v>43</v>
      </c>
      <c r="H168" s="1" t="s">
        <v>22</v>
      </c>
      <c r="I168" s="1" t="s">
        <v>799</v>
      </c>
      <c r="J168" s="2"/>
      <c r="K168" s="2"/>
      <c r="L168" s="2"/>
      <c r="M168" s="2"/>
      <c r="N168" s="2"/>
      <c r="O168" s="2"/>
      <c r="P168" s="2"/>
      <c r="Q168" s="2"/>
      <c r="R168" s="2"/>
      <c r="S168" s="2"/>
      <c r="T168" s="2"/>
      <c r="U168" s="2"/>
      <c r="V168" s="2"/>
      <c r="W168" s="2"/>
      <c r="X168" s="2"/>
      <c r="Y168" s="2"/>
      <c r="Z168" s="2"/>
    </row>
    <row r="169">
      <c r="A169" s="2" t="s">
        <v>13</v>
      </c>
      <c r="B169" s="1" t="s">
        <v>828</v>
      </c>
      <c r="C169" s="1" t="s">
        <v>795</v>
      </c>
      <c r="D169" s="1" t="s">
        <v>829</v>
      </c>
      <c r="E169" s="1" t="s">
        <v>830</v>
      </c>
      <c r="F169" s="1" t="s">
        <v>831</v>
      </c>
      <c r="G169" s="1" t="s">
        <v>43</v>
      </c>
      <c r="H169" s="1" t="s">
        <v>22</v>
      </c>
      <c r="I169" s="1" t="s">
        <v>799</v>
      </c>
      <c r="J169" s="2"/>
      <c r="K169" s="2"/>
      <c r="L169" s="2"/>
      <c r="M169" s="2"/>
      <c r="N169" s="2"/>
      <c r="O169" s="2"/>
      <c r="P169" s="2"/>
      <c r="Q169" s="2"/>
      <c r="R169" s="2"/>
      <c r="S169" s="2"/>
      <c r="T169" s="2"/>
      <c r="U169" s="2"/>
      <c r="V169" s="2"/>
      <c r="W169" s="2"/>
      <c r="X169" s="2"/>
      <c r="Y169" s="2"/>
      <c r="Z169" s="2"/>
    </row>
    <row r="170">
      <c r="A170" s="2" t="s">
        <v>13</v>
      </c>
      <c r="B170" s="1" t="s">
        <v>832</v>
      </c>
      <c r="C170" s="1" t="s">
        <v>795</v>
      </c>
      <c r="D170" s="1" t="s">
        <v>833</v>
      </c>
      <c r="E170" s="1" t="s">
        <v>834</v>
      </c>
      <c r="F170" s="1" t="s">
        <v>835</v>
      </c>
      <c r="G170" s="1" t="s">
        <v>43</v>
      </c>
      <c r="H170" s="1" t="s">
        <v>22</v>
      </c>
      <c r="I170" s="1" t="s">
        <v>799</v>
      </c>
      <c r="J170" s="2"/>
      <c r="K170" s="2"/>
      <c r="L170" s="2"/>
      <c r="M170" s="2"/>
      <c r="N170" s="2"/>
      <c r="O170" s="2"/>
      <c r="P170" s="2"/>
      <c r="Q170" s="2"/>
      <c r="R170" s="2"/>
      <c r="S170" s="2"/>
      <c r="T170" s="2"/>
      <c r="U170" s="2"/>
      <c r="V170" s="2"/>
      <c r="W170" s="2"/>
      <c r="X170" s="2"/>
      <c r="Y170" s="2"/>
      <c r="Z170" s="2"/>
    </row>
    <row r="171">
      <c r="A171" s="2" t="s">
        <v>13</v>
      </c>
      <c r="B171" s="1" t="s">
        <v>836</v>
      </c>
      <c r="C171" s="1" t="s">
        <v>795</v>
      </c>
      <c r="D171" s="1" t="s">
        <v>837</v>
      </c>
      <c r="E171" s="1" t="s">
        <v>838</v>
      </c>
      <c r="F171" s="1" t="s">
        <v>839</v>
      </c>
      <c r="G171" s="1" t="s">
        <v>43</v>
      </c>
      <c r="H171" s="1" t="s">
        <v>22</v>
      </c>
      <c r="I171" s="1" t="s">
        <v>799</v>
      </c>
      <c r="J171" s="2"/>
      <c r="K171" s="2"/>
      <c r="L171" s="2"/>
      <c r="M171" s="2"/>
      <c r="N171" s="2"/>
      <c r="O171" s="2"/>
      <c r="P171" s="2"/>
      <c r="Q171" s="2"/>
      <c r="R171" s="2"/>
      <c r="S171" s="2"/>
      <c r="T171" s="2"/>
      <c r="U171" s="2"/>
      <c r="V171" s="2"/>
      <c r="W171" s="2"/>
      <c r="X171" s="2"/>
      <c r="Y171" s="2"/>
      <c r="Z171" s="2"/>
    </row>
    <row r="172">
      <c r="A172" s="2" t="s">
        <v>13</v>
      </c>
      <c r="B172" s="1" t="s">
        <v>840</v>
      </c>
      <c r="C172" s="1" t="s">
        <v>795</v>
      </c>
      <c r="D172" s="1" t="s">
        <v>841</v>
      </c>
      <c r="E172" s="1" t="s">
        <v>842</v>
      </c>
      <c r="F172" s="1" t="s">
        <v>843</v>
      </c>
      <c r="G172" s="1" t="s">
        <v>43</v>
      </c>
      <c r="H172" s="1" t="s">
        <v>22</v>
      </c>
      <c r="I172" s="1" t="s">
        <v>799</v>
      </c>
      <c r="J172" s="2"/>
      <c r="K172" s="2"/>
      <c r="L172" s="2"/>
      <c r="M172" s="2"/>
      <c r="N172" s="2"/>
      <c r="O172" s="2"/>
      <c r="P172" s="2"/>
      <c r="Q172" s="2"/>
      <c r="R172" s="2"/>
      <c r="S172" s="2"/>
      <c r="T172" s="2"/>
      <c r="U172" s="2"/>
      <c r="V172" s="2"/>
      <c r="W172" s="2"/>
      <c r="X172" s="2"/>
      <c r="Y172" s="2"/>
      <c r="Z172" s="2"/>
    </row>
    <row r="173">
      <c r="A173" s="2" t="s">
        <v>13</v>
      </c>
      <c r="B173" s="1" t="s">
        <v>844</v>
      </c>
      <c r="C173" s="1" t="s">
        <v>795</v>
      </c>
      <c r="D173" s="1" t="s">
        <v>845</v>
      </c>
      <c r="E173" s="1" t="s">
        <v>846</v>
      </c>
      <c r="F173" s="1" t="s">
        <v>847</v>
      </c>
      <c r="G173" s="1" t="s">
        <v>43</v>
      </c>
      <c r="H173" s="1" t="s">
        <v>22</v>
      </c>
      <c r="I173" s="1" t="s">
        <v>799</v>
      </c>
      <c r="J173" s="2"/>
      <c r="K173" s="2"/>
      <c r="L173" s="2"/>
      <c r="M173" s="2"/>
      <c r="N173" s="2"/>
      <c r="O173" s="2"/>
      <c r="P173" s="2"/>
      <c r="Q173" s="2"/>
      <c r="R173" s="2"/>
      <c r="S173" s="2"/>
      <c r="T173" s="2"/>
      <c r="U173" s="2"/>
      <c r="V173" s="2"/>
      <c r="W173" s="2"/>
      <c r="X173" s="2"/>
      <c r="Y173" s="2"/>
      <c r="Z173" s="2"/>
    </row>
    <row r="174">
      <c r="A174" s="2" t="s">
        <v>13</v>
      </c>
      <c r="B174" s="1" t="s">
        <v>848</v>
      </c>
      <c r="C174" s="1" t="s">
        <v>795</v>
      </c>
      <c r="D174" s="1" t="s">
        <v>849</v>
      </c>
      <c r="E174" s="1" t="s">
        <v>850</v>
      </c>
      <c r="F174" s="1" t="s">
        <v>851</v>
      </c>
      <c r="G174" s="1" t="s">
        <v>43</v>
      </c>
      <c r="H174" s="1" t="s">
        <v>22</v>
      </c>
      <c r="I174" s="1" t="s">
        <v>799</v>
      </c>
      <c r="J174" s="2"/>
      <c r="K174" s="2"/>
      <c r="L174" s="2"/>
      <c r="M174" s="2"/>
      <c r="N174" s="2"/>
      <c r="O174" s="2"/>
      <c r="P174" s="2"/>
      <c r="Q174" s="2"/>
      <c r="R174" s="2"/>
      <c r="S174" s="2"/>
      <c r="T174" s="2"/>
      <c r="U174" s="2"/>
      <c r="V174" s="2"/>
      <c r="W174" s="2"/>
      <c r="X174" s="2"/>
      <c r="Y174" s="2"/>
      <c r="Z174" s="2"/>
    </row>
    <row r="175">
      <c r="A175" s="2" t="s">
        <v>13</v>
      </c>
      <c r="B175" s="1" t="s">
        <v>852</v>
      </c>
      <c r="C175" s="1" t="s">
        <v>795</v>
      </c>
      <c r="D175" s="1" t="s">
        <v>853</v>
      </c>
      <c r="E175" s="1" t="s">
        <v>854</v>
      </c>
      <c r="F175" s="1" t="s">
        <v>855</v>
      </c>
      <c r="G175" s="1" t="s">
        <v>43</v>
      </c>
      <c r="H175" s="1" t="s">
        <v>22</v>
      </c>
      <c r="I175" s="1" t="s">
        <v>799</v>
      </c>
      <c r="J175" s="2"/>
      <c r="K175" s="2"/>
      <c r="L175" s="2"/>
      <c r="M175" s="2"/>
      <c r="N175" s="2"/>
      <c r="O175" s="2"/>
      <c r="P175" s="2"/>
      <c r="Q175" s="2"/>
      <c r="R175" s="2"/>
      <c r="S175" s="2"/>
      <c r="T175" s="2"/>
      <c r="U175" s="2"/>
      <c r="V175" s="2"/>
      <c r="W175" s="2"/>
      <c r="X175" s="2"/>
      <c r="Y175" s="2"/>
      <c r="Z175" s="2"/>
    </row>
    <row r="176">
      <c r="A176" s="2" t="s">
        <v>13</v>
      </c>
      <c r="B176" s="1" t="s">
        <v>856</v>
      </c>
      <c r="C176" s="1" t="s">
        <v>795</v>
      </c>
      <c r="D176" s="1" t="s">
        <v>857</v>
      </c>
      <c r="E176" s="1" t="s">
        <v>858</v>
      </c>
      <c r="F176" s="1" t="s">
        <v>859</v>
      </c>
      <c r="G176" s="1" t="s">
        <v>43</v>
      </c>
      <c r="H176" s="1" t="s">
        <v>22</v>
      </c>
      <c r="I176" s="1" t="s">
        <v>799</v>
      </c>
      <c r="J176" s="2"/>
      <c r="K176" s="2"/>
      <c r="L176" s="2"/>
      <c r="M176" s="2"/>
      <c r="N176" s="2"/>
      <c r="O176" s="2"/>
      <c r="P176" s="2"/>
      <c r="Q176" s="2"/>
      <c r="R176" s="2"/>
      <c r="S176" s="2"/>
      <c r="T176" s="2"/>
      <c r="U176" s="2"/>
      <c r="V176" s="2"/>
      <c r="W176" s="2"/>
      <c r="X176" s="2"/>
      <c r="Y176" s="2"/>
      <c r="Z176" s="2"/>
    </row>
    <row r="177">
      <c r="A177" s="2" t="s">
        <v>13</v>
      </c>
      <c r="B177" s="1" t="s">
        <v>860</v>
      </c>
      <c r="C177" s="1" t="s">
        <v>795</v>
      </c>
      <c r="D177" s="1" t="s">
        <v>861</v>
      </c>
      <c r="E177" s="1" t="s">
        <v>862</v>
      </c>
      <c r="F177" s="1" t="s">
        <v>863</v>
      </c>
      <c r="G177" s="1" t="s">
        <v>43</v>
      </c>
      <c r="H177" s="1" t="s">
        <v>22</v>
      </c>
      <c r="I177" s="1" t="s">
        <v>799</v>
      </c>
      <c r="J177" s="2"/>
      <c r="K177" s="2"/>
      <c r="L177" s="2"/>
      <c r="M177" s="2"/>
      <c r="N177" s="2"/>
      <c r="O177" s="2"/>
      <c r="P177" s="2"/>
      <c r="Q177" s="2"/>
      <c r="R177" s="2"/>
      <c r="S177" s="2"/>
      <c r="T177" s="2"/>
      <c r="U177" s="2"/>
      <c r="V177" s="2"/>
      <c r="W177" s="2"/>
      <c r="X177" s="2"/>
      <c r="Y177" s="2"/>
      <c r="Z177" s="2"/>
    </row>
    <row r="178">
      <c r="A178" s="2" t="s">
        <v>13</v>
      </c>
      <c r="B178" s="1" t="s">
        <v>864</v>
      </c>
      <c r="C178" s="1" t="s">
        <v>795</v>
      </c>
      <c r="D178" s="1" t="s">
        <v>865</v>
      </c>
      <c r="E178" s="1" t="s">
        <v>866</v>
      </c>
      <c r="F178" s="1" t="s">
        <v>867</v>
      </c>
      <c r="G178" s="1" t="s">
        <v>43</v>
      </c>
      <c r="H178" s="1" t="s">
        <v>22</v>
      </c>
      <c r="I178" s="1" t="s">
        <v>799</v>
      </c>
      <c r="J178" s="2"/>
      <c r="K178" s="2"/>
      <c r="L178" s="2"/>
      <c r="M178" s="2"/>
      <c r="N178" s="2"/>
      <c r="O178" s="2"/>
      <c r="P178" s="2"/>
      <c r="Q178" s="2"/>
      <c r="R178" s="2"/>
      <c r="S178" s="2"/>
      <c r="T178" s="2"/>
      <c r="U178" s="2"/>
      <c r="V178" s="2"/>
      <c r="W178" s="2"/>
      <c r="X178" s="2"/>
      <c r="Y178" s="2"/>
      <c r="Z178" s="2"/>
    </row>
    <row r="179">
      <c r="A179" s="2" t="s">
        <v>13</v>
      </c>
      <c r="B179" s="1" t="s">
        <v>868</v>
      </c>
      <c r="C179" s="1" t="s">
        <v>795</v>
      </c>
      <c r="D179" s="1" t="s">
        <v>869</v>
      </c>
      <c r="E179" s="1" t="s">
        <v>870</v>
      </c>
      <c r="F179" s="1" t="s">
        <v>871</v>
      </c>
      <c r="G179" s="1" t="s">
        <v>43</v>
      </c>
      <c r="H179" s="1" t="s">
        <v>22</v>
      </c>
      <c r="I179" s="1" t="s">
        <v>799</v>
      </c>
      <c r="J179" s="2"/>
      <c r="K179" s="2"/>
      <c r="L179" s="2"/>
      <c r="M179" s="2"/>
      <c r="N179" s="2"/>
      <c r="O179" s="2"/>
      <c r="P179" s="2"/>
      <c r="Q179" s="2"/>
      <c r="R179" s="2"/>
      <c r="S179" s="2"/>
      <c r="T179" s="2"/>
      <c r="U179" s="2"/>
      <c r="V179" s="2"/>
      <c r="W179" s="2"/>
      <c r="X179" s="2"/>
      <c r="Y179" s="2"/>
      <c r="Z179" s="2"/>
    </row>
    <row r="180">
      <c r="A180" s="2" t="s">
        <v>13</v>
      </c>
      <c r="B180" s="1" t="s">
        <v>872</v>
      </c>
      <c r="C180" s="1" t="s">
        <v>795</v>
      </c>
      <c r="D180" s="1" t="s">
        <v>873</v>
      </c>
      <c r="E180" s="1" t="s">
        <v>874</v>
      </c>
      <c r="F180" s="1" t="s">
        <v>875</v>
      </c>
      <c r="G180" s="1" t="s">
        <v>43</v>
      </c>
      <c r="H180" s="1" t="s">
        <v>22</v>
      </c>
      <c r="I180" s="1" t="s">
        <v>799</v>
      </c>
      <c r="J180" s="2"/>
      <c r="K180" s="2"/>
      <c r="L180" s="2"/>
      <c r="M180" s="2"/>
      <c r="N180" s="2"/>
      <c r="O180" s="2"/>
      <c r="P180" s="2"/>
      <c r="Q180" s="2"/>
      <c r="R180" s="2"/>
      <c r="S180" s="2"/>
      <c r="T180" s="2"/>
      <c r="U180" s="2"/>
      <c r="V180" s="2"/>
      <c r="W180" s="2"/>
      <c r="X180" s="2"/>
      <c r="Y180" s="2"/>
      <c r="Z180" s="2"/>
    </row>
    <row r="181">
      <c r="A181" s="2" t="s">
        <v>13</v>
      </c>
      <c r="B181" s="1" t="s">
        <v>876</v>
      </c>
      <c r="C181" s="1" t="s">
        <v>795</v>
      </c>
      <c r="D181" s="1" t="s">
        <v>877</v>
      </c>
      <c r="E181" s="1" t="s">
        <v>878</v>
      </c>
      <c r="F181" s="1" t="s">
        <v>879</v>
      </c>
      <c r="G181" s="1" t="s">
        <v>43</v>
      </c>
      <c r="H181" s="1" t="s">
        <v>22</v>
      </c>
      <c r="I181" s="1" t="s">
        <v>799</v>
      </c>
      <c r="J181" s="2"/>
      <c r="K181" s="2"/>
      <c r="L181" s="2"/>
      <c r="M181" s="2"/>
      <c r="N181" s="2"/>
      <c r="O181" s="2"/>
      <c r="P181" s="2"/>
      <c r="Q181" s="2"/>
      <c r="R181" s="2"/>
      <c r="S181" s="2"/>
      <c r="T181" s="2"/>
      <c r="U181" s="2"/>
      <c r="V181" s="2"/>
      <c r="W181" s="2"/>
      <c r="X181" s="2"/>
      <c r="Y181" s="2"/>
      <c r="Z181" s="2"/>
    </row>
    <row r="182">
      <c r="A182" s="2" t="s">
        <v>13</v>
      </c>
      <c r="B182" s="1" t="s">
        <v>880</v>
      </c>
      <c r="C182" s="1" t="s">
        <v>795</v>
      </c>
      <c r="D182" s="1" t="s">
        <v>881</v>
      </c>
      <c r="E182" s="1" t="s">
        <v>882</v>
      </c>
      <c r="F182" s="1" t="s">
        <v>883</v>
      </c>
      <c r="G182" s="1" t="s">
        <v>43</v>
      </c>
      <c r="H182" s="1" t="s">
        <v>22</v>
      </c>
      <c r="I182" s="1" t="s">
        <v>799</v>
      </c>
      <c r="J182" s="2"/>
      <c r="K182" s="2"/>
      <c r="L182" s="2"/>
      <c r="M182" s="2"/>
      <c r="N182" s="2"/>
      <c r="O182" s="2"/>
      <c r="P182" s="2"/>
      <c r="Q182" s="2"/>
      <c r="R182" s="2"/>
      <c r="S182" s="2"/>
      <c r="T182" s="2"/>
      <c r="U182" s="2"/>
      <c r="V182" s="2"/>
      <c r="W182" s="2"/>
      <c r="X182" s="2"/>
      <c r="Y182" s="2"/>
      <c r="Z182" s="2"/>
    </row>
    <row r="183">
      <c r="A183" s="2" t="s">
        <v>13</v>
      </c>
      <c r="B183" s="1" t="s">
        <v>884</v>
      </c>
      <c r="C183" s="1" t="s">
        <v>795</v>
      </c>
      <c r="D183" s="1" t="s">
        <v>885</v>
      </c>
      <c r="E183" s="1" t="s">
        <v>886</v>
      </c>
      <c r="F183" s="1" t="s">
        <v>887</v>
      </c>
      <c r="G183" s="1" t="s">
        <v>43</v>
      </c>
      <c r="H183" s="1" t="s">
        <v>22</v>
      </c>
      <c r="I183" s="1" t="s">
        <v>799</v>
      </c>
      <c r="J183" s="2"/>
      <c r="K183" s="2"/>
      <c r="L183" s="2"/>
      <c r="M183" s="2"/>
      <c r="N183" s="2"/>
      <c r="O183" s="2"/>
      <c r="P183" s="2"/>
      <c r="Q183" s="2"/>
      <c r="R183" s="2"/>
      <c r="S183" s="2"/>
      <c r="T183" s="2"/>
      <c r="U183" s="2"/>
      <c r="V183" s="2"/>
      <c r="W183" s="2"/>
      <c r="X183" s="2"/>
      <c r="Y183" s="2"/>
      <c r="Z183" s="2"/>
    </row>
    <row r="184">
      <c r="A184" s="2" t="s">
        <v>13</v>
      </c>
      <c r="B184" s="1" t="s">
        <v>888</v>
      </c>
      <c r="C184" s="1" t="s">
        <v>795</v>
      </c>
      <c r="D184" s="1" t="s">
        <v>889</v>
      </c>
      <c r="E184" s="1" t="s">
        <v>890</v>
      </c>
      <c r="F184" s="1" t="s">
        <v>891</v>
      </c>
      <c r="G184" s="1" t="s">
        <v>43</v>
      </c>
      <c r="H184" s="1" t="s">
        <v>22</v>
      </c>
      <c r="I184" s="1" t="s">
        <v>799</v>
      </c>
      <c r="J184" s="2"/>
      <c r="K184" s="2"/>
      <c r="L184" s="2"/>
      <c r="M184" s="2"/>
      <c r="N184" s="2"/>
      <c r="O184" s="2"/>
      <c r="P184" s="2"/>
      <c r="Q184" s="2"/>
      <c r="R184" s="2"/>
      <c r="S184" s="2"/>
      <c r="T184" s="2"/>
      <c r="U184" s="2"/>
      <c r="V184" s="2"/>
      <c r="W184" s="2"/>
      <c r="X184" s="2"/>
      <c r="Y184" s="2"/>
      <c r="Z184" s="2"/>
    </row>
    <row r="185">
      <c r="A185" s="2" t="s">
        <v>13</v>
      </c>
      <c r="B185" s="1" t="s">
        <v>892</v>
      </c>
      <c r="C185" s="1" t="s">
        <v>795</v>
      </c>
      <c r="D185" s="1" t="s">
        <v>893</v>
      </c>
      <c r="E185" s="1" t="s">
        <v>894</v>
      </c>
      <c r="F185" s="1" t="s">
        <v>895</v>
      </c>
      <c r="G185" s="1" t="s">
        <v>43</v>
      </c>
      <c r="H185" s="1" t="s">
        <v>22</v>
      </c>
      <c r="I185" s="1" t="s">
        <v>799</v>
      </c>
      <c r="J185" s="2"/>
      <c r="K185" s="2"/>
      <c r="L185" s="2"/>
      <c r="M185" s="2"/>
      <c r="N185" s="2"/>
      <c r="O185" s="2"/>
      <c r="P185" s="2"/>
      <c r="Q185" s="2"/>
      <c r="R185" s="2"/>
      <c r="S185" s="2"/>
      <c r="T185" s="2"/>
      <c r="U185" s="2"/>
      <c r="V185" s="2"/>
      <c r="W185" s="2"/>
      <c r="X185" s="2"/>
      <c r="Y185" s="2"/>
      <c r="Z185" s="2"/>
    </row>
    <row r="186">
      <c r="A186" s="2" t="s">
        <v>13</v>
      </c>
      <c r="B186" s="1" t="s">
        <v>896</v>
      </c>
      <c r="C186" s="1" t="s">
        <v>795</v>
      </c>
      <c r="D186" s="1" t="s">
        <v>897</v>
      </c>
      <c r="E186" s="1" t="s">
        <v>898</v>
      </c>
      <c r="F186" s="1" t="s">
        <v>899</v>
      </c>
      <c r="G186" s="1" t="s">
        <v>43</v>
      </c>
      <c r="H186" s="1" t="s">
        <v>22</v>
      </c>
      <c r="I186" s="1" t="s">
        <v>799</v>
      </c>
      <c r="J186" s="2"/>
      <c r="K186" s="2"/>
      <c r="L186" s="2"/>
      <c r="M186" s="2"/>
      <c r="N186" s="2"/>
      <c r="O186" s="2"/>
      <c r="P186" s="2"/>
      <c r="Q186" s="2"/>
      <c r="R186" s="2"/>
      <c r="S186" s="2"/>
      <c r="T186" s="2"/>
      <c r="U186" s="2"/>
      <c r="V186" s="2"/>
      <c r="W186" s="2"/>
      <c r="X186" s="2"/>
      <c r="Y186" s="2"/>
      <c r="Z186" s="2"/>
    </row>
    <row r="187">
      <c r="A187" s="2" t="s">
        <v>13</v>
      </c>
      <c r="B187" s="1" t="s">
        <v>900</v>
      </c>
      <c r="C187" s="1" t="s">
        <v>795</v>
      </c>
      <c r="D187" s="1" t="s">
        <v>901</v>
      </c>
      <c r="E187" s="1" t="s">
        <v>902</v>
      </c>
      <c r="F187" s="1" t="s">
        <v>903</v>
      </c>
      <c r="G187" s="1" t="s">
        <v>43</v>
      </c>
      <c r="H187" s="1" t="s">
        <v>22</v>
      </c>
      <c r="I187" s="1" t="s">
        <v>799</v>
      </c>
      <c r="J187" s="2"/>
      <c r="K187" s="2"/>
      <c r="L187" s="2"/>
      <c r="M187" s="2"/>
      <c r="N187" s="2"/>
      <c r="O187" s="2"/>
      <c r="P187" s="2"/>
      <c r="Q187" s="2"/>
      <c r="R187" s="2"/>
      <c r="S187" s="2"/>
      <c r="T187" s="2"/>
      <c r="U187" s="2"/>
      <c r="V187" s="2"/>
      <c r="W187" s="2"/>
      <c r="X187" s="2"/>
      <c r="Y187" s="2"/>
      <c r="Z187" s="2"/>
    </row>
    <row r="188">
      <c r="A188" s="2" t="s">
        <v>13</v>
      </c>
      <c r="B188" s="1" t="s">
        <v>904</v>
      </c>
      <c r="C188" s="1" t="s">
        <v>795</v>
      </c>
      <c r="D188" s="1" t="s">
        <v>905</v>
      </c>
      <c r="E188" s="1" t="s">
        <v>906</v>
      </c>
      <c r="F188" s="1" t="s">
        <v>907</v>
      </c>
      <c r="G188" s="1" t="s">
        <v>43</v>
      </c>
      <c r="H188" s="1" t="s">
        <v>22</v>
      </c>
      <c r="I188" s="1" t="s">
        <v>799</v>
      </c>
      <c r="J188" s="2"/>
      <c r="K188" s="2"/>
      <c r="L188" s="2"/>
      <c r="M188" s="2"/>
      <c r="N188" s="2"/>
      <c r="O188" s="2"/>
      <c r="P188" s="2"/>
      <c r="Q188" s="2"/>
      <c r="R188" s="2"/>
      <c r="S188" s="2"/>
      <c r="T188" s="2"/>
      <c r="U188" s="2"/>
      <c r="V188" s="2"/>
      <c r="W188" s="2"/>
      <c r="X188" s="2"/>
      <c r="Y188" s="2"/>
      <c r="Z188" s="2"/>
    </row>
    <row r="189">
      <c r="A189" s="2" t="s">
        <v>13</v>
      </c>
      <c r="B189" s="1" t="s">
        <v>908</v>
      </c>
      <c r="C189" s="1" t="s">
        <v>795</v>
      </c>
      <c r="D189" s="1" t="s">
        <v>909</v>
      </c>
      <c r="E189" s="1" t="s">
        <v>910</v>
      </c>
      <c r="F189" s="1" t="s">
        <v>911</v>
      </c>
      <c r="G189" s="1" t="s">
        <v>43</v>
      </c>
      <c r="H189" s="1" t="s">
        <v>22</v>
      </c>
      <c r="I189" s="1" t="s">
        <v>799</v>
      </c>
      <c r="J189" s="2"/>
      <c r="K189" s="2"/>
      <c r="L189" s="2"/>
      <c r="M189" s="2"/>
      <c r="N189" s="2"/>
      <c r="O189" s="2"/>
      <c r="P189" s="2"/>
      <c r="Q189" s="2"/>
      <c r="R189" s="2"/>
      <c r="S189" s="2"/>
      <c r="T189" s="2"/>
      <c r="U189" s="2"/>
      <c r="V189" s="2"/>
      <c r="W189" s="2"/>
      <c r="X189" s="2"/>
      <c r="Y189" s="2"/>
      <c r="Z189" s="2"/>
    </row>
    <row r="190">
      <c r="A190" s="2" t="s">
        <v>13</v>
      </c>
      <c r="B190" s="1" t="s">
        <v>912</v>
      </c>
      <c r="C190" s="1" t="s">
        <v>795</v>
      </c>
      <c r="D190" s="1" t="s">
        <v>913</v>
      </c>
      <c r="E190" s="1" t="s">
        <v>914</v>
      </c>
      <c r="F190" s="1" t="s">
        <v>915</v>
      </c>
      <c r="G190" s="1" t="s">
        <v>43</v>
      </c>
      <c r="H190" s="1" t="s">
        <v>569</v>
      </c>
      <c r="I190" s="1" t="s">
        <v>799</v>
      </c>
      <c r="J190" s="2"/>
      <c r="K190" s="2"/>
      <c r="L190" s="2"/>
      <c r="M190" s="2"/>
      <c r="N190" s="2"/>
      <c r="O190" s="2"/>
      <c r="P190" s="2"/>
      <c r="Q190" s="2"/>
      <c r="R190" s="2"/>
      <c r="S190" s="2"/>
      <c r="T190" s="2"/>
      <c r="U190" s="2"/>
      <c r="V190" s="2"/>
      <c r="W190" s="2"/>
      <c r="X190" s="2"/>
      <c r="Y190" s="2"/>
      <c r="Z190" s="2"/>
    </row>
    <row r="191">
      <c r="A191" s="2" t="s">
        <v>13</v>
      </c>
      <c r="B191" s="1" t="s">
        <v>916</v>
      </c>
      <c r="C191" s="1" t="s">
        <v>795</v>
      </c>
      <c r="D191" s="1" t="s">
        <v>917</v>
      </c>
      <c r="E191" s="1" t="s">
        <v>918</v>
      </c>
      <c r="F191" s="1" t="s">
        <v>919</v>
      </c>
      <c r="G191" s="1" t="s">
        <v>43</v>
      </c>
      <c r="H191" s="1" t="s">
        <v>569</v>
      </c>
      <c r="I191" s="1" t="s">
        <v>799</v>
      </c>
      <c r="J191" s="2"/>
      <c r="K191" s="2"/>
      <c r="L191" s="2"/>
      <c r="M191" s="2"/>
      <c r="N191" s="2"/>
      <c r="O191" s="2"/>
      <c r="P191" s="2"/>
      <c r="Q191" s="2"/>
      <c r="R191" s="2"/>
      <c r="S191" s="2"/>
      <c r="T191" s="2"/>
      <c r="U191" s="2"/>
      <c r="V191" s="2"/>
      <c r="W191" s="2"/>
      <c r="X191" s="2"/>
      <c r="Y191" s="2"/>
      <c r="Z191" s="2"/>
    </row>
    <row r="192">
      <c r="A192" s="2" t="s">
        <v>13</v>
      </c>
      <c r="B192" s="1" t="s">
        <v>920</v>
      </c>
      <c r="C192" s="1" t="s">
        <v>795</v>
      </c>
      <c r="D192" s="1" t="s">
        <v>921</v>
      </c>
      <c r="E192" s="1" t="s">
        <v>922</v>
      </c>
      <c r="F192" s="1" t="s">
        <v>923</v>
      </c>
      <c r="G192" s="1" t="s">
        <v>43</v>
      </c>
      <c r="H192" s="1" t="s">
        <v>569</v>
      </c>
      <c r="I192" s="1" t="s">
        <v>799</v>
      </c>
      <c r="J192" s="2"/>
      <c r="K192" s="2"/>
      <c r="L192" s="2"/>
      <c r="M192" s="2"/>
      <c r="N192" s="2"/>
      <c r="O192" s="2"/>
      <c r="P192" s="2"/>
      <c r="Q192" s="2"/>
      <c r="R192" s="2"/>
      <c r="S192" s="2"/>
      <c r="T192" s="2"/>
      <c r="U192" s="2"/>
      <c r="V192" s="2"/>
      <c r="W192" s="2"/>
      <c r="X192" s="2"/>
      <c r="Y192" s="2"/>
      <c r="Z192" s="2"/>
    </row>
    <row r="193">
      <c r="A193" s="2" t="s">
        <v>13</v>
      </c>
      <c r="B193" s="1" t="s">
        <v>924</v>
      </c>
      <c r="C193" s="1" t="s">
        <v>795</v>
      </c>
      <c r="D193" s="1" t="s">
        <v>925</v>
      </c>
      <c r="E193" s="1" t="s">
        <v>926</v>
      </c>
      <c r="F193" s="1" t="s">
        <v>927</v>
      </c>
      <c r="G193" s="1" t="s">
        <v>43</v>
      </c>
      <c r="H193" s="1" t="s">
        <v>569</v>
      </c>
      <c r="I193" s="1" t="s">
        <v>799</v>
      </c>
      <c r="J193" s="2"/>
      <c r="K193" s="2"/>
      <c r="L193" s="2"/>
      <c r="M193" s="2"/>
      <c r="N193" s="2"/>
      <c r="O193" s="2"/>
      <c r="P193" s="2"/>
      <c r="Q193" s="2"/>
      <c r="R193" s="2"/>
      <c r="S193" s="2"/>
      <c r="T193" s="2"/>
      <c r="U193" s="2"/>
      <c r="V193" s="2"/>
      <c r="W193" s="2"/>
      <c r="X193" s="2"/>
      <c r="Y193" s="2"/>
      <c r="Z193" s="2"/>
    </row>
    <row r="194">
      <c r="A194" s="2" t="s">
        <v>13</v>
      </c>
      <c r="B194" s="1" t="s">
        <v>928</v>
      </c>
      <c r="C194" s="1" t="s">
        <v>795</v>
      </c>
      <c r="D194" s="1" t="s">
        <v>929</v>
      </c>
      <c r="E194" s="1" t="s">
        <v>930</v>
      </c>
      <c r="F194" s="1" t="s">
        <v>931</v>
      </c>
      <c r="G194" s="1" t="s">
        <v>21</v>
      </c>
      <c r="H194" s="1" t="s">
        <v>569</v>
      </c>
      <c r="I194" s="1" t="s">
        <v>799</v>
      </c>
      <c r="J194" s="2"/>
      <c r="K194" s="2"/>
      <c r="L194" s="2"/>
      <c r="M194" s="2"/>
      <c r="N194" s="2"/>
      <c r="O194" s="2"/>
      <c r="P194" s="2"/>
      <c r="Q194" s="2"/>
      <c r="R194" s="2"/>
      <c r="S194" s="2"/>
      <c r="T194" s="2"/>
      <c r="U194" s="2"/>
      <c r="V194" s="2"/>
      <c r="W194" s="2"/>
      <c r="X194" s="2"/>
      <c r="Y194" s="2"/>
      <c r="Z194" s="2"/>
    </row>
    <row r="195">
      <c r="A195" s="2" t="s">
        <v>13</v>
      </c>
      <c r="B195" s="1" t="s">
        <v>932</v>
      </c>
      <c r="C195" s="1" t="s">
        <v>795</v>
      </c>
      <c r="D195" s="1" t="s">
        <v>933</v>
      </c>
      <c r="E195" s="1" t="s">
        <v>934</v>
      </c>
      <c r="F195" s="1" t="s">
        <v>935</v>
      </c>
      <c r="G195" s="1" t="s">
        <v>43</v>
      </c>
      <c r="H195" s="1" t="s">
        <v>569</v>
      </c>
      <c r="I195" s="1" t="s">
        <v>799</v>
      </c>
      <c r="J195" s="2"/>
      <c r="K195" s="2"/>
      <c r="L195" s="2"/>
      <c r="M195" s="2"/>
      <c r="N195" s="2"/>
      <c r="O195" s="2"/>
      <c r="P195" s="2"/>
      <c r="Q195" s="2"/>
      <c r="R195" s="2"/>
      <c r="S195" s="2"/>
      <c r="T195" s="2"/>
      <c r="U195" s="2"/>
      <c r="V195" s="2"/>
      <c r="W195" s="2"/>
      <c r="X195" s="2"/>
      <c r="Y195" s="2"/>
      <c r="Z195" s="2"/>
    </row>
    <row r="196">
      <c r="A196" s="2" t="s">
        <v>13</v>
      </c>
      <c r="B196" s="1" t="s">
        <v>936</v>
      </c>
      <c r="C196" s="1" t="s">
        <v>795</v>
      </c>
      <c r="D196" s="1" t="s">
        <v>937</v>
      </c>
      <c r="E196" s="1" t="s">
        <v>938</v>
      </c>
      <c r="F196" s="1" t="s">
        <v>939</v>
      </c>
      <c r="G196" s="1" t="s">
        <v>43</v>
      </c>
      <c r="H196" s="1" t="s">
        <v>569</v>
      </c>
      <c r="I196" s="1" t="s">
        <v>799</v>
      </c>
      <c r="J196" s="2"/>
      <c r="K196" s="2"/>
      <c r="L196" s="2"/>
      <c r="M196" s="2"/>
      <c r="N196" s="2"/>
      <c r="O196" s="2"/>
      <c r="P196" s="2"/>
      <c r="Q196" s="2"/>
      <c r="R196" s="2"/>
      <c r="S196" s="2"/>
      <c r="T196" s="2"/>
      <c r="U196" s="2"/>
      <c r="V196" s="2"/>
      <c r="W196" s="2"/>
      <c r="X196" s="2"/>
      <c r="Y196" s="2"/>
      <c r="Z196" s="2"/>
    </row>
    <row r="197">
      <c r="A197" s="2" t="s">
        <v>13</v>
      </c>
      <c r="B197" s="1" t="s">
        <v>940</v>
      </c>
      <c r="C197" s="1" t="s">
        <v>941</v>
      </c>
      <c r="D197" s="1" t="s">
        <v>942</v>
      </c>
      <c r="E197" s="1" t="s">
        <v>943</v>
      </c>
      <c r="F197" s="1" t="s">
        <v>944</v>
      </c>
      <c r="G197" s="1" t="s">
        <v>43</v>
      </c>
      <c r="H197" s="1" t="s">
        <v>945</v>
      </c>
      <c r="I197" s="1" t="s">
        <v>946</v>
      </c>
      <c r="J197" s="2"/>
      <c r="K197" s="2"/>
      <c r="L197" s="2"/>
      <c r="M197" s="2"/>
      <c r="N197" s="2"/>
      <c r="O197" s="2"/>
      <c r="P197" s="2"/>
      <c r="Q197" s="2"/>
      <c r="R197" s="2"/>
      <c r="S197" s="2"/>
      <c r="T197" s="2"/>
      <c r="U197" s="2"/>
      <c r="V197" s="2"/>
      <c r="W197" s="2"/>
      <c r="X197" s="2"/>
      <c r="Y197" s="2"/>
      <c r="Z197" s="2"/>
    </row>
    <row r="198">
      <c r="A198" s="2" t="s">
        <v>13</v>
      </c>
      <c r="B198" s="1" t="s">
        <v>947</v>
      </c>
      <c r="C198" s="1" t="s">
        <v>941</v>
      </c>
      <c r="D198" s="1" t="s">
        <v>948</v>
      </c>
      <c r="E198" s="1" t="s">
        <v>949</v>
      </c>
      <c r="F198" s="1" t="s">
        <v>950</v>
      </c>
      <c r="G198" s="1" t="s">
        <v>43</v>
      </c>
      <c r="H198" s="1" t="s">
        <v>945</v>
      </c>
      <c r="I198" s="1" t="s">
        <v>946</v>
      </c>
      <c r="J198" s="2"/>
      <c r="K198" s="2"/>
      <c r="L198" s="2"/>
      <c r="M198" s="2"/>
      <c r="N198" s="2"/>
      <c r="O198" s="2"/>
      <c r="P198" s="2"/>
      <c r="Q198" s="2"/>
      <c r="R198" s="2"/>
      <c r="S198" s="2"/>
      <c r="T198" s="2"/>
      <c r="U198" s="2"/>
      <c r="V198" s="2"/>
      <c r="W198" s="2"/>
      <c r="X198" s="2"/>
      <c r="Y198" s="2"/>
      <c r="Z198" s="2"/>
    </row>
    <row r="199">
      <c r="A199" s="2" t="s">
        <v>13</v>
      </c>
      <c r="B199" s="1" t="s">
        <v>951</v>
      </c>
      <c r="C199" s="1" t="s">
        <v>941</v>
      </c>
      <c r="D199" s="1" t="s">
        <v>952</v>
      </c>
      <c r="E199" s="1" t="s">
        <v>953</v>
      </c>
      <c r="F199" s="1" t="s">
        <v>954</v>
      </c>
      <c r="G199" s="1" t="s">
        <v>73</v>
      </c>
      <c r="H199" s="1" t="s">
        <v>945</v>
      </c>
      <c r="I199" s="1" t="s">
        <v>946</v>
      </c>
      <c r="J199" s="2"/>
      <c r="K199" s="2"/>
      <c r="L199" s="2"/>
      <c r="M199" s="2"/>
      <c r="N199" s="2"/>
      <c r="O199" s="2"/>
      <c r="P199" s="2"/>
      <c r="Q199" s="2"/>
      <c r="R199" s="2"/>
      <c r="S199" s="2"/>
      <c r="T199" s="2"/>
      <c r="U199" s="2"/>
      <c r="V199" s="2"/>
      <c r="W199" s="2"/>
      <c r="X199" s="2"/>
      <c r="Y199" s="2"/>
      <c r="Z199" s="2"/>
    </row>
    <row r="200">
      <c r="A200" s="2" t="s">
        <v>13</v>
      </c>
      <c r="B200" s="1" t="s">
        <v>955</v>
      </c>
      <c r="C200" s="1" t="s">
        <v>941</v>
      </c>
      <c r="D200" s="1" t="s">
        <v>956</v>
      </c>
      <c r="E200" s="1" t="s">
        <v>957</v>
      </c>
      <c r="F200" s="1" t="s">
        <v>958</v>
      </c>
      <c r="G200" s="1" t="s">
        <v>43</v>
      </c>
      <c r="H200" s="1" t="s">
        <v>945</v>
      </c>
      <c r="I200" s="1" t="s">
        <v>946</v>
      </c>
      <c r="J200" s="2"/>
      <c r="K200" s="2"/>
      <c r="L200" s="2"/>
      <c r="M200" s="2"/>
      <c r="N200" s="2"/>
      <c r="O200" s="2"/>
      <c r="P200" s="2"/>
      <c r="Q200" s="2"/>
      <c r="R200" s="2"/>
      <c r="S200" s="2"/>
      <c r="T200" s="2"/>
      <c r="U200" s="2"/>
      <c r="V200" s="2"/>
      <c r="W200" s="2"/>
      <c r="X200" s="2"/>
      <c r="Y200" s="2"/>
      <c r="Z200" s="2"/>
    </row>
    <row r="201">
      <c r="A201" s="2" t="s">
        <v>13</v>
      </c>
      <c r="B201" s="1" t="s">
        <v>959</v>
      </c>
      <c r="C201" s="1" t="s">
        <v>941</v>
      </c>
      <c r="D201" s="1" t="s">
        <v>960</v>
      </c>
      <c r="E201" s="1" t="s">
        <v>961</v>
      </c>
      <c r="F201" s="1" t="s">
        <v>962</v>
      </c>
      <c r="G201" s="1" t="s">
        <v>43</v>
      </c>
      <c r="H201" s="1" t="s">
        <v>945</v>
      </c>
      <c r="I201" s="1" t="s">
        <v>946</v>
      </c>
      <c r="J201" s="2"/>
      <c r="K201" s="2"/>
      <c r="L201" s="2"/>
      <c r="M201" s="2"/>
      <c r="N201" s="2"/>
      <c r="O201" s="2"/>
      <c r="P201" s="2"/>
      <c r="Q201" s="2"/>
      <c r="R201" s="2"/>
      <c r="S201" s="2"/>
      <c r="T201" s="2"/>
      <c r="U201" s="2"/>
      <c r="V201" s="2"/>
      <c r="W201" s="2"/>
      <c r="X201" s="2"/>
      <c r="Y201" s="2"/>
      <c r="Z201" s="2"/>
    </row>
    <row r="202">
      <c r="A202" s="2" t="s">
        <v>13</v>
      </c>
      <c r="B202" s="1" t="s">
        <v>963</v>
      </c>
      <c r="C202" s="1" t="s">
        <v>941</v>
      </c>
      <c r="D202" s="1" t="s">
        <v>964</v>
      </c>
      <c r="E202" s="1" t="s">
        <v>965</v>
      </c>
      <c r="F202" s="1" t="s">
        <v>966</v>
      </c>
      <c r="G202" s="1" t="s">
        <v>43</v>
      </c>
      <c r="H202" s="1" t="s">
        <v>945</v>
      </c>
      <c r="I202" s="1" t="s">
        <v>946</v>
      </c>
      <c r="J202" s="2"/>
      <c r="K202" s="2"/>
      <c r="L202" s="2"/>
      <c r="M202" s="2"/>
      <c r="N202" s="2"/>
      <c r="O202" s="2"/>
      <c r="P202" s="2"/>
      <c r="Q202" s="2"/>
      <c r="R202" s="2"/>
      <c r="S202" s="2"/>
      <c r="T202" s="2"/>
      <c r="U202" s="2"/>
      <c r="V202" s="2"/>
      <c r="W202" s="2"/>
      <c r="X202" s="2"/>
      <c r="Y202" s="2"/>
      <c r="Z202" s="2"/>
    </row>
    <row r="203">
      <c r="A203" s="2" t="s">
        <v>13</v>
      </c>
      <c r="B203" s="1" t="s">
        <v>967</v>
      </c>
      <c r="C203" s="1" t="s">
        <v>941</v>
      </c>
      <c r="D203" s="1" t="s">
        <v>968</v>
      </c>
      <c r="E203" s="1" t="s">
        <v>969</v>
      </c>
      <c r="F203" s="1" t="s">
        <v>970</v>
      </c>
      <c r="G203" s="1" t="s">
        <v>43</v>
      </c>
      <c r="H203" s="1" t="s">
        <v>945</v>
      </c>
      <c r="I203" s="1" t="s">
        <v>946</v>
      </c>
      <c r="J203" s="2"/>
      <c r="K203" s="2"/>
      <c r="L203" s="2"/>
      <c r="M203" s="2"/>
      <c r="N203" s="2"/>
      <c r="O203" s="2"/>
      <c r="P203" s="2"/>
      <c r="Q203" s="2"/>
      <c r="R203" s="2"/>
      <c r="S203" s="2"/>
      <c r="T203" s="2"/>
      <c r="U203" s="2"/>
      <c r="V203" s="2"/>
      <c r="W203" s="2"/>
      <c r="X203" s="2"/>
      <c r="Y203" s="2"/>
      <c r="Z203" s="2"/>
    </row>
    <row r="204">
      <c r="A204" s="2" t="s">
        <v>13</v>
      </c>
      <c r="B204" s="1" t="s">
        <v>971</v>
      </c>
      <c r="C204" s="1" t="s">
        <v>941</v>
      </c>
      <c r="D204" s="1" t="s">
        <v>972</v>
      </c>
      <c r="E204" s="1" t="s">
        <v>973</v>
      </c>
      <c r="F204" s="1" t="s">
        <v>974</v>
      </c>
      <c r="G204" s="1" t="s">
        <v>43</v>
      </c>
      <c r="H204" s="1" t="s">
        <v>945</v>
      </c>
      <c r="I204" s="1" t="s">
        <v>946</v>
      </c>
      <c r="J204" s="2"/>
      <c r="K204" s="2"/>
      <c r="L204" s="2"/>
      <c r="M204" s="2"/>
      <c r="N204" s="2"/>
      <c r="O204" s="2"/>
      <c r="P204" s="2"/>
      <c r="Q204" s="2"/>
      <c r="R204" s="2"/>
      <c r="S204" s="2"/>
      <c r="T204" s="2"/>
      <c r="U204" s="2"/>
      <c r="V204" s="2"/>
      <c r="W204" s="2"/>
      <c r="X204" s="2"/>
      <c r="Y204" s="2"/>
      <c r="Z204" s="2"/>
    </row>
    <row r="205">
      <c r="A205" s="2" t="s">
        <v>13</v>
      </c>
      <c r="B205" s="1" t="s">
        <v>975</v>
      </c>
      <c r="C205" s="1" t="s">
        <v>941</v>
      </c>
      <c r="D205" s="1" t="s">
        <v>976</v>
      </c>
      <c r="E205" s="1" t="s">
        <v>977</v>
      </c>
      <c r="F205" s="1" t="s">
        <v>978</v>
      </c>
      <c r="G205" s="1" t="s">
        <v>43</v>
      </c>
      <c r="H205" s="1" t="s">
        <v>945</v>
      </c>
      <c r="I205" s="1" t="s">
        <v>946</v>
      </c>
      <c r="J205" s="2"/>
      <c r="K205" s="2"/>
      <c r="L205" s="2"/>
      <c r="M205" s="2"/>
      <c r="N205" s="2"/>
      <c r="O205" s="2"/>
      <c r="P205" s="2"/>
      <c r="Q205" s="2"/>
      <c r="R205" s="2"/>
      <c r="S205" s="2"/>
      <c r="T205" s="2"/>
      <c r="U205" s="2"/>
      <c r="V205" s="2"/>
      <c r="W205" s="2"/>
      <c r="X205" s="2"/>
      <c r="Y205" s="2"/>
      <c r="Z205" s="2"/>
    </row>
    <row r="206">
      <c r="A206" s="2" t="s">
        <v>13</v>
      </c>
      <c r="B206" s="1" t="s">
        <v>979</v>
      </c>
      <c r="C206" s="1" t="s">
        <v>941</v>
      </c>
      <c r="D206" s="1" t="s">
        <v>980</v>
      </c>
      <c r="E206" s="1" t="s">
        <v>981</v>
      </c>
      <c r="F206" s="1" t="s">
        <v>982</v>
      </c>
      <c r="G206" s="1" t="s">
        <v>43</v>
      </c>
      <c r="H206" s="1" t="s">
        <v>945</v>
      </c>
      <c r="I206" s="1" t="s">
        <v>946</v>
      </c>
      <c r="J206" s="2"/>
      <c r="K206" s="2"/>
      <c r="L206" s="2"/>
      <c r="M206" s="2"/>
      <c r="N206" s="2"/>
      <c r="O206" s="2"/>
      <c r="P206" s="2"/>
      <c r="Q206" s="2"/>
      <c r="R206" s="2"/>
      <c r="S206" s="2"/>
      <c r="T206" s="2"/>
      <c r="U206" s="2"/>
      <c r="V206" s="2"/>
      <c r="W206" s="2"/>
      <c r="X206" s="2"/>
      <c r="Y206" s="2"/>
      <c r="Z206" s="2"/>
    </row>
    <row r="207">
      <c r="A207" s="2" t="s">
        <v>13</v>
      </c>
      <c r="B207" s="1" t="s">
        <v>983</v>
      </c>
      <c r="C207" s="1" t="s">
        <v>941</v>
      </c>
      <c r="D207" s="1" t="s">
        <v>984</v>
      </c>
      <c r="E207" s="1" t="s">
        <v>985</v>
      </c>
      <c r="F207" s="1" t="s">
        <v>986</v>
      </c>
      <c r="G207" s="1" t="s">
        <v>43</v>
      </c>
      <c r="H207" s="1" t="s">
        <v>945</v>
      </c>
      <c r="I207" s="1" t="s">
        <v>946</v>
      </c>
      <c r="J207" s="2"/>
      <c r="K207" s="2"/>
      <c r="L207" s="2"/>
      <c r="M207" s="2"/>
      <c r="N207" s="2"/>
      <c r="O207" s="2"/>
      <c r="P207" s="2"/>
      <c r="Q207" s="2"/>
      <c r="R207" s="2"/>
      <c r="S207" s="2"/>
      <c r="T207" s="2"/>
      <c r="U207" s="2"/>
      <c r="V207" s="2"/>
      <c r="W207" s="2"/>
      <c r="X207" s="2"/>
      <c r="Y207" s="2"/>
      <c r="Z207" s="2"/>
    </row>
    <row r="208">
      <c r="A208" s="2" t="s">
        <v>13</v>
      </c>
      <c r="B208" s="1" t="s">
        <v>987</v>
      </c>
      <c r="C208" s="1" t="s">
        <v>941</v>
      </c>
      <c r="D208" s="1" t="s">
        <v>988</v>
      </c>
      <c r="E208" s="1" t="s">
        <v>989</v>
      </c>
      <c r="F208" s="1" t="s">
        <v>990</v>
      </c>
      <c r="G208" s="1" t="s">
        <v>43</v>
      </c>
      <c r="H208" s="1" t="s">
        <v>945</v>
      </c>
      <c r="I208" s="1" t="s">
        <v>946</v>
      </c>
      <c r="J208" s="2"/>
      <c r="K208" s="2"/>
      <c r="L208" s="2"/>
      <c r="M208" s="2"/>
      <c r="N208" s="2"/>
      <c r="O208" s="2"/>
      <c r="P208" s="2"/>
      <c r="Q208" s="2"/>
      <c r="R208" s="2"/>
      <c r="S208" s="2"/>
      <c r="T208" s="2"/>
      <c r="U208" s="2"/>
      <c r="V208" s="2"/>
      <c r="W208" s="2"/>
      <c r="X208" s="2"/>
      <c r="Y208" s="2"/>
      <c r="Z208" s="2"/>
    </row>
    <row r="209">
      <c r="A209" s="2" t="s">
        <v>13</v>
      </c>
      <c r="B209" s="1" t="s">
        <v>991</v>
      </c>
      <c r="C209" s="1" t="s">
        <v>941</v>
      </c>
      <c r="D209" s="1" t="s">
        <v>992</v>
      </c>
      <c r="E209" s="1" t="s">
        <v>993</v>
      </c>
      <c r="F209" s="1" t="s">
        <v>994</v>
      </c>
      <c r="G209" s="1" t="s">
        <v>43</v>
      </c>
      <c r="H209" s="1" t="s">
        <v>945</v>
      </c>
      <c r="I209" s="1" t="s">
        <v>946</v>
      </c>
      <c r="J209" s="2"/>
      <c r="K209" s="2"/>
      <c r="L209" s="2"/>
      <c r="M209" s="2"/>
      <c r="N209" s="2"/>
      <c r="O209" s="2"/>
      <c r="P209" s="2"/>
      <c r="Q209" s="2"/>
      <c r="R209" s="2"/>
      <c r="S209" s="2"/>
      <c r="T209" s="2"/>
      <c r="U209" s="2"/>
      <c r="V209" s="2"/>
      <c r="W209" s="2"/>
      <c r="X209" s="2"/>
      <c r="Y209" s="2"/>
      <c r="Z209" s="2"/>
    </row>
    <row r="210">
      <c r="A210" s="2" t="s">
        <v>13</v>
      </c>
      <c r="B210" s="1" t="s">
        <v>995</v>
      </c>
      <c r="C210" s="1" t="s">
        <v>941</v>
      </c>
      <c r="D210" s="1" t="s">
        <v>996</v>
      </c>
      <c r="E210" s="1" t="s">
        <v>997</v>
      </c>
      <c r="F210" s="1" t="s">
        <v>998</v>
      </c>
      <c r="G210" s="1" t="s">
        <v>43</v>
      </c>
      <c r="H210" s="1" t="s">
        <v>945</v>
      </c>
      <c r="I210" s="1" t="s">
        <v>946</v>
      </c>
      <c r="J210" s="2"/>
      <c r="K210" s="2"/>
      <c r="L210" s="2"/>
      <c r="M210" s="2"/>
      <c r="N210" s="2"/>
      <c r="O210" s="2"/>
      <c r="P210" s="2"/>
      <c r="Q210" s="2"/>
      <c r="R210" s="2"/>
      <c r="S210" s="2"/>
      <c r="T210" s="2"/>
      <c r="U210" s="2"/>
      <c r="V210" s="2"/>
      <c r="W210" s="2"/>
      <c r="X210" s="2"/>
      <c r="Y210" s="2"/>
      <c r="Z210" s="2"/>
    </row>
    <row r="211">
      <c r="A211" s="2" t="s">
        <v>13</v>
      </c>
      <c r="B211" s="1" t="s">
        <v>999</v>
      </c>
      <c r="C211" s="1" t="s">
        <v>941</v>
      </c>
      <c r="D211" s="1" t="s">
        <v>1000</v>
      </c>
      <c r="E211" s="1" t="s">
        <v>1001</v>
      </c>
      <c r="F211" s="1" t="s">
        <v>1002</v>
      </c>
      <c r="G211" s="1" t="s">
        <v>43</v>
      </c>
      <c r="H211" s="1" t="s">
        <v>945</v>
      </c>
      <c r="I211" s="1" t="s">
        <v>946</v>
      </c>
      <c r="J211" s="2"/>
      <c r="K211" s="2"/>
      <c r="L211" s="2"/>
      <c r="M211" s="2"/>
      <c r="N211" s="2"/>
      <c r="O211" s="2"/>
      <c r="P211" s="2"/>
      <c r="Q211" s="2"/>
      <c r="R211" s="2"/>
      <c r="S211" s="2"/>
      <c r="T211" s="2"/>
      <c r="U211" s="2"/>
      <c r="V211" s="2"/>
      <c r="W211" s="2"/>
      <c r="X211" s="2"/>
      <c r="Y211" s="2"/>
      <c r="Z211" s="2"/>
    </row>
    <row r="212">
      <c r="A212" s="2" t="s">
        <v>13</v>
      </c>
      <c r="B212" s="1" t="s">
        <v>1003</v>
      </c>
      <c r="C212" s="1" t="s">
        <v>941</v>
      </c>
      <c r="D212" s="1" t="s">
        <v>1004</v>
      </c>
      <c r="E212" s="1" t="s">
        <v>1005</v>
      </c>
      <c r="F212" s="1" t="s">
        <v>1006</v>
      </c>
      <c r="G212" s="1" t="s">
        <v>43</v>
      </c>
      <c r="H212" s="1" t="s">
        <v>945</v>
      </c>
      <c r="I212" s="1" t="s">
        <v>946</v>
      </c>
      <c r="J212" s="2"/>
      <c r="K212" s="2"/>
      <c r="L212" s="2"/>
      <c r="M212" s="2"/>
      <c r="N212" s="2"/>
      <c r="O212" s="2"/>
      <c r="P212" s="2"/>
      <c r="Q212" s="2"/>
      <c r="R212" s="2"/>
      <c r="S212" s="2"/>
      <c r="T212" s="2"/>
      <c r="U212" s="2"/>
      <c r="V212" s="2"/>
      <c r="W212" s="2"/>
      <c r="X212" s="2"/>
      <c r="Y212" s="2"/>
      <c r="Z212" s="2"/>
    </row>
    <row r="213">
      <c r="A213" s="2" t="s">
        <v>13</v>
      </c>
      <c r="B213" s="1" t="s">
        <v>1007</v>
      </c>
      <c r="C213" s="1" t="s">
        <v>941</v>
      </c>
      <c r="D213" s="1" t="s">
        <v>1008</v>
      </c>
      <c r="E213" s="1" t="s">
        <v>1009</v>
      </c>
      <c r="F213" s="1" t="s">
        <v>1010</v>
      </c>
      <c r="G213" s="1" t="s">
        <v>43</v>
      </c>
      <c r="H213" s="1" t="s">
        <v>945</v>
      </c>
      <c r="I213" s="1" t="s">
        <v>946</v>
      </c>
      <c r="J213" s="2"/>
      <c r="K213" s="2"/>
      <c r="L213" s="2"/>
      <c r="M213" s="2"/>
      <c r="N213" s="2"/>
      <c r="O213" s="2"/>
      <c r="P213" s="2"/>
      <c r="Q213" s="2"/>
      <c r="R213" s="2"/>
      <c r="S213" s="2"/>
      <c r="T213" s="2"/>
      <c r="U213" s="2"/>
      <c r="V213" s="2"/>
      <c r="W213" s="2"/>
      <c r="X213" s="2"/>
      <c r="Y213" s="2"/>
      <c r="Z213" s="2"/>
    </row>
    <row r="214">
      <c r="A214" s="2" t="s">
        <v>13</v>
      </c>
      <c r="B214" s="1" t="s">
        <v>1011</v>
      </c>
      <c r="C214" s="1" t="s">
        <v>941</v>
      </c>
      <c r="D214" s="1" t="s">
        <v>1012</v>
      </c>
      <c r="E214" s="1" t="s">
        <v>1013</v>
      </c>
      <c r="F214" s="1" t="s">
        <v>1014</v>
      </c>
      <c r="G214" s="1" t="s">
        <v>43</v>
      </c>
      <c r="H214" s="1" t="s">
        <v>945</v>
      </c>
      <c r="I214" s="1" t="s">
        <v>946</v>
      </c>
      <c r="J214" s="2"/>
      <c r="K214" s="2"/>
      <c r="L214" s="2"/>
      <c r="M214" s="2"/>
      <c r="N214" s="2"/>
      <c r="O214" s="2"/>
      <c r="P214" s="2"/>
      <c r="Q214" s="2"/>
      <c r="R214" s="2"/>
      <c r="S214" s="2"/>
      <c r="T214" s="2"/>
      <c r="U214" s="2"/>
      <c r="V214" s="2"/>
      <c r="W214" s="2"/>
      <c r="X214" s="2"/>
      <c r="Y214" s="2"/>
      <c r="Z214" s="2"/>
    </row>
    <row r="215">
      <c r="A215" s="2" t="s">
        <v>13</v>
      </c>
      <c r="B215" s="1" t="s">
        <v>1015</v>
      </c>
      <c r="C215" s="1" t="s">
        <v>941</v>
      </c>
      <c r="D215" s="1" t="s">
        <v>1016</v>
      </c>
      <c r="E215" s="1" t="s">
        <v>1017</v>
      </c>
      <c r="F215" s="1" t="s">
        <v>1018</v>
      </c>
      <c r="G215" s="1" t="s">
        <v>43</v>
      </c>
      <c r="H215" s="1" t="s">
        <v>945</v>
      </c>
      <c r="I215" s="1" t="s">
        <v>946</v>
      </c>
      <c r="J215" s="2"/>
      <c r="K215" s="2"/>
      <c r="L215" s="2"/>
      <c r="M215" s="2"/>
      <c r="N215" s="2"/>
      <c r="O215" s="2"/>
      <c r="P215" s="2"/>
      <c r="Q215" s="2"/>
      <c r="R215" s="2"/>
      <c r="S215" s="2"/>
      <c r="T215" s="2"/>
      <c r="U215" s="2"/>
      <c r="V215" s="2"/>
      <c r="W215" s="2"/>
      <c r="X215" s="2"/>
      <c r="Y215" s="2"/>
      <c r="Z215" s="2"/>
    </row>
    <row r="216">
      <c r="A216" s="2" t="s">
        <v>13</v>
      </c>
      <c r="B216" s="1" t="s">
        <v>1019</v>
      </c>
      <c r="C216" s="1" t="s">
        <v>941</v>
      </c>
      <c r="D216" s="1" t="s">
        <v>1020</v>
      </c>
      <c r="E216" s="1" t="s">
        <v>1021</v>
      </c>
      <c r="F216" s="1" t="s">
        <v>1022</v>
      </c>
      <c r="G216" s="1" t="s">
        <v>43</v>
      </c>
      <c r="H216" s="1" t="s">
        <v>945</v>
      </c>
      <c r="I216" s="1" t="s">
        <v>946</v>
      </c>
      <c r="J216" s="2"/>
      <c r="K216" s="2"/>
      <c r="L216" s="2"/>
      <c r="M216" s="2"/>
      <c r="N216" s="2"/>
      <c r="O216" s="2"/>
      <c r="P216" s="2"/>
      <c r="Q216" s="2"/>
      <c r="R216" s="2"/>
      <c r="S216" s="2"/>
      <c r="T216" s="2"/>
      <c r="U216" s="2"/>
      <c r="V216" s="2"/>
      <c r="W216" s="2"/>
      <c r="X216" s="2"/>
      <c r="Y216" s="2"/>
      <c r="Z216" s="2"/>
    </row>
    <row r="217">
      <c r="A217" s="2" t="s">
        <v>13</v>
      </c>
      <c r="B217" s="1" t="s">
        <v>1023</v>
      </c>
      <c r="C217" s="1" t="s">
        <v>941</v>
      </c>
      <c r="D217" s="1" t="s">
        <v>1024</v>
      </c>
      <c r="E217" s="1" t="s">
        <v>1025</v>
      </c>
      <c r="F217" s="1" t="s">
        <v>1026</v>
      </c>
      <c r="G217" s="1" t="s">
        <v>43</v>
      </c>
      <c r="H217" s="1" t="s">
        <v>945</v>
      </c>
      <c r="I217" s="1" t="s">
        <v>946</v>
      </c>
      <c r="J217" s="2"/>
      <c r="K217" s="2"/>
      <c r="L217" s="2"/>
      <c r="M217" s="2"/>
      <c r="N217" s="2"/>
      <c r="O217" s="2"/>
      <c r="P217" s="2"/>
      <c r="Q217" s="2"/>
      <c r="R217" s="2"/>
      <c r="S217" s="2"/>
      <c r="T217" s="2"/>
      <c r="U217" s="2"/>
      <c r="V217" s="2"/>
      <c r="W217" s="2"/>
      <c r="X217" s="2"/>
      <c r="Y217" s="2"/>
      <c r="Z217" s="2"/>
    </row>
    <row r="218">
      <c r="A218" s="2" t="s">
        <v>13</v>
      </c>
      <c r="B218" s="1" t="s">
        <v>1027</v>
      </c>
      <c r="C218" s="1" t="s">
        <v>941</v>
      </c>
      <c r="D218" s="1" t="s">
        <v>1028</v>
      </c>
      <c r="E218" s="1" t="s">
        <v>1029</v>
      </c>
      <c r="F218" s="1" t="s">
        <v>1030</v>
      </c>
      <c r="G218" s="1" t="s">
        <v>43</v>
      </c>
      <c r="H218" s="1" t="s">
        <v>945</v>
      </c>
      <c r="I218" s="1" t="s">
        <v>946</v>
      </c>
      <c r="J218" s="2"/>
      <c r="K218" s="2"/>
      <c r="L218" s="2"/>
      <c r="M218" s="2"/>
      <c r="N218" s="2"/>
      <c r="O218" s="2"/>
      <c r="P218" s="2"/>
      <c r="Q218" s="2"/>
      <c r="R218" s="2"/>
      <c r="S218" s="2"/>
      <c r="T218" s="2"/>
      <c r="U218" s="2"/>
      <c r="V218" s="2"/>
      <c r="W218" s="2"/>
      <c r="X218" s="2"/>
      <c r="Y218" s="2"/>
      <c r="Z218" s="2"/>
    </row>
    <row r="219">
      <c r="A219" s="2" t="s">
        <v>13</v>
      </c>
      <c r="B219" s="1" t="s">
        <v>1031</v>
      </c>
      <c r="C219" s="1" t="s">
        <v>941</v>
      </c>
      <c r="D219" s="1" t="s">
        <v>1032</v>
      </c>
      <c r="E219" s="1" t="s">
        <v>1033</v>
      </c>
      <c r="F219" s="1" t="s">
        <v>1034</v>
      </c>
      <c r="G219" s="1" t="s">
        <v>21</v>
      </c>
      <c r="H219" s="1" t="s">
        <v>945</v>
      </c>
      <c r="I219" s="1" t="s">
        <v>946</v>
      </c>
      <c r="J219" s="2"/>
      <c r="K219" s="2"/>
      <c r="L219" s="2"/>
      <c r="M219" s="2"/>
      <c r="N219" s="2"/>
      <c r="O219" s="2"/>
      <c r="P219" s="2"/>
      <c r="Q219" s="2"/>
      <c r="R219" s="2"/>
      <c r="S219" s="2"/>
      <c r="T219" s="2"/>
      <c r="U219" s="2"/>
      <c r="V219" s="2"/>
      <c r="W219" s="2"/>
      <c r="X219" s="2"/>
      <c r="Y219" s="2"/>
      <c r="Z219" s="2"/>
    </row>
    <row r="220">
      <c r="A220" s="2" t="s">
        <v>13</v>
      </c>
      <c r="B220" s="1" t="s">
        <v>1035</v>
      </c>
      <c r="C220" s="1" t="s">
        <v>941</v>
      </c>
      <c r="D220" s="1" t="s">
        <v>1036</v>
      </c>
      <c r="E220" s="1" t="s">
        <v>1037</v>
      </c>
      <c r="F220" s="1" t="s">
        <v>1038</v>
      </c>
      <c r="G220" s="1" t="s">
        <v>43</v>
      </c>
      <c r="H220" s="1" t="s">
        <v>945</v>
      </c>
      <c r="I220" s="1" t="s">
        <v>946</v>
      </c>
      <c r="J220" s="2"/>
      <c r="K220" s="2"/>
      <c r="L220" s="2"/>
      <c r="M220" s="2"/>
      <c r="N220" s="2"/>
      <c r="O220" s="2"/>
      <c r="P220" s="2"/>
      <c r="Q220" s="2"/>
      <c r="R220" s="2"/>
      <c r="S220" s="2"/>
      <c r="T220" s="2"/>
      <c r="U220" s="2"/>
      <c r="V220" s="2"/>
      <c r="W220" s="2"/>
      <c r="X220" s="2"/>
      <c r="Y220" s="2"/>
      <c r="Z220" s="2"/>
    </row>
    <row r="221">
      <c r="A221" s="2" t="s">
        <v>13</v>
      </c>
      <c r="B221" s="1" t="s">
        <v>1039</v>
      </c>
      <c r="C221" s="1" t="s">
        <v>941</v>
      </c>
      <c r="D221" s="1" t="s">
        <v>1040</v>
      </c>
      <c r="E221" s="1" t="s">
        <v>1041</v>
      </c>
      <c r="F221" s="1" t="s">
        <v>1042</v>
      </c>
      <c r="G221" s="1" t="s">
        <v>43</v>
      </c>
      <c r="H221" s="1" t="s">
        <v>582</v>
      </c>
      <c r="I221" s="1" t="s">
        <v>946</v>
      </c>
      <c r="J221" s="2"/>
      <c r="K221" s="2"/>
      <c r="L221" s="2"/>
      <c r="M221" s="2"/>
      <c r="N221" s="2"/>
      <c r="O221" s="2"/>
      <c r="P221" s="2"/>
      <c r="Q221" s="2"/>
      <c r="R221" s="2"/>
      <c r="S221" s="2"/>
      <c r="T221" s="2"/>
      <c r="U221" s="2"/>
      <c r="V221" s="2"/>
      <c r="W221" s="2"/>
      <c r="X221" s="2"/>
      <c r="Y221" s="2"/>
      <c r="Z221" s="2"/>
    </row>
    <row r="222">
      <c r="A222" s="2" t="s">
        <v>13</v>
      </c>
      <c r="B222" s="1" t="s">
        <v>1043</v>
      </c>
      <c r="C222" s="1" t="s">
        <v>941</v>
      </c>
      <c r="D222" s="1" t="s">
        <v>1044</v>
      </c>
      <c r="E222" s="1" t="s">
        <v>1045</v>
      </c>
      <c r="F222" s="1" t="s">
        <v>1046</v>
      </c>
      <c r="G222" s="1" t="s">
        <v>43</v>
      </c>
      <c r="H222" s="1" t="s">
        <v>642</v>
      </c>
      <c r="I222" s="1" t="s">
        <v>946</v>
      </c>
      <c r="J222" s="2"/>
      <c r="K222" s="2"/>
      <c r="L222" s="2"/>
      <c r="M222" s="2"/>
      <c r="N222" s="2"/>
      <c r="O222" s="2"/>
      <c r="P222" s="2"/>
      <c r="Q222" s="2"/>
      <c r="R222" s="2"/>
      <c r="S222" s="2"/>
      <c r="T222" s="2"/>
      <c r="U222" s="2"/>
      <c r="V222" s="2"/>
      <c r="W222" s="2"/>
      <c r="X222" s="2"/>
      <c r="Y222" s="2"/>
      <c r="Z222" s="2"/>
    </row>
    <row r="223">
      <c r="A223" s="2" t="s">
        <v>13</v>
      </c>
      <c r="B223" s="1" t="s">
        <v>1047</v>
      </c>
      <c r="C223" s="1" t="s">
        <v>941</v>
      </c>
      <c r="D223" s="1" t="s">
        <v>1048</v>
      </c>
      <c r="E223" s="1" t="s">
        <v>1049</v>
      </c>
      <c r="F223" s="1" t="s">
        <v>1050</v>
      </c>
      <c r="G223" s="1" t="s">
        <v>43</v>
      </c>
      <c r="H223" s="1" t="s">
        <v>945</v>
      </c>
      <c r="I223" s="1" t="s">
        <v>946</v>
      </c>
      <c r="J223" s="2"/>
      <c r="K223" s="2"/>
      <c r="L223" s="2"/>
      <c r="M223" s="2"/>
      <c r="N223" s="2"/>
      <c r="O223" s="2"/>
      <c r="P223" s="2"/>
      <c r="Q223" s="2"/>
      <c r="R223" s="2"/>
      <c r="S223" s="2"/>
      <c r="T223" s="2"/>
      <c r="U223" s="2"/>
      <c r="V223" s="2"/>
      <c r="W223" s="2"/>
      <c r="X223" s="2"/>
      <c r="Y223" s="2"/>
      <c r="Z223" s="2"/>
    </row>
    <row r="224">
      <c r="A224" s="2" t="s">
        <v>13</v>
      </c>
      <c r="B224" s="1" t="s">
        <v>1051</v>
      </c>
      <c r="C224" s="1" t="s">
        <v>941</v>
      </c>
      <c r="D224" s="1" t="s">
        <v>1052</v>
      </c>
      <c r="E224" s="1" t="s">
        <v>1053</v>
      </c>
      <c r="F224" s="1" t="s">
        <v>1054</v>
      </c>
      <c r="G224" s="1" t="s">
        <v>21</v>
      </c>
      <c r="H224" s="1" t="s">
        <v>247</v>
      </c>
      <c r="I224" s="1" t="s">
        <v>946</v>
      </c>
      <c r="J224" s="2"/>
      <c r="K224" s="2"/>
      <c r="L224" s="2"/>
      <c r="M224" s="2"/>
      <c r="N224" s="2"/>
      <c r="O224" s="2"/>
      <c r="P224" s="2"/>
      <c r="Q224" s="2"/>
      <c r="R224" s="2"/>
      <c r="S224" s="2"/>
      <c r="T224" s="2"/>
      <c r="U224" s="2"/>
      <c r="V224" s="2"/>
      <c r="W224" s="2"/>
      <c r="X224" s="2"/>
      <c r="Y224" s="2"/>
      <c r="Z224" s="2"/>
    </row>
    <row r="225">
      <c r="A225" s="2" t="s">
        <v>13</v>
      </c>
      <c r="B225" s="1" t="s">
        <v>1055</v>
      </c>
      <c r="C225" s="1" t="s">
        <v>941</v>
      </c>
      <c r="D225" s="1" t="s">
        <v>1056</v>
      </c>
      <c r="E225" s="1" t="s">
        <v>1057</v>
      </c>
      <c r="F225" s="1" t="s">
        <v>1058</v>
      </c>
      <c r="G225" s="1" t="s">
        <v>21</v>
      </c>
      <c r="H225" s="1" t="s">
        <v>945</v>
      </c>
      <c r="I225" s="1" t="s">
        <v>946</v>
      </c>
      <c r="J225" s="2"/>
      <c r="K225" s="2"/>
      <c r="L225" s="2"/>
      <c r="M225" s="2"/>
      <c r="N225" s="2"/>
      <c r="O225" s="2"/>
      <c r="P225" s="2"/>
      <c r="Q225" s="2"/>
      <c r="R225" s="2"/>
      <c r="S225" s="2"/>
      <c r="T225" s="2"/>
      <c r="U225" s="2"/>
      <c r="V225" s="2"/>
      <c r="W225" s="2"/>
      <c r="X225" s="2"/>
      <c r="Y225" s="2"/>
      <c r="Z225" s="2"/>
    </row>
    <row r="226">
      <c r="A226" s="2" t="s">
        <v>13</v>
      </c>
      <c r="B226" s="1" t="s">
        <v>1059</v>
      </c>
      <c r="C226" s="1" t="s">
        <v>941</v>
      </c>
      <c r="D226" s="1" t="s">
        <v>1060</v>
      </c>
      <c r="E226" s="1" t="s">
        <v>1061</v>
      </c>
      <c r="F226" s="1" t="s">
        <v>1062</v>
      </c>
      <c r="G226" s="1" t="s">
        <v>43</v>
      </c>
      <c r="H226" s="1" t="s">
        <v>945</v>
      </c>
      <c r="I226" s="1" t="s">
        <v>946</v>
      </c>
      <c r="J226" s="2"/>
      <c r="K226" s="2"/>
      <c r="L226" s="2"/>
      <c r="M226" s="2"/>
      <c r="N226" s="2"/>
      <c r="O226" s="2"/>
      <c r="P226" s="2"/>
      <c r="Q226" s="2"/>
      <c r="R226" s="2"/>
      <c r="S226" s="2"/>
      <c r="T226" s="2"/>
      <c r="U226" s="2"/>
      <c r="V226" s="2"/>
      <c r="W226" s="2"/>
      <c r="X226" s="2"/>
      <c r="Y226" s="2"/>
      <c r="Z226" s="2"/>
    </row>
    <row r="227">
      <c r="A227" s="2" t="s">
        <v>13</v>
      </c>
      <c r="B227" s="1" t="s">
        <v>1063</v>
      </c>
      <c r="C227" s="1" t="s">
        <v>941</v>
      </c>
      <c r="D227" s="1" t="s">
        <v>1064</v>
      </c>
      <c r="E227" s="1" t="s">
        <v>1065</v>
      </c>
      <c r="F227" s="1" t="s">
        <v>1066</v>
      </c>
      <c r="G227" s="1" t="s">
        <v>43</v>
      </c>
      <c r="H227" s="1" t="s">
        <v>945</v>
      </c>
      <c r="I227" s="1" t="s">
        <v>946</v>
      </c>
      <c r="J227" s="2"/>
      <c r="K227" s="2"/>
      <c r="L227" s="2"/>
      <c r="M227" s="2"/>
      <c r="N227" s="2"/>
      <c r="O227" s="2"/>
      <c r="P227" s="2"/>
      <c r="Q227" s="2"/>
      <c r="R227" s="2"/>
      <c r="S227" s="2"/>
      <c r="T227" s="2"/>
      <c r="U227" s="2"/>
      <c r="V227" s="2"/>
      <c r="W227" s="2"/>
      <c r="X227" s="2"/>
      <c r="Y227" s="2"/>
      <c r="Z227" s="2"/>
    </row>
    <row r="228">
      <c r="A228" s="2" t="s">
        <v>13</v>
      </c>
      <c r="B228" s="1" t="s">
        <v>1067</v>
      </c>
      <c r="C228" s="1" t="s">
        <v>941</v>
      </c>
      <c r="D228" s="1" t="s">
        <v>1068</v>
      </c>
      <c r="E228" s="1" t="s">
        <v>1069</v>
      </c>
      <c r="F228" s="1" t="s">
        <v>1070</v>
      </c>
      <c r="G228" s="1" t="s">
        <v>43</v>
      </c>
      <c r="H228" s="1" t="s">
        <v>945</v>
      </c>
      <c r="I228" s="1" t="s">
        <v>946</v>
      </c>
      <c r="J228" s="2"/>
      <c r="K228" s="2"/>
      <c r="L228" s="2"/>
      <c r="M228" s="2"/>
      <c r="N228" s="2"/>
      <c r="O228" s="2"/>
      <c r="P228" s="2"/>
      <c r="Q228" s="2"/>
      <c r="R228" s="2"/>
      <c r="S228" s="2"/>
      <c r="T228" s="2"/>
      <c r="U228" s="2"/>
      <c r="V228" s="2"/>
      <c r="W228" s="2"/>
      <c r="X228" s="2"/>
      <c r="Y228" s="2"/>
      <c r="Z228" s="2"/>
    </row>
    <row r="229">
      <c r="A229" s="2" t="s">
        <v>13</v>
      </c>
      <c r="B229" s="1" t="s">
        <v>1071</v>
      </c>
      <c r="C229" s="1" t="s">
        <v>941</v>
      </c>
      <c r="D229" s="1" t="s">
        <v>1072</v>
      </c>
      <c r="E229" s="1" t="s">
        <v>1073</v>
      </c>
      <c r="F229" s="1" t="s">
        <v>1074</v>
      </c>
      <c r="G229" s="1" t="s">
        <v>43</v>
      </c>
      <c r="H229" s="1" t="s">
        <v>22</v>
      </c>
      <c r="I229" s="1" t="s">
        <v>946</v>
      </c>
      <c r="J229" s="2"/>
      <c r="K229" s="2"/>
      <c r="L229" s="2"/>
      <c r="M229" s="2"/>
      <c r="N229" s="2"/>
      <c r="O229" s="2"/>
      <c r="P229" s="2"/>
      <c r="Q229" s="2"/>
      <c r="R229" s="2"/>
      <c r="S229" s="2"/>
      <c r="T229" s="2"/>
      <c r="U229" s="2"/>
      <c r="V229" s="2"/>
      <c r="W229" s="2"/>
      <c r="X229" s="2"/>
      <c r="Y229" s="2"/>
      <c r="Z229" s="2"/>
    </row>
    <row r="230">
      <c r="A230" s="2" t="s">
        <v>13</v>
      </c>
      <c r="B230" s="1" t="s">
        <v>1075</v>
      </c>
      <c r="C230" s="1" t="s">
        <v>941</v>
      </c>
      <c r="D230" s="1" t="s">
        <v>1076</v>
      </c>
      <c r="E230" s="1" t="s">
        <v>1077</v>
      </c>
      <c r="F230" s="1" t="s">
        <v>1078</v>
      </c>
      <c r="G230" s="1" t="s">
        <v>43</v>
      </c>
      <c r="H230" s="1" t="s">
        <v>945</v>
      </c>
      <c r="I230" s="1" t="s">
        <v>946</v>
      </c>
      <c r="J230" s="2"/>
      <c r="K230" s="2"/>
      <c r="L230" s="2"/>
      <c r="M230" s="2"/>
      <c r="N230" s="2"/>
      <c r="O230" s="2"/>
      <c r="P230" s="2"/>
      <c r="Q230" s="2"/>
      <c r="R230" s="2"/>
      <c r="S230" s="2"/>
      <c r="T230" s="2"/>
      <c r="U230" s="2"/>
      <c r="V230" s="2"/>
      <c r="W230" s="2"/>
      <c r="X230" s="2"/>
      <c r="Y230" s="2"/>
      <c r="Z230" s="2"/>
    </row>
    <row r="231">
      <c r="A231" s="2" t="s">
        <v>13</v>
      </c>
      <c r="B231" s="1" t="s">
        <v>1079</v>
      </c>
      <c r="C231" s="1" t="s">
        <v>941</v>
      </c>
      <c r="D231" s="1" t="s">
        <v>1080</v>
      </c>
      <c r="E231" s="1" t="s">
        <v>1081</v>
      </c>
      <c r="F231" s="1" t="s">
        <v>1082</v>
      </c>
      <c r="G231" s="1" t="s">
        <v>43</v>
      </c>
      <c r="H231" s="1" t="s">
        <v>945</v>
      </c>
      <c r="I231" s="1" t="s">
        <v>946</v>
      </c>
      <c r="J231" s="2"/>
      <c r="K231" s="2"/>
      <c r="L231" s="2"/>
      <c r="M231" s="2"/>
      <c r="N231" s="2"/>
      <c r="O231" s="2"/>
      <c r="P231" s="2"/>
      <c r="Q231" s="2"/>
      <c r="R231" s="2"/>
      <c r="S231" s="2"/>
      <c r="T231" s="2"/>
      <c r="U231" s="2"/>
      <c r="V231" s="2"/>
      <c r="W231" s="2"/>
      <c r="X231" s="2"/>
      <c r="Y231" s="2"/>
      <c r="Z231" s="2"/>
    </row>
    <row r="232">
      <c r="A232" s="2" t="s">
        <v>13</v>
      </c>
      <c r="B232" s="1" t="s">
        <v>1083</v>
      </c>
      <c r="C232" s="1" t="s">
        <v>941</v>
      </c>
      <c r="D232" s="1" t="s">
        <v>1084</v>
      </c>
      <c r="E232" s="1" t="s">
        <v>1085</v>
      </c>
      <c r="F232" s="1" t="s">
        <v>1086</v>
      </c>
      <c r="G232" s="1" t="s">
        <v>43</v>
      </c>
      <c r="H232" s="1" t="s">
        <v>945</v>
      </c>
      <c r="I232" s="1" t="s">
        <v>946</v>
      </c>
      <c r="J232" s="2"/>
      <c r="K232" s="2"/>
      <c r="L232" s="2"/>
      <c r="M232" s="2"/>
      <c r="N232" s="2"/>
      <c r="O232" s="2"/>
      <c r="P232" s="2"/>
      <c r="Q232" s="2"/>
      <c r="R232" s="2"/>
      <c r="S232" s="2"/>
      <c r="T232" s="2"/>
      <c r="U232" s="2"/>
      <c r="V232" s="2"/>
      <c r="W232" s="2"/>
      <c r="X232" s="2"/>
      <c r="Y232" s="2"/>
      <c r="Z232" s="2"/>
    </row>
    <row r="233">
      <c r="A233" s="2" t="s">
        <v>13</v>
      </c>
      <c r="B233" s="1" t="s">
        <v>1087</v>
      </c>
      <c r="C233" s="1" t="s">
        <v>941</v>
      </c>
      <c r="D233" s="1" t="s">
        <v>1088</v>
      </c>
      <c r="E233" s="1" t="s">
        <v>1089</v>
      </c>
      <c r="F233" s="1" t="s">
        <v>1090</v>
      </c>
      <c r="G233" s="1" t="s">
        <v>43</v>
      </c>
      <c r="H233" s="1" t="s">
        <v>945</v>
      </c>
      <c r="I233" s="1" t="s">
        <v>946</v>
      </c>
      <c r="J233" s="2"/>
      <c r="K233" s="2"/>
      <c r="L233" s="2"/>
      <c r="M233" s="2"/>
      <c r="N233" s="2"/>
      <c r="O233" s="2"/>
      <c r="P233" s="2"/>
      <c r="Q233" s="2"/>
      <c r="R233" s="2"/>
      <c r="S233" s="2"/>
      <c r="T233" s="2"/>
      <c r="U233" s="2"/>
      <c r="V233" s="2"/>
      <c r="W233" s="2"/>
      <c r="X233" s="2"/>
      <c r="Y233" s="2"/>
      <c r="Z233" s="2"/>
    </row>
    <row r="234">
      <c r="A234" s="2" t="s">
        <v>13</v>
      </c>
      <c r="B234" s="1" t="s">
        <v>1091</v>
      </c>
      <c r="C234" s="1" t="s">
        <v>941</v>
      </c>
      <c r="D234" s="1" t="s">
        <v>1092</v>
      </c>
      <c r="E234" s="1" t="s">
        <v>1093</v>
      </c>
      <c r="F234" s="1" t="s">
        <v>1094</v>
      </c>
      <c r="G234" s="1" t="s">
        <v>43</v>
      </c>
      <c r="H234" s="1" t="s">
        <v>945</v>
      </c>
      <c r="I234" s="1" t="s">
        <v>946</v>
      </c>
      <c r="J234" s="2"/>
      <c r="K234" s="2"/>
      <c r="L234" s="2"/>
      <c r="M234" s="2"/>
      <c r="N234" s="2"/>
      <c r="O234" s="2"/>
      <c r="P234" s="2"/>
      <c r="Q234" s="2"/>
      <c r="R234" s="2"/>
      <c r="S234" s="2"/>
      <c r="T234" s="2"/>
      <c r="U234" s="2"/>
      <c r="V234" s="2"/>
      <c r="W234" s="2"/>
      <c r="X234" s="2"/>
      <c r="Y234" s="2"/>
      <c r="Z234" s="2"/>
    </row>
    <row r="235">
      <c r="A235" s="2" t="s">
        <v>13</v>
      </c>
      <c r="B235" s="1" t="s">
        <v>1095</v>
      </c>
      <c r="C235" s="1" t="s">
        <v>941</v>
      </c>
      <c r="D235" s="1" t="s">
        <v>1096</v>
      </c>
      <c r="E235" s="1" t="s">
        <v>1097</v>
      </c>
      <c r="F235" s="1" t="s">
        <v>1098</v>
      </c>
      <c r="G235" s="1" t="s">
        <v>43</v>
      </c>
      <c r="H235" s="1" t="s">
        <v>945</v>
      </c>
      <c r="I235" s="1" t="s">
        <v>946</v>
      </c>
      <c r="J235" s="2"/>
      <c r="K235" s="2"/>
      <c r="L235" s="2"/>
      <c r="M235" s="2"/>
      <c r="N235" s="2"/>
      <c r="O235" s="2"/>
      <c r="P235" s="2"/>
      <c r="Q235" s="2"/>
      <c r="R235" s="2"/>
      <c r="S235" s="2"/>
      <c r="T235" s="2"/>
      <c r="U235" s="2"/>
      <c r="V235" s="2"/>
      <c r="W235" s="2"/>
      <c r="X235" s="2"/>
      <c r="Y235" s="2"/>
      <c r="Z235" s="2"/>
    </row>
    <row r="236">
      <c r="A236" s="2" t="s">
        <v>13</v>
      </c>
      <c r="B236" s="1" t="s">
        <v>1099</v>
      </c>
      <c r="C236" s="1" t="s">
        <v>941</v>
      </c>
      <c r="D236" s="1" t="s">
        <v>1100</v>
      </c>
      <c r="E236" s="1" t="s">
        <v>1101</v>
      </c>
      <c r="F236" s="1" t="s">
        <v>1102</v>
      </c>
      <c r="G236" s="1" t="s">
        <v>21</v>
      </c>
      <c r="H236" s="1" t="s">
        <v>945</v>
      </c>
      <c r="I236" s="1" t="s">
        <v>946</v>
      </c>
      <c r="J236" s="2"/>
      <c r="K236" s="2"/>
      <c r="L236" s="2"/>
      <c r="M236" s="2"/>
      <c r="N236" s="2"/>
      <c r="O236" s="2"/>
      <c r="P236" s="2"/>
      <c r="Q236" s="2"/>
      <c r="R236" s="2"/>
      <c r="S236" s="2"/>
      <c r="T236" s="2"/>
      <c r="U236" s="2"/>
      <c r="V236" s="2"/>
      <c r="W236" s="2"/>
      <c r="X236" s="2"/>
      <c r="Y236" s="2"/>
      <c r="Z236" s="2"/>
    </row>
    <row r="237">
      <c r="A237" s="2" t="s">
        <v>13</v>
      </c>
      <c r="B237" s="1" t="s">
        <v>1103</v>
      </c>
      <c r="C237" s="1" t="s">
        <v>941</v>
      </c>
      <c r="D237" s="1" t="s">
        <v>1104</v>
      </c>
      <c r="E237" s="1" t="s">
        <v>1105</v>
      </c>
      <c r="F237" s="1" t="s">
        <v>1106</v>
      </c>
      <c r="G237" s="1" t="s">
        <v>43</v>
      </c>
      <c r="H237" s="1" t="s">
        <v>945</v>
      </c>
      <c r="I237" s="1" t="s">
        <v>946</v>
      </c>
      <c r="J237" s="2"/>
      <c r="K237" s="2"/>
      <c r="L237" s="2"/>
      <c r="M237" s="2"/>
      <c r="N237" s="2"/>
      <c r="O237" s="2"/>
      <c r="P237" s="2"/>
      <c r="Q237" s="2"/>
      <c r="R237" s="2"/>
      <c r="S237" s="2"/>
      <c r="T237" s="2"/>
      <c r="U237" s="2"/>
      <c r="V237" s="2"/>
      <c r="W237" s="2"/>
      <c r="X237" s="2"/>
      <c r="Y237" s="2"/>
      <c r="Z237" s="2"/>
    </row>
    <row r="238">
      <c r="A238" s="2" t="s">
        <v>13</v>
      </c>
      <c r="B238" s="1" t="s">
        <v>1107</v>
      </c>
      <c r="C238" s="1" t="s">
        <v>941</v>
      </c>
      <c r="D238" s="1" t="s">
        <v>1108</v>
      </c>
      <c r="E238" s="1" t="s">
        <v>1109</v>
      </c>
      <c r="F238" s="1" t="s">
        <v>1110</v>
      </c>
      <c r="G238" s="1" t="s">
        <v>21</v>
      </c>
      <c r="H238" s="1" t="s">
        <v>945</v>
      </c>
      <c r="I238" s="1" t="s">
        <v>946</v>
      </c>
      <c r="J238" s="2"/>
      <c r="K238" s="2"/>
      <c r="L238" s="2"/>
      <c r="M238" s="2"/>
      <c r="N238" s="2"/>
      <c r="O238" s="2"/>
      <c r="P238" s="2"/>
      <c r="Q238" s="2"/>
      <c r="R238" s="2"/>
      <c r="S238" s="2"/>
      <c r="T238" s="2"/>
      <c r="U238" s="2"/>
      <c r="V238" s="2"/>
      <c r="W238" s="2"/>
      <c r="X238" s="2"/>
      <c r="Y238" s="2"/>
      <c r="Z238" s="2"/>
    </row>
    <row r="239">
      <c r="A239" s="2" t="s">
        <v>13</v>
      </c>
      <c r="B239" s="1" t="s">
        <v>1111</v>
      </c>
      <c r="C239" s="1" t="s">
        <v>941</v>
      </c>
      <c r="D239" s="1" t="s">
        <v>1112</v>
      </c>
      <c r="E239" s="1" t="s">
        <v>1113</v>
      </c>
      <c r="F239" s="1" t="s">
        <v>1114</v>
      </c>
      <c r="G239" s="1" t="s">
        <v>21</v>
      </c>
      <c r="H239" s="1" t="s">
        <v>945</v>
      </c>
      <c r="I239" s="1" t="s">
        <v>946</v>
      </c>
      <c r="J239" s="2"/>
      <c r="K239" s="2"/>
      <c r="L239" s="2"/>
      <c r="M239" s="2"/>
      <c r="N239" s="2"/>
      <c r="O239" s="2"/>
      <c r="P239" s="2"/>
      <c r="Q239" s="2"/>
      <c r="R239" s="2"/>
      <c r="S239" s="2"/>
      <c r="T239" s="2"/>
      <c r="U239" s="2"/>
      <c r="V239" s="2"/>
      <c r="W239" s="2"/>
      <c r="X239" s="2"/>
      <c r="Y239" s="2"/>
      <c r="Z239" s="2"/>
    </row>
    <row r="240">
      <c r="A240" s="2" t="s">
        <v>13</v>
      </c>
      <c r="B240" s="1" t="s">
        <v>1115</v>
      </c>
      <c r="C240" s="1" t="s">
        <v>941</v>
      </c>
      <c r="D240" s="1" t="s">
        <v>1116</v>
      </c>
      <c r="E240" s="1" t="s">
        <v>1117</v>
      </c>
      <c r="F240" s="1" t="s">
        <v>1118</v>
      </c>
      <c r="G240" s="1" t="s">
        <v>43</v>
      </c>
      <c r="H240" s="1" t="s">
        <v>945</v>
      </c>
      <c r="I240" s="1" t="s">
        <v>946</v>
      </c>
      <c r="J240" s="2"/>
      <c r="K240" s="2"/>
      <c r="L240" s="2"/>
      <c r="M240" s="2"/>
      <c r="N240" s="2"/>
      <c r="O240" s="2"/>
      <c r="P240" s="2"/>
      <c r="Q240" s="2"/>
      <c r="R240" s="2"/>
      <c r="S240" s="2"/>
      <c r="T240" s="2"/>
      <c r="U240" s="2"/>
      <c r="V240" s="2"/>
      <c r="W240" s="2"/>
      <c r="X240" s="2"/>
      <c r="Y240" s="2"/>
      <c r="Z240" s="2"/>
    </row>
    <row r="241">
      <c r="A241" s="2" t="s">
        <v>13</v>
      </c>
      <c r="B241" s="1" t="s">
        <v>1119</v>
      </c>
      <c r="C241" s="1" t="s">
        <v>941</v>
      </c>
      <c r="D241" s="1" t="s">
        <v>1120</v>
      </c>
      <c r="E241" s="1" t="s">
        <v>1121</v>
      </c>
      <c r="F241" s="1" t="s">
        <v>1122</v>
      </c>
      <c r="G241" s="1" t="s">
        <v>43</v>
      </c>
      <c r="H241" s="1" t="s">
        <v>945</v>
      </c>
      <c r="I241" s="1" t="s">
        <v>946</v>
      </c>
      <c r="J241" s="2"/>
      <c r="K241" s="2"/>
      <c r="L241" s="2"/>
      <c r="M241" s="2"/>
      <c r="N241" s="2"/>
      <c r="O241" s="2"/>
      <c r="P241" s="2"/>
      <c r="Q241" s="2"/>
      <c r="R241" s="2"/>
      <c r="S241" s="2"/>
      <c r="T241" s="2"/>
      <c r="U241" s="2"/>
      <c r="V241" s="2"/>
      <c r="W241" s="2"/>
      <c r="X241" s="2"/>
      <c r="Y241" s="2"/>
      <c r="Z241" s="2"/>
    </row>
    <row r="242">
      <c r="A242" s="2" t="s">
        <v>13</v>
      </c>
      <c r="B242" s="1" t="s">
        <v>1123</v>
      </c>
      <c r="C242" s="1" t="s">
        <v>941</v>
      </c>
      <c r="D242" s="1" t="s">
        <v>1124</v>
      </c>
      <c r="E242" s="1" t="s">
        <v>1125</v>
      </c>
      <c r="F242" s="1" t="s">
        <v>1126</v>
      </c>
      <c r="G242" s="1" t="s">
        <v>43</v>
      </c>
      <c r="H242" s="1" t="s">
        <v>945</v>
      </c>
      <c r="I242" s="1" t="s">
        <v>946</v>
      </c>
      <c r="J242" s="2"/>
      <c r="K242" s="2"/>
      <c r="L242" s="2"/>
      <c r="M242" s="2"/>
      <c r="N242" s="2"/>
      <c r="O242" s="2"/>
      <c r="P242" s="2"/>
      <c r="Q242" s="2"/>
      <c r="R242" s="2"/>
      <c r="S242" s="2"/>
      <c r="T242" s="2"/>
      <c r="U242" s="2"/>
      <c r="V242" s="2"/>
      <c r="W242" s="2"/>
      <c r="X242" s="2"/>
      <c r="Y242" s="2"/>
      <c r="Z242" s="2"/>
    </row>
    <row r="243">
      <c r="A243" s="2" t="s">
        <v>13</v>
      </c>
      <c r="B243" s="1" t="s">
        <v>1127</v>
      </c>
      <c r="C243" s="1" t="s">
        <v>941</v>
      </c>
      <c r="D243" s="1" t="s">
        <v>1128</v>
      </c>
      <c r="E243" s="1" t="s">
        <v>1129</v>
      </c>
      <c r="F243" s="1" t="s">
        <v>1130</v>
      </c>
      <c r="G243" s="1" t="s">
        <v>43</v>
      </c>
      <c r="H243" s="1" t="s">
        <v>945</v>
      </c>
      <c r="I243" s="1" t="s">
        <v>946</v>
      </c>
      <c r="J243" s="2"/>
      <c r="K243" s="2"/>
      <c r="L243" s="2"/>
      <c r="M243" s="2"/>
      <c r="N243" s="2"/>
      <c r="O243" s="2"/>
      <c r="P243" s="2"/>
      <c r="Q243" s="2"/>
      <c r="R243" s="2"/>
      <c r="S243" s="2"/>
      <c r="T243" s="2"/>
      <c r="U243" s="2"/>
      <c r="V243" s="2"/>
      <c r="W243" s="2"/>
      <c r="X243" s="2"/>
      <c r="Y243" s="2"/>
      <c r="Z243" s="2"/>
    </row>
    <row r="244">
      <c r="A244" s="2" t="s">
        <v>13</v>
      </c>
      <c r="B244" s="1" t="s">
        <v>1131</v>
      </c>
      <c r="C244" s="1" t="s">
        <v>941</v>
      </c>
      <c r="D244" s="1" t="s">
        <v>1132</v>
      </c>
      <c r="E244" s="1" t="s">
        <v>1133</v>
      </c>
      <c r="F244" s="1" t="s">
        <v>1134</v>
      </c>
      <c r="G244" s="1" t="s">
        <v>43</v>
      </c>
      <c r="H244" s="1" t="s">
        <v>945</v>
      </c>
      <c r="I244" s="1" t="s">
        <v>946</v>
      </c>
      <c r="J244" s="2"/>
      <c r="K244" s="2"/>
      <c r="L244" s="2"/>
      <c r="M244" s="2"/>
      <c r="N244" s="2"/>
      <c r="O244" s="2"/>
      <c r="P244" s="2"/>
      <c r="Q244" s="2"/>
      <c r="R244" s="2"/>
      <c r="S244" s="2"/>
      <c r="T244" s="2"/>
      <c r="U244" s="2"/>
      <c r="V244" s="2"/>
      <c r="W244" s="2"/>
      <c r="X244" s="2"/>
      <c r="Y244" s="2"/>
      <c r="Z244" s="2"/>
    </row>
    <row r="245">
      <c r="A245" s="2" t="s">
        <v>13</v>
      </c>
      <c r="B245" s="1" t="s">
        <v>1135</v>
      </c>
      <c r="C245" s="1" t="s">
        <v>941</v>
      </c>
      <c r="D245" s="1" t="s">
        <v>1136</v>
      </c>
      <c r="E245" s="1" t="s">
        <v>1137</v>
      </c>
      <c r="F245" s="1" t="s">
        <v>1138</v>
      </c>
      <c r="G245" s="1" t="s">
        <v>43</v>
      </c>
      <c r="H245" s="1" t="s">
        <v>945</v>
      </c>
      <c r="I245" s="1" t="s">
        <v>946</v>
      </c>
      <c r="J245" s="2"/>
      <c r="K245" s="2"/>
      <c r="L245" s="2"/>
      <c r="M245" s="2"/>
      <c r="N245" s="2"/>
      <c r="O245" s="2"/>
      <c r="P245" s="2"/>
      <c r="Q245" s="2"/>
      <c r="R245" s="2"/>
      <c r="S245" s="2"/>
      <c r="T245" s="2"/>
      <c r="U245" s="2"/>
      <c r="V245" s="2"/>
      <c r="W245" s="2"/>
      <c r="X245" s="2"/>
      <c r="Y245" s="2"/>
      <c r="Z245" s="2"/>
    </row>
    <row r="246">
      <c r="A246" s="2" t="s">
        <v>13</v>
      </c>
      <c r="B246" s="1" t="s">
        <v>1139</v>
      </c>
      <c r="C246" s="1" t="s">
        <v>941</v>
      </c>
      <c r="D246" s="1" t="s">
        <v>1140</v>
      </c>
      <c r="E246" s="1" t="s">
        <v>1141</v>
      </c>
      <c r="F246" s="1" t="s">
        <v>1142</v>
      </c>
      <c r="G246" s="1" t="s">
        <v>43</v>
      </c>
      <c r="H246" s="1" t="s">
        <v>945</v>
      </c>
      <c r="I246" s="1" t="s">
        <v>946</v>
      </c>
      <c r="J246" s="2"/>
      <c r="K246" s="2"/>
      <c r="L246" s="2"/>
      <c r="M246" s="2"/>
      <c r="N246" s="2"/>
      <c r="O246" s="2"/>
      <c r="P246" s="2"/>
      <c r="Q246" s="2"/>
      <c r="R246" s="2"/>
      <c r="S246" s="2"/>
      <c r="T246" s="2"/>
      <c r="U246" s="2"/>
      <c r="V246" s="2"/>
      <c r="W246" s="2"/>
      <c r="X246" s="2"/>
      <c r="Y246" s="2"/>
      <c r="Z246" s="2"/>
    </row>
    <row r="247">
      <c r="A247" s="2" t="s">
        <v>13</v>
      </c>
      <c r="B247" s="1" t="s">
        <v>1143</v>
      </c>
      <c r="C247" s="1" t="s">
        <v>941</v>
      </c>
      <c r="D247" s="1" t="s">
        <v>1144</v>
      </c>
      <c r="E247" s="1" t="s">
        <v>1145</v>
      </c>
      <c r="F247" s="1" t="s">
        <v>1146</v>
      </c>
      <c r="G247" s="1" t="s">
        <v>43</v>
      </c>
      <c r="H247" s="1" t="s">
        <v>945</v>
      </c>
      <c r="I247" s="1" t="s">
        <v>946</v>
      </c>
      <c r="J247" s="2"/>
      <c r="K247" s="2"/>
      <c r="L247" s="2"/>
      <c r="M247" s="2"/>
      <c r="N247" s="2"/>
      <c r="O247" s="2"/>
      <c r="P247" s="2"/>
      <c r="Q247" s="2"/>
      <c r="R247" s="2"/>
      <c r="S247" s="2"/>
      <c r="T247" s="2"/>
      <c r="U247" s="2"/>
      <c r="V247" s="2"/>
      <c r="W247" s="2"/>
      <c r="X247" s="2"/>
      <c r="Y247" s="2"/>
      <c r="Z247" s="2"/>
    </row>
    <row r="248">
      <c r="A248" s="2" t="s">
        <v>13</v>
      </c>
      <c r="B248" s="1" t="s">
        <v>1147</v>
      </c>
      <c r="C248" s="1" t="s">
        <v>941</v>
      </c>
      <c r="D248" s="1" t="s">
        <v>1148</v>
      </c>
      <c r="E248" s="1" t="s">
        <v>1149</v>
      </c>
      <c r="F248" s="1" t="s">
        <v>1150</v>
      </c>
      <c r="G248" s="1" t="s">
        <v>21</v>
      </c>
      <c r="H248" s="1" t="s">
        <v>247</v>
      </c>
      <c r="I248" s="1" t="s">
        <v>946</v>
      </c>
      <c r="J248" s="2"/>
      <c r="K248" s="2"/>
      <c r="L248" s="2"/>
      <c r="M248" s="2"/>
      <c r="N248" s="2"/>
      <c r="O248" s="2"/>
      <c r="P248" s="2"/>
      <c r="Q248" s="2"/>
      <c r="R248" s="2"/>
      <c r="S248" s="2"/>
      <c r="T248" s="2"/>
      <c r="U248" s="2"/>
      <c r="V248" s="2"/>
      <c r="W248" s="2"/>
      <c r="X248" s="2"/>
      <c r="Y248" s="2"/>
      <c r="Z248" s="2"/>
    </row>
    <row r="249">
      <c r="A249" s="2" t="s">
        <v>13</v>
      </c>
      <c r="B249" s="1" t="s">
        <v>1151</v>
      </c>
      <c r="C249" s="1" t="s">
        <v>941</v>
      </c>
      <c r="D249" s="1" t="s">
        <v>1152</v>
      </c>
      <c r="E249" s="1" t="s">
        <v>1153</v>
      </c>
      <c r="F249" s="1" t="s">
        <v>1154</v>
      </c>
      <c r="G249" s="1" t="s">
        <v>43</v>
      </c>
      <c r="H249" s="1" t="s">
        <v>1155</v>
      </c>
      <c r="I249" s="1" t="s">
        <v>946</v>
      </c>
      <c r="J249" s="2"/>
      <c r="K249" s="2"/>
      <c r="L249" s="2"/>
      <c r="M249" s="2"/>
      <c r="N249" s="2"/>
      <c r="O249" s="2"/>
      <c r="P249" s="2"/>
      <c r="Q249" s="2"/>
      <c r="R249" s="2"/>
      <c r="S249" s="2"/>
      <c r="T249" s="2"/>
      <c r="U249" s="2"/>
      <c r="V249" s="2"/>
      <c r="W249" s="2"/>
      <c r="X249" s="2"/>
      <c r="Y249" s="2"/>
      <c r="Z249" s="2"/>
    </row>
    <row r="250">
      <c r="A250" s="2" t="s">
        <v>13</v>
      </c>
      <c r="B250" s="1" t="s">
        <v>1156</v>
      </c>
      <c r="C250" s="1" t="s">
        <v>941</v>
      </c>
      <c r="D250" s="1" t="s">
        <v>1157</v>
      </c>
      <c r="E250" s="1" t="s">
        <v>1158</v>
      </c>
      <c r="F250" s="1" t="s">
        <v>1159</v>
      </c>
      <c r="G250" s="1" t="s">
        <v>21</v>
      </c>
      <c r="H250" s="1" t="s">
        <v>1160</v>
      </c>
      <c r="I250" s="1" t="s">
        <v>946</v>
      </c>
      <c r="J250" s="2"/>
      <c r="K250" s="2"/>
      <c r="L250" s="2"/>
      <c r="M250" s="2"/>
      <c r="N250" s="2"/>
      <c r="O250" s="2"/>
      <c r="P250" s="2"/>
      <c r="Q250" s="2"/>
      <c r="R250" s="2"/>
      <c r="S250" s="2"/>
      <c r="T250" s="2"/>
      <c r="U250" s="2"/>
      <c r="V250" s="2"/>
      <c r="W250" s="2"/>
      <c r="X250" s="2"/>
      <c r="Y250" s="2"/>
      <c r="Z250" s="2"/>
    </row>
    <row r="251">
      <c r="A251" s="2" t="s">
        <v>13</v>
      </c>
      <c r="B251" s="1" t="s">
        <v>1161</v>
      </c>
      <c r="C251" s="1" t="s">
        <v>941</v>
      </c>
      <c r="D251" s="1" t="s">
        <v>1162</v>
      </c>
      <c r="E251" s="1" t="s">
        <v>1163</v>
      </c>
      <c r="F251" s="1" t="s">
        <v>1164</v>
      </c>
      <c r="G251" s="1" t="s">
        <v>43</v>
      </c>
      <c r="H251" s="1" t="s">
        <v>945</v>
      </c>
      <c r="I251" s="1" t="s">
        <v>946</v>
      </c>
      <c r="J251" s="2"/>
      <c r="K251" s="2"/>
      <c r="L251" s="2"/>
      <c r="M251" s="2"/>
      <c r="N251" s="2"/>
      <c r="O251" s="2"/>
      <c r="P251" s="2"/>
      <c r="Q251" s="2"/>
      <c r="R251" s="2"/>
      <c r="S251" s="2"/>
      <c r="T251" s="2"/>
      <c r="U251" s="2"/>
      <c r="V251" s="2"/>
      <c r="W251" s="2"/>
      <c r="X251" s="2"/>
      <c r="Y251" s="2"/>
      <c r="Z251" s="2"/>
    </row>
    <row r="252">
      <c r="A252" s="2" t="s">
        <v>13</v>
      </c>
      <c r="B252" s="1" t="s">
        <v>1165</v>
      </c>
      <c r="C252" s="1" t="s">
        <v>941</v>
      </c>
      <c r="D252" s="1" t="s">
        <v>1166</v>
      </c>
      <c r="E252" s="1" t="s">
        <v>1167</v>
      </c>
      <c r="F252" s="1" t="s">
        <v>1168</v>
      </c>
      <c r="G252" s="1" t="s">
        <v>43</v>
      </c>
      <c r="H252" s="1" t="s">
        <v>945</v>
      </c>
      <c r="I252" s="1" t="s">
        <v>946</v>
      </c>
      <c r="J252" s="2"/>
      <c r="K252" s="2"/>
      <c r="L252" s="2"/>
      <c r="M252" s="2"/>
      <c r="N252" s="2"/>
      <c r="O252" s="2"/>
      <c r="P252" s="2"/>
      <c r="Q252" s="2"/>
      <c r="R252" s="2"/>
      <c r="S252" s="2"/>
      <c r="T252" s="2"/>
      <c r="U252" s="2"/>
      <c r="V252" s="2"/>
      <c r="W252" s="2"/>
      <c r="X252" s="2"/>
      <c r="Y252" s="2"/>
      <c r="Z252" s="2"/>
    </row>
    <row r="253">
      <c r="A253" s="2" t="s">
        <v>13</v>
      </c>
      <c r="B253" s="1" t="s">
        <v>1169</v>
      </c>
      <c r="C253" s="1" t="s">
        <v>941</v>
      </c>
      <c r="D253" s="1" t="s">
        <v>1170</v>
      </c>
      <c r="E253" s="1" t="s">
        <v>1171</v>
      </c>
      <c r="F253" s="1" t="s">
        <v>1172</v>
      </c>
      <c r="G253" s="1" t="s">
        <v>43</v>
      </c>
      <c r="H253" s="1" t="s">
        <v>945</v>
      </c>
      <c r="I253" s="1" t="s">
        <v>946</v>
      </c>
      <c r="J253" s="2"/>
      <c r="K253" s="2"/>
      <c r="L253" s="2"/>
      <c r="M253" s="2"/>
      <c r="N253" s="2"/>
      <c r="O253" s="2"/>
      <c r="P253" s="2"/>
      <c r="Q253" s="2"/>
      <c r="R253" s="2"/>
      <c r="S253" s="2"/>
      <c r="T253" s="2"/>
      <c r="U253" s="2"/>
      <c r="V253" s="2"/>
      <c r="W253" s="2"/>
      <c r="X253" s="2"/>
      <c r="Y253" s="2"/>
      <c r="Z253" s="2"/>
    </row>
    <row r="254">
      <c r="A254" s="2" t="s">
        <v>13</v>
      </c>
      <c r="B254" s="1" t="s">
        <v>1173</v>
      </c>
      <c r="C254" s="1" t="s">
        <v>941</v>
      </c>
      <c r="D254" s="1" t="s">
        <v>1174</v>
      </c>
      <c r="E254" s="1" t="s">
        <v>1175</v>
      </c>
      <c r="F254" s="1" t="s">
        <v>1176</v>
      </c>
      <c r="G254" s="1" t="s">
        <v>43</v>
      </c>
      <c r="H254" s="1" t="s">
        <v>945</v>
      </c>
      <c r="I254" s="1" t="s">
        <v>946</v>
      </c>
      <c r="J254" s="2"/>
      <c r="K254" s="2"/>
      <c r="L254" s="2"/>
      <c r="M254" s="2"/>
      <c r="N254" s="2"/>
      <c r="O254" s="2"/>
      <c r="P254" s="2"/>
      <c r="Q254" s="2"/>
      <c r="R254" s="2"/>
      <c r="S254" s="2"/>
      <c r="T254" s="2"/>
      <c r="U254" s="2"/>
      <c r="V254" s="2"/>
      <c r="W254" s="2"/>
      <c r="X254" s="2"/>
      <c r="Y254" s="2"/>
      <c r="Z254" s="2"/>
    </row>
    <row r="255">
      <c r="A255" s="2" t="s">
        <v>13</v>
      </c>
      <c r="B255" s="1" t="s">
        <v>1177</v>
      </c>
      <c r="C255" s="1" t="s">
        <v>941</v>
      </c>
      <c r="D255" s="1" t="s">
        <v>1178</v>
      </c>
      <c r="E255" s="1" t="s">
        <v>1179</v>
      </c>
      <c r="F255" s="1" t="s">
        <v>1180</v>
      </c>
      <c r="G255" s="1" t="s">
        <v>43</v>
      </c>
      <c r="H255" s="1" t="s">
        <v>945</v>
      </c>
      <c r="I255" s="1" t="s">
        <v>946</v>
      </c>
      <c r="J255" s="2"/>
      <c r="K255" s="2"/>
      <c r="L255" s="2"/>
      <c r="M255" s="2"/>
      <c r="N255" s="2"/>
      <c r="O255" s="2"/>
      <c r="P255" s="2"/>
      <c r="Q255" s="2"/>
      <c r="R255" s="2"/>
      <c r="S255" s="2"/>
      <c r="T255" s="2"/>
      <c r="U255" s="2"/>
      <c r="V255" s="2"/>
      <c r="W255" s="2"/>
      <c r="X255" s="2"/>
      <c r="Y255" s="2"/>
      <c r="Z255" s="2"/>
    </row>
    <row r="256">
      <c r="A256" s="2" t="s">
        <v>13</v>
      </c>
      <c r="B256" s="1" t="s">
        <v>1181</v>
      </c>
      <c r="C256" s="1" t="s">
        <v>941</v>
      </c>
      <c r="D256" s="1" t="s">
        <v>1182</v>
      </c>
      <c r="E256" s="1" t="s">
        <v>1183</v>
      </c>
      <c r="F256" s="1" t="s">
        <v>1184</v>
      </c>
      <c r="G256" s="1" t="s">
        <v>43</v>
      </c>
      <c r="H256" s="1" t="s">
        <v>945</v>
      </c>
      <c r="I256" s="1" t="s">
        <v>946</v>
      </c>
      <c r="J256" s="2"/>
      <c r="K256" s="2"/>
      <c r="L256" s="2"/>
      <c r="M256" s="2"/>
      <c r="N256" s="2"/>
      <c r="O256" s="2"/>
      <c r="P256" s="2"/>
      <c r="Q256" s="2"/>
      <c r="R256" s="2"/>
      <c r="S256" s="2"/>
      <c r="T256" s="2"/>
      <c r="U256" s="2"/>
      <c r="V256" s="2"/>
      <c r="W256" s="2"/>
      <c r="X256" s="2"/>
      <c r="Y256" s="2"/>
      <c r="Z256" s="2"/>
    </row>
    <row r="257">
      <c r="A257" s="2" t="s">
        <v>13</v>
      </c>
      <c r="B257" s="1" t="s">
        <v>1185</v>
      </c>
      <c r="C257" s="1" t="s">
        <v>941</v>
      </c>
      <c r="D257" s="1" t="s">
        <v>1186</v>
      </c>
      <c r="E257" s="1" t="s">
        <v>1187</v>
      </c>
      <c r="F257" s="1" t="s">
        <v>1188</v>
      </c>
      <c r="G257" s="1" t="s">
        <v>43</v>
      </c>
      <c r="H257" s="1" t="s">
        <v>945</v>
      </c>
      <c r="I257" s="1" t="s">
        <v>946</v>
      </c>
      <c r="J257" s="2"/>
      <c r="K257" s="2"/>
      <c r="L257" s="2"/>
      <c r="M257" s="2"/>
      <c r="N257" s="2"/>
      <c r="O257" s="2"/>
      <c r="P257" s="2"/>
      <c r="Q257" s="2"/>
      <c r="R257" s="2"/>
      <c r="S257" s="2"/>
      <c r="T257" s="2"/>
      <c r="U257" s="2"/>
      <c r="V257" s="2"/>
      <c r="W257" s="2"/>
      <c r="X257" s="2"/>
      <c r="Y257" s="2"/>
      <c r="Z257" s="2"/>
    </row>
    <row r="258">
      <c r="A258" s="2" t="s">
        <v>13</v>
      </c>
      <c r="B258" s="1" t="s">
        <v>1189</v>
      </c>
      <c r="C258" s="1" t="s">
        <v>941</v>
      </c>
      <c r="D258" s="1" t="s">
        <v>1190</v>
      </c>
      <c r="E258" s="1" t="s">
        <v>1191</v>
      </c>
      <c r="F258" s="1" t="s">
        <v>1192</v>
      </c>
      <c r="G258" s="1" t="s">
        <v>43</v>
      </c>
      <c r="H258" s="1" t="s">
        <v>945</v>
      </c>
      <c r="I258" s="1" t="s">
        <v>946</v>
      </c>
      <c r="J258" s="2"/>
      <c r="K258" s="2"/>
      <c r="L258" s="2"/>
      <c r="M258" s="2"/>
      <c r="N258" s="2"/>
      <c r="O258" s="2"/>
      <c r="P258" s="2"/>
      <c r="Q258" s="2"/>
      <c r="R258" s="2"/>
      <c r="S258" s="2"/>
      <c r="T258" s="2"/>
      <c r="U258" s="2"/>
      <c r="V258" s="2"/>
      <c r="W258" s="2"/>
      <c r="X258" s="2"/>
      <c r="Y258" s="2"/>
      <c r="Z258" s="2"/>
    </row>
    <row r="259">
      <c r="A259" s="2" t="s">
        <v>13</v>
      </c>
      <c r="B259" s="1" t="s">
        <v>1193</v>
      </c>
      <c r="C259" s="1" t="s">
        <v>1194</v>
      </c>
      <c r="D259" s="1" t="s">
        <v>1195</v>
      </c>
      <c r="E259" s="1" t="s">
        <v>1196</v>
      </c>
      <c r="F259" s="1" t="s">
        <v>1197</v>
      </c>
      <c r="G259" s="1" t="s">
        <v>43</v>
      </c>
      <c r="H259" s="1" t="s">
        <v>1198</v>
      </c>
      <c r="I259" s="1" t="s">
        <v>1199</v>
      </c>
      <c r="J259" s="2"/>
      <c r="K259" s="2"/>
      <c r="L259" s="2"/>
      <c r="M259" s="2"/>
      <c r="N259" s="2"/>
      <c r="O259" s="2"/>
      <c r="P259" s="2"/>
      <c r="Q259" s="2"/>
      <c r="R259" s="2"/>
      <c r="S259" s="2"/>
      <c r="T259" s="2"/>
      <c r="U259" s="2"/>
      <c r="V259" s="2"/>
      <c r="W259" s="2"/>
      <c r="X259" s="2"/>
      <c r="Y259" s="2"/>
      <c r="Z259" s="2"/>
    </row>
    <row r="260">
      <c r="A260" s="2" t="s">
        <v>13</v>
      </c>
      <c r="B260" s="1" t="s">
        <v>1200</v>
      </c>
      <c r="C260" s="1" t="s">
        <v>1194</v>
      </c>
      <c r="D260" s="1" t="s">
        <v>1201</v>
      </c>
      <c r="E260" s="1" t="s">
        <v>1202</v>
      </c>
      <c r="F260" s="1" t="s">
        <v>1203</v>
      </c>
      <c r="G260" s="1" t="s">
        <v>43</v>
      </c>
      <c r="H260" s="1" t="s">
        <v>1198</v>
      </c>
      <c r="I260" s="1" t="s">
        <v>1199</v>
      </c>
      <c r="J260" s="2"/>
      <c r="K260" s="2"/>
      <c r="L260" s="2"/>
      <c r="M260" s="2"/>
      <c r="N260" s="2"/>
      <c r="O260" s="2"/>
      <c r="P260" s="2"/>
      <c r="Q260" s="2"/>
      <c r="R260" s="2"/>
      <c r="S260" s="2"/>
      <c r="T260" s="2"/>
      <c r="U260" s="2"/>
      <c r="V260" s="2"/>
      <c r="W260" s="2"/>
      <c r="X260" s="2"/>
      <c r="Y260" s="2"/>
      <c r="Z260" s="2"/>
    </row>
    <row r="261">
      <c r="A261" s="2" t="s">
        <v>13</v>
      </c>
      <c r="B261" s="1" t="s">
        <v>1204</v>
      </c>
      <c r="C261" s="1" t="s">
        <v>1194</v>
      </c>
      <c r="D261" s="1" t="s">
        <v>1205</v>
      </c>
      <c r="E261" s="1" t="s">
        <v>1206</v>
      </c>
      <c r="F261" s="1" t="s">
        <v>1207</v>
      </c>
      <c r="G261" s="1" t="s">
        <v>43</v>
      </c>
      <c r="H261" s="1" t="s">
        <v>1198</v>
      </c>
      <c r="I261" s="1" t="s">
        <v>1199</v>
      </c>
      <c r="J261" s="2"/>
      <c r="K261" s="2"/>
      <c r="L261" s="2"/>
      <c r="M261" s="2"/>
      <c r="N261" s="2"/>
      <c r="O261" s="2"/>
      <c r="P261" s="2"/>
      <c r="Q261" s="2"/>
      <c r="R261" s="2"/>
      <c r="S261" s="2"/>
      <c r="T261" s="2"/>
      <c r="U261" s="2"/>
      <c r="V261" s="2"/>
      <c r="W261" s="2"/>
      <c r="X261" s="2"/>
      <c r="Y261" s="2"/>
      <c r="Z261" s="2"/>
    </row>
    <row r="262">
      <c r="A262" s="2" t="s">
        <v>13</v>
      </c>
      <c r="B262" s="1" t="s">
        <v>1208</v>
      </c>
      <c r="C262" s="1" t="s">
        <v>1194</v>
      </c>
      <c r="D262" s="1" t="s">
        <v>1209</v>
      </c>
      <c r="E262" s="1" t="s">
        <v>1210</v>
      </c>
      <c r="F262" s="1" t="s">
        <v>1211</v>
      </c>
      <c r="G262" s="1" t="s">
        <v>43</v>
      </c>
      <c r="H262" s="1" t="s">
        <v>1198</v>
      </c>
      <c r="I262" s="1" t="s">
        <v>1199</v>
      </c>
      <c r="J262" s="2"/>
      <c r="K262" s="2"/>
      <c r="L262" s="2"/>
      <c r="M262" s="2"/>
      <c r="N262" s="2"/>
      <c r="O262" s="2"/>
      <c r="P262" s="2"/>
      <c r="Q262" s="2"/>
      <c r="R262" s="2"/>
      <c r="S262" s="2"/>
      <c r="T262" s="2"/>
      <c r="U262" s="2"/>
      <c r="V262" s="2"/>
      <c r="W262" s="2"/>
      <c r="X262" s="2"/>
      <c r="Y262" s="2"/>
      <c r="Z262" s="2"/>
    </row>
    <row r="263">
      <c r="A263" s="2" t="s">
        <v>13</v>
      </c>
      <c r="B263" s="1" t="s">
        <v>1212</v>
      </c>
      <c r="C263" s="1" t="s">
        <v>1194</v>
      </c>
      <c r="D263" s="1" t="s">
        <v>1213</v>
      </c>
      <c r="E263" s="1" t="s">
        <v>1214</v>
      </c>
      <c r="F263" s="1" t="s">
        <v>1215</v>
      </c>
      <c r="G263" s="1" t="s">
        <v>43</v>
      </c>
      <c r="H263" s="1" t="s">
        <v>1198</v>
      </c>
      <c r="I263" s="1" t="s">
        <v>1199</v>
      </c>
      <c r="J263" s="2"/>
      <c r="K263" s="2"/>
      <c r="L263" s="2"/>
      <c r="M263" s="2"/>
      <c r="N263" s="2"/>
      <c r="O263" s="2"/>
      <c r="P263" s="2"/>
      <c r="Q263" s="2"/>
      <c r="R263" s="2"/>
      <c r="S263" s="2"/>
      <c r="T263" s="2"/>
      <c r="U263" s="2"/>
      <c r="V263" s="2"/>
      <c r="W263" s="2"/>
      <c r="X263" s="2"/>
      <c r="Y263" s="2"/>
      <c r="Z263" s="2"/>
    </row>
    <row r="264">
      <c r="A264" s="2" t="s">
        <v>13</v>
      </c>
      <c r="B264" s="1" t="s">
        <v>1216</v>
      </c>
      <c r="C264" s="1" t="s">
        <v>1194</v>
      </c>
      <c r="D264" s="1" t="s">
        <v>1217</v>
      </c>
      <c r="E264" s="1" t="s">
        <v>1218</v>
      </c>
      <c r="F264" s="1" t="s">
        <v>1219</v>
      </c>
      <c r="G264" s="1" t="s">
        <v>43</v>
      </c>
      <c r="H264" s="1" t="s">
        <v>1198</v>
      </c>
      <c r="I264" s="1" t="s">
        <v>1199</v>
      </c>
      <c r="J264" s="2"/>
      <c r="K264" s="2"/>
      <c r="L264" s="2"/>
      <c r="M264" s="2"/>
      <c r="N264" s="2"/>
      <c r="O264" s="2"/>
      <c r="P264" s="2"/>
      <c r="Q264" s="2"/>
      <c r="R264" s="2"/>
      <c r="S264" s="2"/>
      <c r="T264" s="2"/>
      <c r="U264" s="2"/>
      <c r="V264" s="2"/>
      <c r="W264" s="2"/>
      <c r="X264" s="2"/>
      <c r="Y264" s="2"/>
      <c r="Z264" s="2"/>
    </row>
    <row r="265">
      <c r="A265" s="2" t="s">
        <v>13</v>
      </c>
      <c r="B265" s="1" t="s">
        <v>1220</v>
      </c>
      <c r="C265" s="1" t="s">
        <v>1194</v>
      </c>
      <c r="D265" s="1" t="s">
        <v>1221</v>
      </c>
      <c r="E265" s="1" t="s">
        <v>1222</v>
      </c>
      <c r="F265" s="1" t="s">
        <v>1223</v>
      </c>
      <c r="G265" s="1" t="s">
        <v>43</v>
      </c>
      <c r="H265" s="1" t="s">
        <v>1198</v>
      </c>
      <c r="I265" s="1" t="s">
        <v>1199</v>
      </c>
      <c r="J265" s="2"/>
      <c r="K265" s="2"/>
      <c r="L265" s="2"/>
      <c r="M265" s="2"/>
      <c r="N265" s="2"/>
      <c r="O265" s="2"/>
      <c r="P265" s="2"/>
      <c r="Q265" s="2"/>
      <c r="R265" s="2"/>
      <c r="S265" s="2"/>
      <c r="T265" s="2"/>
      <c r="U265" s="2"/>
      <c r="V265" s="2"/>
      <c r="W265" s="2"/>
      <c r="X265" s="2"/>
      <c r="Y265" s="2"/>
      <c r="Z265" s="2"/>
    </row>
    <row r="266">
      <c r="A266" s="2" t="s">
        <v>13</v>
      </c>
      <c r="B266" s="1" t="s">
        <v>1224</v>
      </c>
      <c r="C266" s="1" t="s">
        <v>1194</v>
      </c>
      <c r="D266" s="1" t="s">
        <v>1225</v>
      </c>
      <c r="E266" s="1" t="s">
        <v>1226</v>
      </c>
      <c r="F266" s="1" t="s">
        <v>1227</v>
      </c>
      <c r="G266" s="1" t="s">
        <v>43</v>
      </c>
      <c r="H266" s="1" t="s">
        <v>1198</v>
      </c>
      <c r="I266" s="1" t="s">
        <v>1199</v>
      </c>
      <c r="J266" s="2"/>
      <c r="K266" s="2"/>
      <c r="L266" s="2"/>
      <c r="M266" s="2"/>
      <c r="N266" s="2"/>
      <c r="O266" s="2"/>
      <c r="P266" s="2"/>
      <c r="Q266" s="2"/>
      <c r="R266" s="2"/>
      <c r="S266" s="2"/>
      <c r="T266" s="2"/>
      <c r="U266" s="2"/>
      <c r="V266" s="2"/>
      <c r="W266" s="2"/>
      <c r="X266" s="2"/>
      <c r="Y266" s="2"/>
      <c r="Z266" s="2"/>
    </row>
    <row r="267">
      <c r="A267" s="2" t="s">
        <v>13</v>
      </c>
      <c r="B267" s="1" t="s">
        <v>1228</v>
      </c>
      <c r="C267" s="1" t="s">
        <v>1194</v>
      </c>
      <c r="D267" s="1" t="s">
        <v>1229</v>
      </c>
      <c r="E267" s="1" t="s">
        <v>1230</v>
      </c>
      <c r="F267" s="1" t="s">
        <v>1231</v>
      </c>
      <c r="G267" s="1" t="s">
        <v>43</v>
      </c>
      <c r="H267" s="1" t="s">
        <v>1198</v>
      </c>
      <c r="I267" s="1" t="s">
        <v>1199</v>
      </c>
      <c r="J267" s="2"/>
      <c r="K267" s="2"/>
      <c r="L267" s="2"/>
      <c r="M267" s="2"/>
      <c r="N267" s="2"/>
      <c r="O267" s="2"/>
      <c r="P267" s="2"/>
      <c r="Q267" s="2"/>
      <c r="R267" s="2"/>
      <c r="S267" s="2"/>
      <c r="T267" s="2"/>
      <c r="U267" s="2"/>
      <c r="V267" s="2"/>
      <c r="W267" s="2"/>
      <c r="X267" s="2"/>
      <c r="Y267" s="2"/>
      <c r="Z267" s="2"/>
    </row>
    <row r="268">
      <c r="A268" s="2" t="s">
        <v>13</v>
      </c>
      <c r="B268" s="1" t="s">
        <v>1232</v>
      </c>
      <c r="C268" s="1" t="s">
        <v>1194</v>
      </c>
      <c r="D268" s="1" t="s">
        <v>1233</v>
      </c>
      <c r="E268" s="1" t="s">
        <v>1234</v>
      </c>
      <c r="F268" s="1" t="s">
        <v>1235</v>
      </c>
      <c r="G268" s="1" t="s">
        <v>43</v>
      </c>
      <c r="H268" s="1" t="s">
        <v>569</v>
      </c>
      <c r="I268" s="1" t="s">
        <v>1199</v>
      </c>
      <c r="J268" s="2"/>
      <c r="K268" s="2"/>
      <c r="L268" s="2"/>
      <c r="M268" s="2"/>
      <c r="N268" s="2"/>
      <c r="O268" s="2"/>
      <c r="P268" s="2"/>
      <c r="Q268" s="2"/>
      <c r="R268" s="2"/>
      <c r="S268" s="2"/>
      <c r="T268" s="2"/>
      <c r="U268" s="2"/>
      <c r="V268" s="2"/>
      <c r="W268" s="2"/>
      <c r="X268" s="2"/>
      <c r="Y268" s="2"/>
      <c r="Z268" s="2"/>
    </row>
    <row r="269">
      <c r="A269" s="2" t="s">
        <v>13</v>
      </c>
      <c r="B269" s="1" t="s">
        <v>1236</v>
      </c>
      <c r="C269" s="1" t="s">
        <v>1194</v>
      </c>
      <c r="D269" s="1" t="s">
        <v>1237</v>
      </c>
      <c r="E269" s="1" t="s">
        <v>1238</v>
      </c>
      <c r="F269" s="1" t="s">
        <v>1239</v>
      </c>
      <c r="G269" s="1" t="s">
        <v>43</v>
      </c>
      <c r="H269" s="1" t="s">
        <v>569</v>
      </c>
      <c r="I269" s="1" t="s">
        <v>1199</v>
      </c>
      <c r="J269" s="2"/>
      <c r="K269" s="2"/>
      <c r="L269" s="2"/>
      <c r="M269" s="2"/>
      <c r="N269" s="2"/>
      <c r="O269" s="2"/>
      <c r="P269" s="2"/>
      <c r="Q269" s="2"/>
      <c r="R269" s="2"/>
      <c r="S269" s="2"/>
      <c r="T269" s="2"/>
      <c r="U269" s="2"/>
      <c r="V269" s="2"/>
      <c r="W269" s="2"/>
      <c r="X269" s="2"/>
      <c r="Y269" s="2"/>
      <c r="Z269" s="2"/>
    </row>
    <row r="270">
      <c r="A270" s="2" t="s">
        <v>13</v>
      </c>
      <c r="B270" s="1" t="s">
        <v>1240</v>
      </c>
      <c r="C270" s="1" t="s">
        <v>1194</v>
      </c>
      <c r="D270" s="1" t="s">
        <v>1241</v>
      </c>
      <c r="E270" s="1" t="s">
        <v>1242</v>
      </c>
      <c r="F270" s="1" t="s">
        <v>1243</v>
      </c>
      <c r="G270" s="1" t="s">
        <v>43</v>
      </c>
      <c r="H270" s="1" t="s">
        <v>569</v>
      </c>
      <c r="I270" s="1" t="s">
        <v>1199</v>
      </c>
      <c r="J270" s="2"/>
      <c r="K270" s="2"/>
      <c r="L270" s="2"/>
      <c r="M270" s="2"/>
      <c r="N270" s="2"/>
      <c r="O270" s="2"/>
      <c r="P270" s="2"/>
      <c r="Q270" s="2"/>
      <c r="R270" s="2"/>
      <c r="S270" s="2"/>
      <c r="T270" s="2"/>
      <c r="U270" s="2"/>
      <c r="V270" s="2"/>
      <c r="W270" s="2"/>
      <c r="X270" s="2"/>
      <c r="Y270" s="2"/>
      <c r="Z270" s="2"/>
    </row>
    <row r="271">
      <c r="A271" s="2" t="s">
        <v>13</v>
      </c>
      <c r="B271" s="1" t="s">
        <v>1244</v>
      </c>
      <c r="C271" s="1" t="s">
        <v>1194</v>
      </c>
      <c r="D271" s="1" t="s">
        <v>1245</v>
      </c>
      <c r="E271" s="1" t="s">
        <v>1246</v>
      </c>
      <c r="F271" s="1" t="s">
        <v>1247</v>
      </c>
      <c r="G271" s="1" t="s">
        <v>43</v>
      </c>
      <c r="H271" s="1" t="s">
        <v>1198</v>
      </c>
      <c r="I271" s="1" t="s">
        <v>1199</v>
      </c>
      <c r="J271" s="2"/>
      <c r="K271" s="2"/>
      <c r="L271" s="2"/>
      <c r="M271" s="2"/>
      <c r="N271" s="2"/>
      <c r="O271" s="2"/>
      <c r="P271" s="2"/>
      <c r="Q271" s="2"/>
      <c r="R271" s="2"/>
      <c r="S271" s="2"/>
      <c r="T271" s="2"/>
      <c r="U271" s="2"/>
      <c r="V271" s="2"/>
      <c r="W271" s="2"/>
      <c r="X271" s="2"/>
      <c r="Y271" s="2"/>
      <c r="Z271" s="2"/>
    </row>
    <row r="272">
      <c r="A272" s="2" t="s">
        <v>13</v>
      </c>
      <c r="B272" s="1" t="s">
        <v>1248</v>
      </c>
      <c r="C272" s="1" t="s">
        <v>1194</v>
      </c>
      <c r="D272" s="1" t="s">
        <v>1249</v>
      </c>
      <c r="E272" s="1" t="s">
        <v>1250</v>
      </c>
      <c r="F272" s="1" t="s">
        <v>1251</v>
      </c>
      <c r="G272" s="1" t="s">
        <v>21</v>
      </c>
      <c r="H272" s="1" t="s">
        <v>1198</v>
      </c>
      <c r="I272" s="1" t="s">
        <v>1199</v>
      </c>
      <c r="J272" s="2"/>
      <c r="K272" s="2"/>
      <c r="L272" s="2"/>
      <c r="M272" s="2"/>
      <c r="N272" s="2"/>
      <c r="O272" s="2"/>
      <c r="P272" s="2"/>
      <c r="Q272" s="2"/>
      <c r="R272" s="2"/>
      <c r="S272" s="2"/>
      <c r="T272" s="2"/>
      <c r="U272" s="2"/>
      <c r="V272" s="2"/>
      <c r="W272" s="2"/>
      <c r="X272" s="2"/>
      <c r="Y272" s="2"/>
      <c r="Z272" s="2"/>
    </row>
    <row r="273">
      <c r="A273" s="2" t="s">
        <v>13</v>
      </c>
      <c r="B273" s="1" t="s">
        <v>1252</v>
      </c>
      <c r="C273" s="1" t="s">
        <v>1194</v>
      </c>
      <c r="D273" s="1" t="s">
        <v>1253</v>
      </c>
      <c r="E273" s="1" t="s">
        <v>1254</v>
      </c>
      <c r="F273" s="1" t="s">
        <v>1255</v>
      </c>
      <c r="G273" s="1" t="s">
        <v>43</v>
      </c>
      <c r="H273" s="1" t="s">
        <v>1198</v>
      </c>
      <c r="I273" s="1" t="s">
        <v>1199</v>
      </c>
      <c r="J273" s="2"/>
      <c r="K273" s="2"/>
      <c r="L273" s="2"/>
      <c r="M273" s="2"/>
      <c r="N273" s="2"/>
      <c r="O273" s="2"/>
      <c r="P273" s="2"/>
      <c r="Q273" s="2"/>
      <c r="R273" s="2"/>
      <c r="S273" s="2"/>
      <c r="T273" s="2"/>
      <c r="U273" s="2"/>
      <c r="V273" s="2"/>
      <c r="W273" s="2"/>
      <c r="X273" s="2"/>
      <c r="Y273" s="2"/>
      <c r="Z273" s="2"/>
    </row>
    <row r="274">
      <c r="A274" s="2" t="s">
        <v>13</v>
      </c>
      <c r="B274" s="1" t="s">
        <v>1256</v>
      </c>
      <c r="C274" s="1" t="s">
        <v>1194</v>
      </c>
      <c r="D274" s="1" t="s">
        <v>1257</v>
      </c>
      <c r="E274" s="1" t="s">
        <v>1258</v>
      </c>
      <c r="F274" s="1" t="s">
        <v>1259</v>
      </c>
      <c r="G274" s="1" t="s">
        <v>43</v>
      </c>
      <c r="H274" s="1" t="s">
        <v>1198</v>
      </c>
      <c r="I274" s="1" t="s">
        <v>1199</v>
      </c>
      <c r="J274" s="2"/>
      <c r="K274" s="2"/>
      <c r="L274" s="2"/>
      <c r="M274" s="2"/>
      <c r="N274" s="2"/>
      <c r="O274" s="2"/>
      <c r="P274" s="2"/>
      <c r="Q274" s="2"/>
      <c r="R274" s="2"/>
      <c r="S274" s="2"/>
      <c r="T274" s="2"/>
      <c r="U274" s="2"/>
      <c r="V274" s="2"/>
      <c r="W274" s="2"/>
      <c r="X274" s="2"/>
      <c r="Y274" s="2"/>
      <c r="Z274" s="2"/>
    </row>
    <row r="275">
      <c r="A275" s="2" t="s">
        <v>13</v>
      </c>
      <c r="B275" s="1" t="s">
        <v>1260</v>
      </c>
      <c r="C275" s="1" t="s">
        <v>1194</v>
      </c>
      <c r="D275" s="1" t="s">
        <v>1261</v>
      </c>
      <c r="E275" s="1" t="s">
        <v>1262</v>
      </c>
      <c r="F275" s="1" t="s">
        <v>1263</v>
      </c>
      <c r="G275" s="1" t="s">
        <v>21</v>
      </c>
      <c r="H275" s="1" t="s">
        <v>247</v>
      </c>
      <c r="I275" s="1" t="s">
        <v>1199</v>
      </c>
      <c r="J275" s="2"/>
      <c r="K275" s="2"/>
      <c r="L275" s="2"/>
      <c r="M275" s="2"/>
      <c r="N275" s="2"/>
      <c r="O275" s="2"/>
      <c r="P275" s="2"/>
      <c r="Q275" s="2"/>
      <c r="R275" s="2"/>
      <c r="S275" s="2"/>
      <c r="T275" s="2"/>
      <c r="U275" s="2"/>
      <c r="V275" s="2"/>
      <c r="W275" s="2"/>
      <c r="X275" s="2"/>
      <c r="Y275" s="2"/>
      <c r="Z275" s="2"/>
    </row>
    <row r="276">
      <c r="A276" s="2" t="s">
        <v>13</v>
      </c>
      <c r="B276" s="1" t="s">
        <v>1264</v>
      </c>
      <c r="C276" s="1" t="s">
        <v>1194</v>
      </c>
      <c r="D276" s="1" t="s">
        <v>1265</v>
      </c>
      <c r="E276" s="1" t="s">
        <v>1266</v>
      </c>
      <c r="F276" s="1" t="s">
        <v>1267</v>
      </c>
      <c r="G276" s="1" t="s">
        <v>43</v>
      </c>
      <c r="H276" s="1" t="s">
        <v>1155</v>
      </c>
      <c r="I276" s="1" t="s">
        <v>1199</v>
      </c>
      <c r="J276" s="2"/>
      <c r="K276" s="2"/>
      <c r="L276" s="2"/>
      <c r="M276" s="2"/>
      <c r="N276" s="2"/>
      <c r="O276" s="2"/>
      <c r="P276" s="2"/>
      <c r="Q276" s="2"/>
      <c r="R276" s="2"/>
      <c r="S276" s="2"/>
      <c r="T276" s="2"/>
      <c r="U276" s="2"/>
      <c r="V276" s="2"/>
      <c r="W276" s="2"/>
      <c r="X276" s="2"/>
      <c r="Y276" s="2"/>
      <c r="Z276" s="2"/>
    </row>
    <row r="277">
      <c r="A277" s="2" t="s">
        <v>13</v>
      </c>
      <c r="B277" s="1" t="s">
        <v>1268</v>
      </c>
      <c r="C277" s="1" t="s">
        <v>1194</v>
      </c>
      <c r="D277" s="1" t="s">
        <v>1269</v>
      </c>
      <c r="E277" s="1" t="s">
        <v>1270</v>
      </c>
      <c r="F277" s="1" t="s">
        <v>1271</v>
      </c>
      <c r="G277" s="1" t="s">
        <v>21</v>
      </c>
      <c r="H277" s="1" t="s">
        <v>1160</v>
      </c>
      <c r="I277" s="1" t="s">
        <v>1199</v>
      </c>
      <c r="J277" s="2"/>
      <c r="K277" s="2"/>
      <c r="L277" s="2"/>
      <c r="M277" s="2"/>
      <c r="N277" s="2"/>
      <c r="O277" s="2"/>
      <c r="P277" s="2"/>
      <c r="Q277" s="2"/>
      <c r="R277" s="2"/>
      <c r="S277" s="2"/>
      <c r="T277" s="2"/>
      <c r="U277" s="2"/>
      <c r="V277" s="2"/>
      <c r="W277" s="2"/>
      <c r="X277" s="2"/>
      <c r="Y277" s="2"/>
      <c r="Z277" s="2"/>
    </row>
    <row r="278">
      <c r="A278" s="2" t="s">
        <v>13</v>
      </c>
      <c r="B278" s="1" t="s">
        <v>1272</v>
      </c>
      <c r="C278" s="1" t="s">
        <v>1194</v>
      </c>
      <c r="D278" s="1" t="s">
        <v>1273</v>
      </c>
      <c r="E278" s="1" t="s">
        <v>1274</v>
      </c>
      <c r="F278" s="1" t="s">
        <v>1275</v>
      </c>
      <c r="G278" s="1" t="s">
        <v>43</v>
      </c>
      <c r="H278" s="1" t="s">
        <v>1198</v>
      </c>
      <c r="I278" s="1" t="s">
        <v>1199</v>
      </c>
      <c r="J278" s="2"/>
      <c r="K278" s="2"/>
      <c r="L278" s="2"/>
      <c r="M278" s="2"/>
      <c r="N278" s="2"/>
      <c r="O278" s="2"/>
      <c r="P278" s="2"/>
      <c r="Q278" s="2"/>
      <c r="R278" s="2"/>
      <c r="S278" s="2"/>
      <c r="T278" s="2"/>
      <c r="U278" s="2"/>
      <c r="V278" s="2"/>
      <c r="W278" s="2"/>
      <c r="X278" s="2"/>
      <c r="Y278" s="2"/>
      <c r="Z278" s="2"/>
    </row>
    <row r="279">
      <c r="A279" s="2" t="s">
        <v>13</v>
      </c>
      <c r="B279" s="1" t="s">
        <v>1276</v>
      </c>
      <c r="C279" s="1" t="s">
        <v>1194</v>
      </c>
      <c r="D279" s="1" t="s">
        <v>1277</v>
      </c>
      <c r="E279" s="1" t="s">
        <v>1278</v>
      </c>
      <c r="F279" s="1" t="s">
        <v>1279</v>
      </c>
      <c r="G279" s="1" t="s">
        <v>43</v>
      </c>
      <c r="H279" s="1" t="s">
        <v>1198</v>
      </c>
      <c r="I279" s="1" t="s">
        <v>1199</v>
      </c>
      <c r="J279" s="2"/>
      <c r="K279" s="2"/>
      <c r="L279" s="2"/>
      <c r="M279" s="2"/>
      <c r="N279" s="2"/>
      <c r="O279" s="2"/>
      <c r="P279" s="2"/>
      <c r="Q279" s="2"/>
      <c r="R279" s="2"/>
      <c r="S279" s="2"/>
      <c r="T279" s="2"/>
      <c r="U279" s="2"/>
      <c r="V279" s="2"/>
      <c r="W279" s="2"/>
      <c r="X279" s="2"/>
      <c r="Y279" s="2"/>
      <c r="Z279" s="2"/>
    </row>
    <row r="280">
      <c r="A280" s="2" t="s">
        <v>13</v>
      </c>
      <c r="B280" s="1" t="s">
        <v>1280</v>
      </c>
      <c r="C280" s="1" t="s">
        <v>1194</v>
      </c>
      <c r="D280" s="1" t="s">
        <v>1281</v>
      </c>
      <c r="E280" s="1" t="s">
        <v>1282</v>
      </c>
      <c r="F280" s="1" t="s">
        <v>1283</v>
      </c>
      <c r="G280" s="1" t="s">
        <v>43</v>
      </c>
      <c r="H280" s="1" t="s">
        <v>1198</v>
      </c>
      <c r="I280" s="1" t="s">
        <v>1199</v>
      </c>
      <c r="J280" s="2"/>
      <c r="K280" s="2"/>
      <c r="L280" s="2"/>
      <c r="M280" s="2"/>
      <c r="N280" s="2"/>
      <c r="O280" s="2"/>
      <c r="P280" s="2"/>
      <c r="Q280" s="2"/>
      <c r="R280" s="2"/>
      <c r="S280" s="2"/>
      <c r="T280" s="2"/>
      <c r="U280" s="2"/>
      <c r="V280" s="2"/>
      <c r="W280" s="2"/>
      <c r="X280" s="2"/>
      <c r="Y280" s="2"/>
      <c r="Z280" s="2"/>
    </row>
    <row r="281">
      <c r="A281" s="2" t="s">
        <v>13</v>
      </c>
      <c r="B281" s="1" t="s">
        <v>1284</v>
      </c>
      <c r="C281" s="1" t="s">
        <v>1194</v>
      </c>
      <c r="D281" s="1" t="s">
        <v>1285</v>
      </c>
      <c r="E281" s="1" t="s">
        <v>1286</v>
      </c>
      <c r="F281" s="1" t="s">
        <v>1287</v>
      </c>
      <c r="G281" s="1" t="s">
        <v>43</v>
      </c>
      <c r="H281" s="1" t="s">
        <v>1198</v>
      </c>
      <c r="I281" s="1" t="s">
        <v>1199</v>
      </c>
      <c r="J281" s="2"/>
      <c r="K281" s="2"/>
      <c r="L281" s="2"/>
      <c r="M281" s="2"/>
      <c r="N281" s="2"/>
      <c r="O281" s="2"/>
      <c r="P281" s="2"/>
      <c r="Q281" s="2"/>
      <c r="R281" s="2"/>
      <c r="S281" s="2"/>
      <c r="T281" s="2"/>
      <c r="U281" s="2"/>
      <c r="V281" s="2"/>
      <c r="W281" s="2"/>
      <c r="X281" s="2"/>
      <c r="Y281" s="2"/>
      <c r="Z281" s="2"/>
    </row>
    <row r="282">
      <c r="A282" s="2" t="s">
        <v>13</v>
      </c>
      <c r="B282" s="1" t="s">
        <v>1288</v>
      </c>
      <c r="C282" s="1" t="s">
        <v>1194</v>
      </c>
      <c r="D282" s="1" t="s">
        <v>1289</v>
      </c>
      <c r="E282" s="1" t="s">
        <v>1290</v>
      </c>
      <c r="F282" s="1" t="s">
        <v>1291</v>
      </c>
      <c r="G282" s="1" t="s">
        <v>43</v>
      </c>
      <c r="H282" s="1" t="s">
        <v>1198</v>
      </c>
      <c r="I282" s="1" t="s">
        <v>1199</v>
      </c>
      <c r="J282" s="2"/>
      <c r="K282" s="2"/>
      <c r="L282" s="2"/>
      <c r="M282" s="2"/>
      <c r="N282" s="2"/>
      <c r="O282" s="2"/>
      <c r="P282" s="2"/>
      <c r="Q282" s="2"/>
      <c r="R282" s="2"/>
      <c r="S282" s="2"/>
      <c r="T282" s="2"/>
      <c r="U282" s="2"/>
      <c r="V282" s="2"/>
      <c r="W282" s="2"/>
      <c r="X282" s="2"/>
      <c r="Y282" s="2"/>
      <c r="Z282" s="2"/>
    </row>
    <row r="283">
      <c r="A283" s="2" t="s">
        <v>13</v>
      </c>
      <c r="B283" s="1" t="s">
        <v>1292</v>
      </c>
      <c r="C283" s="1" t="s">
        <v>1194</v>
      </c>
      <c r="D283" s="1" t="s">
        <v>1293</v>
      </c>
      <c r="E283" s="1" t="s">
        <v>1294</v>
      </c>
      <c r="F283" s="1" t="s">
        <v>1295</v>
      </c>
      <c r="G283" s="1" t="s">
        <v>43</v>
      </c>
      <c r="H283" s="1" t="s">
        <v>1198</v>
      </c>
      <c r="I283" s="1" t="s">
        <v>1199</v>
      </c>
      <c r="J283" s="2"/>
      <c r="K283" s="2"/>
      <c r="L283" s="2"/>
      <c r="M283" s="2"/>
      <c r="N283" s="2"/>
      <c r="O283" s="2"/>
      <c r="P283" s="2"/>
      <c r="Q283" s="2"/>
      <c r="R283" s="2"/>
      <c r="S283" s="2"/>
      <c r="T283" s="2"/>
      <c r="U283" s="2"/>
      <c r="V283" s="2"/>
      <c r="W283" s="2"/>
      <c r="X283" s="2"/>
      <c r="Y283" s="2"/>
      <c r="Z283" s="2"/>
    </row>
    <row r="284">
      <c r="A284" s="2" t="s">
        <v>13</v>
      </c>
      <c r="B284" s="1" t="s">
        <v>1296</v>
      </c>
      <c r="C284" s="1" t="s">
        <v>1194</v>
      </c>
      <c r="D284" s="1" t="s">
        <v>1297</v>
      </c>
      <c r="E284" s="1" t="s">
        <v>1298</v>
      </c>
      <c r="F284" s="1" t="s">
        <v>1299</v>
      </c>
      <c r="G284" s="1" t="s">
        <v>43</v>
      </c>
      <c r="H284" s="1" t="s">
        <v>1198</v>
      </c>
      <c r="I284" s="1" t="s">
        <v>1199</v>
      </c>
      <c r="J284" s="2"/>
      <c r="K284" s="2"/>
      <c r="L284" s="2"/>
      <c r="M284" s="2"/>
      <c r="N284" s="2"/>
      <c r="O284" s="2"/>
      <c r="P284" s="2"/>
      <c r="Q284" s="2"/>
      <c r="R284" s="2"/>
      <c r="S284" s="2"/>
      <c r="T284" s="2"/>
      <c r="U284" s="2"/>
      <c r="V284" s="2"/>
      <c r="W284" s="2"/>
      <c r="X284" s="2"/>
      <c r="Y284" s="2"/>
      <c r="Z284" s="2"/>
    </row>
    <row r="285">
      <c r="A285" s="2" t="s">
        <v>13</v>
      </c>
      <c r="B285" s="1" t="s">
        <v>1300</v>
      </c>
      <c r="C285" s="1" t="s">
        <v>1194</v>
      </c>
      <c r="D285" s="1" t="s">
        <v>1301</v>
      </c>
      <c r="E285" s="1" t="s">
        <v>1302</v>
      </c>
      <c r="F285" s="1" t="s">
        <v>1303</v>
      </c>
      <c r="G285" s="1" t="s">
        <v>43</v>
      </c>
      <c r="H285" s="1" t="s">
        <v>1198</v>
      </c>
      <c r="I285" s="1" t="s">
        <v>1199</v>
      </c>
      <c r="J285" s="2"/>
      <c r="K285" s="2"/>
      <c r="L285" s="2"/>
      <c r="M285" s="2"/>
      <c r="N285" s="2"/>
      <c r="O285" s="2"/>
      <c r="P285" s="2"/>
      <c r="Q285" s="2"/>
      <c r="R285" s="2"/>
      <c r="S285" s="2"/>
      <c r="T285" s="2"/>
      <c r="U285" s="2"/>
      <c r="V285" s="2"/>
      <c r="W285" s="2"/>
      <c r="X285" s="2"/>
      <c r="Y285" s="2"/>
      <c r="Z285" s="2"/>
    </row>
    <row r="286">
      <c r="A286" s="2" t="s">
        <v>13</v>
      </c>
      <c r="B286" s="1" t="s">
        <v>1304</v>
      </c>
      <c r="C286" s="1" t="s">
        <v>1194</v>
      </c>
      <c r="D286" s="1" t="s">
        <v>1305</v>
      </c>
      <c r="E286" s="1" t="s">
        <v>1306</v>
      </c>
      <c r="F286" s="1" t="s">
        <v>1307</v>
      </c>
      <c r="G286" s="1" t="s">
        <v>43</v>
      </c>
      <c r="H286" s="1" t="s">
        <v>1198</v>
      </c>
      <c r="I286" s="1" t="s">
        <v>1199</v>
      </c>
      <c r="J286" s="2"/>
      <c r="K286" s="2"/>
      <c r="L286" s="2"/>
      <c r="M286" s="2"/>
      <c r="N286" s="2"/>
      <c r="O286" s="2"/>
      <c r="P286" s="2"/>
      <c r="Q286" s="2"/>
      <c r="R286" s="2"/>
      <c r="S286" s="2"/>
      <c r="T286" s="2"/>
      <c r="U286" s="2"/>
      <c r="V286" s="2"/>
      <c r="W286" s="2"/>
      <c r="X286" s="2"/>
      <c r="Y286" s="2"/>
      <c r="Z286" s="2"/>
    </row>
    <row r="287">
      <c r="A287" s="2" t="s">
        <v>13</v>
      </c>
      <c r="B287" s="1" t="s">
        <v>1309</v>
      </c>
      <c r="C287" s="1" t="s">
        <v>1310</v>
      </c>
      <c r="D287" s="1" t="s">
        <v>1311</v>
      </c>
      <c r="E287" s="1" t="s">
        <v>1312</v>
      </c>
      <c r="F287" s="1" t="s">
        <v>1313</v>
      </c>
      <c r="G287" s="1" t="s">
        <v>43</v>
      </c>
      <c r="H287" s="1" t="s">
        <v>1314</v>
      </c>
      <c r="I287" s="1" t="s">
        <v>1315</v>
      </c>
      <c r="J287" s="2"/>
      <c r="K287" s="2"/>
      <c r="L287" s="2"/>
      <c r="M287" s="2"/>
      <c r="N287" s="2"/>
      <c r="O287" s="2"/>
      <c r="P287" s="2"/>
      <c r="Q287" s="2"/>
      <c r="R287" s="2"/>
      <c r="S287" s="2"/>
      <c r="T287" s="2"/>
      <c r="U287" s="2"/>
      <c r="V287" s="2"/>
      <c r="W287" s="2"/>
      <c r="X287" s="2"/>
      <c r="Y287" s="2"/>
      <c r="Z287" s="2"/>
    </row>
    <row r="288">
      <c r="A288" s="2" t="s">
        <v>13</v>
      </c>
      <c r="B288" s="1" t="s">
        <v>1318</v>
      </c>
      <c r="C288" s="1" t="s">
        <v>1310</v>
      </c>
      <c r="D288" s="1" t="s">
        <v>1320</v>
      </c>
      <c r="E288" s="1" t="s">
        <v>1322</v>
      </c>
      <c r="F288" s="1" t="s">
        <v>1323</v>
      </c>
      <c r="G288" s="1" t="s">
        <v>73</v>
      </c>
      <c r="H288" s="1" t="s">
        <v>1314</v>
      </c>
      <c r="I288" s="1" t="s">
        <v>1315</v>
      </c>
      <c r="J288" s="2"/>
      <c r="K288" s="2"/>
      <c r="L288" s="2"/>
      <c r="M288" s="2"/>
      <c r="N288" s="2"/>
      <c r="O288" s="2"/>
      <c r="P288" s="2"/>
      <c r="Q288" s="2"/>
      <c r="R288" s="2"/>
      <c r="S288" s="2"/>
      <c r="T288" s="2"/>
      <c r="U288" s="2"/>
      <c r="V288" s="2"/>
      <c r="W288" s="2"/>
      <c r="X288" s="2"/>
      <c r="Y288" s="2"/>
      <c r="Z288" s="2"/>
    </row>
    <row r="289">
      <c r="A289" s="2" t="s">
        <v>13</v>
      </c>
      <c r="B289" s="1" t="s">
        <v>1325</v>
      </c>
      <c r="C289" s="1" t="s">
        <v>1310</v>
      </c>
      <c r="D289" s="1" t="s">
        <v>1326</v>
      </c>
      <c r="E289" s="1" t="s">
        <v>1327</v>
      </c>
      <c r="F289" s="1" t="s">
        <v>1328</v>
      </c>
      <c r="G289" s="1" t="s">
        <v>43</v>
      </c>
      <c r="H289" s="1" t="s">
        <v>1314</v>
      </c>
      <c r="I289" s="1" t="s">
        <v>1315</v>
      </c>
      <c r="J289" s="2"/>
      <c r="K289" s="2"/>
      <c r="L289" s="2"/>
      <c r="M289" s="2"/>
      <c r="N289" s="2"/>
      <c r="O289" s="2"/>
      <c r="P289" s="2"/>
      <c r="Q289" s="2"/>
      <c r="R289" s="2"/>
      <c r="S289" s="2"/>
      <c r="T289" s="2"/>
      <c r="U289" s="2"/>
      <c r="V289" s="2"/>
      <c r="W289" s="2"/>
      <c r="X289" s="2"/>
      <c r="Y289" s="2"/>
      <c r="Z289" s="2"/>
    </row>
    <row r="290">
      <c r="A290" s="2" t="s">
        <v>13</v>
      </c>
      <c r="B290" s="1" t="s">
        <v>1331</v>
      </c>
      <c r="C290" s="1" t="s">
        <v>1310</v>
      </c>
      <c r="D290" s="1" t="s">
        <v>1332</v>
      </c>
      <c r="E290" s="1" t="s">
        <v>1333</v>
      </c>
      <c r="F290" s="1" t="s">
        <v>1334</v>
      </c>
      <c r="G290" s="1" t="s">
        <v>43</v>
      </c>
      <c r="H290" s="1" t="s">
        <v>1314</v>
      </c>
      <c r="I290" s="1" t="s">
        <v>1315</v>
      </c>
      <c r="J290" s="2"/>
      <c r="K290" s="2"/>
      <c r="L290" s="2"/>
      <c r="M290" s="2"/>
      <c r="N290" s="2"/>
      <c r="O290" s="2"/>
      <c r="P290" s="2"/>
      <c r="Q290" s="2"/>
      <c r="R290" s="2"/>
      <c r="S290" s="2"/>
      <c r="T290" s="2"/>
      <c r="U290" s="2"/>
      <c r="V290" s="2"/>
      <c r="W290" s="2"/>
      <c r="X290" s="2"/>
      <c r="Y290" s="2"/>
      <c r="Z290" s="2"/>
    </row>
    <row r="291">
      <c r="A291" s="2" t="s">
        <v>13</v>
      </c>
      <c r="B291" s="1" t="s">
        <v>1335</v>
      </c>
      <c r="C291" s="1" t="s">
        <v>1310</v>
      </c>
      <c r="D291" s="1" t="s">
        <v>1336</v>
      </c>
      <c r="E291" s="1" t="s">
        <v>1337</v>
      </c>
      <c r="F291" s="1" t="s">
        <v>1338</v>
      </c>
      <c r="G291" s="1" t="s">
        <v>43</v>
      </c>
      <c r="H291" s="1" t="s">
        <v>582</v>
      </c>
      <c r="I291" s="1" t="s">
        <v>1315</v>
      </c>
      <c r="J291" s="2"/>
      <c r="K291" s="2"/>
      <c r="L291" s="2"/>
      <c r="M291" s="2"/>
      <c r="N291" s="2"/>
      <c r="O291" s="2"/>
      <c r="P291" s="2"/>
      <c r="Q291" s="2"/>
      <c r="R291" s="2"/>
      <c r="S291" s="2"/>
      <c r="T291" s="2"/>
      <c r="U291" s="2"/>
      <c r="V291" s="2"/>
      <c r="W291" s="2"/>
      <c r="X291" s="2"/>
      <c r="Y291" s="2"/>
      <c r="Z291" s="2"/>
    </row>
    <row r="292">
      <c r="A292" s="2" t="s">
        <v>13</v>
      </c>
      <c r="B292" s="1" t="s">
        <v>1343</v>
      </c>
      <c r="C292" s="1" t="s">
        <v>1310</v>
      </c>
      <c r="D292" s="1" t="s">
        <v>1344</v>
      </c>
      <c r="E292" s="1" t="s">
        <v>1345</v>
      </c>
      <c r="F292" s="1" t="s">
        <v>1346</v>
      </c>
      <c r="G292" s="1" t="s">
        <v>43</v>
      </c>
      <c r="H292" s="1" t="s">
        <v>642</v>
      </c>
      <c r="I292" s="1" t="s">
        <v>1315</v>
      </c>
      <c r="J292" s="2"/>
      <c r="K292" s="2"/>
      <c r="L292" s="2"/>
      <c r="M292" s="2"/>
      <c r="N292" s="2"/>
      <c r="O292" s="2"/>
      <c r="P292" s="2"/>
      <c r="Q292" s="2"/>
      <c r="R292" s="2"/>
      <c r="S292" s="2"/>
      <c r="T292" s="2"/>
      <c r="U292" s="2"/>
      <c r="V292" s="2"/>
      <c r="W292" s="2"/>
      <c r="X292" s="2"/>
      <c r="Y292" s="2"/>
      <c r="Z292" s="2"/>
    </row>
    <row r="293">
      <c r="A293" s="2" t="s">
        <v>13</v>
      </c>
      <c r="B293" s="1" t="s">
        <v>1350</v>
      </c>
      <c r="C293" s="1" t="s">
        <v>1310</v>
      </c>
      <c r="D293" s="1" t="s">
        <v>1351</v>
      </c>
      <c r="E293" s="1" t="s">
        <v>1354</v>
      </c>
      <c r="F293" s="1" t="s">
        <v>1355</v>
      </c>
      <c r="G293" s="1" t="s">
        <v>43</v>
      </c>
      <c r="H293" s="1" t="s">
        <v>1314</v>
      </c>
      <c r="I293" s="1" t="s">
        <v>1315</v>
      </c>
      <c r="J293" s="2"/>
      <c r="K293" s="2"/>
      <c r="L293" s="2"/>
      <c r="M293" s="2"/>
      <c r="N293" s="2"/>
      <c r="O293" s="2"/>
      <c r="P293" s="2"/>
      <c r="Q293" s="2"/>
      <c r="R293" s="2"/>
      <c r="S293" s="2"/>
      <c r="T293" s="2"/>
      <c r="U293" s="2"/>
      <c r="V293" s="2"/>
      <c r="W293" s="2"/>
      <c r="X293" s="2"/>
      <c r="Y293" s="2"/>
      <c r="Z293" s="2"/>
    </row>
    <row r="294">
      <c r="A294" s="2" t="s">
        <v>13</v>
      </c>
      <c r="B294" s="1" t="s">
        <v>1357</v>
      </c>
      <c r="C294" s="1" t="s">
        <v>1310</v>
      </c>
      <c r="D294" s="1" t="s">
        <v>1359</v>
      </c>
      <c r="E294" s="1" t="s">
        <v>1361</v>
      </c>
      <c r="F294" s="1" t="s">
        <v>1362</v>
      </c>
      <c r="G294" s="1" t="s">
        <v>43</v>
      </c>
      <c r="H294" s="1" t="s">
        <v>22</v>
      </c>
      <c r="I294" s="1" t="s">
        <v>1315</v>
      </c>
      <c r="J294" s="2"/>
      <c r="K294" s="2"/>
      <c r="L294" s="2"/>
      <c r="M294" s="2"/>
      <c r="N294" s="2"/>
      <c r="O294" s="2"/>
      <c r="P294" s="2"/>
      <c r="Q294" s="2"/>
      <c r="R294" s="2"/>
      <c r="S294" s="2"/>
      <c r="T294" s="2"/>
      <c r="U294" s="2"/>
      <c r="V294" s="2"/>
      <c r="W294" s="2"/>
      <c r="X294" s="2"/>
      <c r="Y294" s="2"/>
      <c r="Z294" s="2"/>
    </row>
    <row r="295">
      <c r="A295" s="2" t="s">
        <v>13</v>
      </c>
      <c r="B295" s="1" t="s">
        <v>1364</v>
      </c>
      <c r="C295" s="1" t="s">
        <v>1310</v>
      </c>
      <c r="D295" s="1" t="s">
        <v>1366</v>
      </c>
      <c r="E295" s="1" t="s">
        <v>1368</v>
      </c>
      <c r="F295" s="1" t="s">
        <v>1370</v>
      </c>
      <c r="G295" s="1" t="s">
        <v>43</v>
      </c>
      <c r="H295" s="1" t="s">
        <v>569</v>
      </c>
      <c r="I295" s="1" t="s">
        <v>1315</v>
      </c>
      <c r="J295" s="2"/>
      <c r="K295" s="2"/>
      <c r="L295" s="2"/>
      <c r="M295" s="2"/>
      <c r="N295" s="2"/>
      <c r="O295" s="2"/>
      <c r="P295" s="2"/>
      <c r="Q295" s="2"/>
      <c r="R295" s="2"/>
      <c r="S295" s="2"/>
      <c r="T295" s="2"/>
      <c r="U295" s="2"/>
      <c r="V295" s="2"/>
      <c r="W295" s="2"/>
      <c r="X295" s="2"/>
      <c r="Y295" s="2"/>
      <c r="Z295" s="2"/>
    </row>
    <row r="296">
      <c r="A296" s="2" t="s">
        <v>13</v>
      </c>
      <c r="B296" s="1" t="s">
        <v>1373</v>
      </c>
      <c r="C296" s="1" t="s">
        <v>1310</v>
      </c>
      <c r="D296" s="1" t="s">
        <v>1376</v>
      </c>
      <c r="E296" s="1" t="s">
        <v>1377</v>
      </c>
      <c r="F296" s="1" t="s">
        <v>1378</v>
      </c>
      <c r="G296" s="1" t="s">
        <v>43</v>
      </c>
      <c r="H296" s="1" t="s">
        <v>569</v>
      </c>
      <c r="I296" s="1" t="s">
        <v>1315</v>
      </c>
      <c r="J296" s="2"/>
      <c r="K296" s="2"/>
      <c r="L296" s="2"/>
      <c r="M296" s="2"/>
      <c r="N296" s="2"/>
      <c r="O296" s="2"/>
      <c r="P296" s="2"/>
      <c r="Q296" s="2"/>
      <c r="R296" s="2"/>
      <c r="S296" s="2"/>
      <c r="T296" s="2"/>
      <c r="U296" s="2"/>
      <c r="V296" s="2"/>
      <c r="W296" s="2"/>
      <c r="X296" s="2"/>
      <c r="Y296" s="2"/>
      <c r="Z296" s="2"/>
    </row>
    <row r="297">
      <c r="A297" s="2" t="s">
        <v>13</v>
      </c>
      <c r="B297" s="1" t="s">
        <v>1381</v>
      </c>
      <c r="C297" s="1" t="s">
        <v>1310</v>
      </c>
      <c r="D297" s="1" t="s">
        <v>1383</v>
      </c>
      <c r="E297" s="1" t="s">
        <v>1385</v>
      </c>
      <c r="F297" s="1" t="s">
        <v>1387</v>
      </c>
      <c r="G297" s="1" t="s">
        <v>21</v>
      </c>
      <c r="H297" s="1" t="s">
        <v>1314</v>
      </c>
      <c r="I297" s="1" t="s">
        <v>1315</v>
      </c>
      <c r="J297" s="2"/>
      <c r="K297" s="2"/>
      <c r="L297" s="2"/>
      <c r="M297" s="2"/>
      <c r="N297" s="2"/>
      <c r="O297" s="2"/>
      <c r="P297" s="2"/>
      <c r="Q297" s="2"/>
      <c r="R297" s="2"/>
      <c r="S297" s="2"/>
      <c r="T297" s="2"/>
      <c r="U297" s="2"/>
      <c r="V297" s="2"/>
      <c r="W297" s="2"/>
      <c r="X297" s="2"/>
      <c r="Y297" s="2"/>
      <c r="Z297" s="2"/>
    </row>
    <row r="298">
      <c r="A298" s="2" t="s">
        <v>13</v>
      </c>
      <c r="B298" s="1" t="s">
        <v>1390</v>
      </c>
      <c r="C298" s="1" t="s">
        <v>1310</v>
      </c>
      <c r="D298" s="1" t="s">
        <v>1393</v>
      </c>
      <c r="E298" s="1" t="s">
        <v>1394</v>
      </c>
      <c r="F298" s="1" t="s">
        <v>1396</v>
      </c>
      <c r="G298" s="1" t="s">
        <v>21</v>
      </c>
      <c r="H298" s="1" t="s">
        <v>1314</v>
      </c>
      <c r="I298" s="1" t="s">
        <v>1315</v>
      </c>
      <c r="J298" s="2"/>
      <c r="K298" s="2"/>
      <c r="L298" s="2"/>
      <c r="M298" s="2"/>
      <c r="N298" s="2"/>
      <c r="O298" s="2"/>
      <c r="P298" s="2"/>
      <c r="Q298" s="2"/>
      <c r="R298" s="2"/>
      <c r="S298" s="2"/>
      <c r="T298" s="2"/>
      <c r="U298" s="2"/>
      <c r="V298" s="2"/>
      <c r="W298" s="2"/>
      <c r="X298" s="2"/>
      <c r="Y298" s="2"/>
      <c r="Z298" s="2"/>
    </row>
    <row r="299">
      <c r="A299" s="2" t="s">
        <v>13</v>
      </c>
      <c r="B299" s="1" t="s">
        <v>1399</v>
      </c>
      <c r="C299" s="1" t="s">
        <v>1310</v>
      </c>
      <c r="D299" s="1" t="s">
        <v>1401</v>
      </c>
      <c r="E299" s="1" t="s">
        <v>1404</v>
      </c>
      <c r="F299" s="1" t="s">
        <v>1405</v>
      </c>
      <c r="G299" s="1" t="s">
        <v>21</v>
      </c>
      <c r="H299" s="1" t="s">
        <v>1314</v>
      </c>
      <c r="I299" s="1" t="s">
        <v>1315</v>
      </c>
      <c r="J299" s="2"/>
      <c r="K299" s="2"/>
      <c r="L299" s="2"/>
      <c r="M299" s="2"/>
      <c r="N299" s="2"/>
      <c r="O299" s="2"/>
      <c r="P299" s="2"/>
      <c r="Q299" s="2"/>
      <c r="R299" s="2"/>
      <c r="S299" s="2"/>
      <c r="T299" s="2"/>
      <c r="U299" s="2"/>
      <c r="V299" s="2"/>
      <c r="W299" s="2"/>
      <c r="X299" s="2"/>
      <c r="Y299" s="2"/>
      <c r="Z299" s="2"/>
    </row>
    <row r="300">
      <c r="A300" s="2" t="s">
        <v>13</v>
      </c>
      <c r="B300" s="1" t="s">
        <v>1408</v>
      </c>
      <c r="C300" s="1" t="s">
        <v>1310</v>
      </c>
      <c r="D300" s="1" t="s">
        <v>1411</v>
      </c>
      <c r="E300" s="1" t="s">
        <v>1412</v>
      </c>
      <c r="F300" s="1" t="s">
        <v>1413</v>
      </c>
      <c r="G300" s="1" t="s">
        <v>43</v>
      </c>
      <c r="H300" s="1" t="s">
        <v>1314</v>
      </c>
      <c r="I300" s="1" t="s">
        <v>1315</v>
      </c>
      <c r="J300" s="2"/>
      <c r="K300" s="2"/>
      <c r="L300" s="2"/>
      <c r="M300" s="2"/>
      <c r="N300" s="2"/>
      <c r="O300" s="2"/>
      <c r="P300" s="2"/>
      <c r="Q300" s="2"/>
      <c r="R300" s="2"/>
      <c r="S300" s="2"/>
      <c r="T300" s="2"/>
      <c r="U300" s="2"/>
      <c r="V300" s="2"/>
      <c r="W300" s="2"/>
      <c r="X300" s="2"/>
      <c r="Y300" s="2"/>
      <c r="Z300" s="2"/>
    </row>
    <row r="301">
      <c r="A301" s="2" t="s">
        <v>13</v>
      </c>
      <c r="B301" s="1" t="s">
        <v>1417</v>
      </c>
      <c r="C301" s="1" t="s">
        <v>1310</v>
      </c>
      <c r="D301" s="1" t="s">
        <v>1418</v>
      </c>
      <c r="E301" s="1" t="s">
        <v>1419</v>
      </c>
      <c r="F301" s="1" t="s">
        <v>1420</v>
      </c>
      <c r="G301" s="1" t="s">
        <v>43</v>
      </c>
      <c r="H301" s="1" t="s">
        <v>1314</v>
      </c>
      <c r="I301" s="1" t="s">
        <v>1315</v>
      </c>
      <c r="J301" s="2"/>
      <c r="K301" s="2"/>
      <c r="L301" s="2"/>
      <c r="M301" s="2"/>
      <c r="N301" s="2"/>
      <c r="O301" s="2"/>
      <c r="P301" s="2"/>
      <c r="Q301" s="2"/>
      <c r="R301" s="2"/>
      <c r="S301" s="2"/>
      <c r="T301" s="2"/>
      <c r="U301" s="2"/>
      <c r="V301" s="2"/>
      <c r="W301" s="2"/>
      <c r="X301" s="2"/>
      <c r="Y301" s="2"/>
      <c r="Z301" s="2"/>
    </row>
    <row r="302">
      <c r="A302" s="2" t="s">
        <v>13</v>
      </c>
      <c r="B302" s="1" t="s">
        <v>1424</v>
      </c>
      <c r="C302" s="1" t="s">
        <v>1310</v>
      </c>
      <c r="D302" s="1" t="s">
        <v>1425</v>
      </c>
      <c r="E302" s="1" t="s">
        <v>1426</v>
      </c>
      <c r="F302" s="1" t="s">
        <v>1427</v>
      </c>
      <c r="G302" s="1" t="s">
        <v>43</v>
      </c>
      <c r="H302" s="1" t="s">
        <v>1314</v>
      </c>
      <c r="I302" s="1" t="s">
        <v>1315</v>
      </c>
      <c r="J302" s="2"/>
      <c r="K302" s="2"/>
      <c r="L302" s="2"/>
      <c r="M302" s="2"/>
      <c r="N302" s="2"/>
      <c r="O302" s="2"/>
      <c r="P302" s="2"/>
      <c r="Q302" s="2"/>
      <c r="R302" s="2"/>
      <c r="S302" s="2"/>
      <c r="T302" s="2"/>
      <c r="U302" s="2"/>
      <c r="V302" s="2"/>
      <c r="W302" s="2"/>
      <c r="X302" s="2"/>
      <c r="Y302" s="2"/>
      <c r="Z302" s="2"/>
    </row>
    <row r="303">
      <c r="A303" s="2" t="s">
        <v>13</v>
      </c>
      <c r="B303" s="1" t="s">
        <v>1431</v>
      </c>
      <c r="C303" s="1" t="s">
        <v>1310</v>
      </c>
      <c r="D303" s="1" t="s">
        <v>1432</v>
      </c>
      <c r="E303" s="1" t="s">
        <v>1435</v>
      </c>
      <c r="F303" s="1" t="s">
        <v>1436</v>
      </c>
      <c r="G303" s="1" t="s">
        <v>43</v>
      </c>
      <c r="H303" s="1" t="s">
        <v>1314</v>
      </c>
      <c r="I303" s="1" t="s">
        <v>1315</v>
      </c>
      <c r="J303" s="2"/>
      <c r="K303" s="2"/>
      <c r="L303" s="2"/>
      <c r="M303" s="2"/>
      <c r="N303" s="2"/>
      <c r="O303" s="2"/>
      <c r="P303" s="2"/>
      <c r="Q303" s="2"/>
      <c r="R303" s="2"/>
      <c r="S303" s="2"/>
      <c r="T303" s="2"/>
      <c r="U303" s="2"/>
      <c r="V303" s="2"/>
      <c r="W303" s="2"/>
      <c r="X303" s="2"/>
      <c r="Y303" s="2"/>
      <c r="Z303" s="2"/>
    </row>
    <row r="304">
      <c r="A304" s="2" t="s">
        <v>13</v>
      </c>
      <c r="B304" s="1" t="s">
        <v>1438</v>
      </c>
      <c r="C304" s="1" t="s">
        <v>1310</v>
      </c>
      <c r="D304" s="1" t="s">
        <v>1441</v>
      </c>
      <c r="E304" s="1" t="s">
        <v>1442</v>
      </c>
      <c r="F304" s="1" t="s">
        <v>1444</v>
      </c>
      <c r="G304" s="1" t="s">
        <v>43</v>
      </c>
      <c r="H304" s="1" t="s">
        <v>1314</v>
      </c>
      <c r="I304" s="1" t="s">
        <v>1315</v>
      </c>
      <c r="J304" s="2"/>
      <c r="K304" s="2"/>
      <c r="L304" s="2"/>
      <c r="M304" s="2"/>
      <c r="N304" s="2"/>
      <c r="O304" s="2"/>
      <c r="P304" s="2"/>
      <c r="Q304" s="2"/>
      <c r="R304" s="2"/>
      <c r="S304" s="2"/>
      <c r="T304" s="2"/>
      <c r="U304" s="2"/>
      <c r="V304" s="2"/>
      <c r="W304" s="2"/>
      <c r="X304" s="2"/>
      <c r="Y304" s="2"/>
      <c r="Z304" s="2"/>
    </row>
    <row r="305">
      <c r="A305" s="2" t="s">
        <v>13</v>
      </c>
      <c r="B305" s="1" t="s">
        <v>1448</v>
      </c>
      <c r="C305" s="1" t="s">
        <v>1310</v>
      </c>
      <c r="D305" s="1" t="s">
        <v>1449</v>
      </c>
      <c r="E305" s="1" t="s">
        <v>1450</v>
      </c>
      <c r="F305" s="1" t="s">
        <v>1452</v>
      </c>
      <c r="G305" s="1" t="s">
        <v>43</v>
      </c>
      <c r="H305" s="1" t="s">
        <v>1314</v>
      </c>
      <c r="I305" s="1" t="s">
        <v>1315</v>
      </c>
      <c r="J305" s="2"/>
      <c r="K305" s="2"/>
      <c r="L305" s="2"/>
      <c r="M305" s="2"/>
      <c r="N305" s="2"/>
      <c r="O305" s="2"/>
      <c r="P305" s="2"/>
      <c r="Q305" s="2"/>
      <c r="R305" s="2"/>
      <c r="S305" s="2"/>
      <c r="T305" s="2"/>
      <c r="U305" s="2"/>
      <c r="V305" s="2"/>
      <c r="W305" s="2"/>
      <c r="X305" s="2"/>
      <c r="Y305" s="2"/>
      <c r="Z305" s="2"/>
    </row>
    <row r="306">
      <c r="A306" s="2" t="s">
        <v>13</v>
      </c>
      <c r="B306" s="1" t="s">
        <v>1455</v>
      </c>
      <c r="C306" s="1" t="s">
        <v>1310</v>
      </c>
      <c r="D306" s="1" t="s">
        <v>1456</v>
      </c>
      <c r="E306" s="1" t="s">
        <v>1457</v>
      </c>
      <c r="F306" s="1" t="s">
        <v>1458</v>
      </c>
      <c r="G306" s="1" t="s">
        <v>43</v>
      </c>
      <c r="H306" s="1" t="s">
        <v>1314</v>
      </c>
      <c r="I306" s="1" t="s">
        <v>1315</v>
      </c>
      <c r="J306" s="2"/>
      <c r="K306" s="2"/>
      <c r="L306" s="2"/>
      <c r="M306" s="2"/>
      <c r="N306" s="2"/>
      <c r="O306" s="2"/>
      <c r="P306" s="2"/>
      <c r="Q306" s="2"/>
      <c r="R306" s="2"/>
      <c r="S306" s="2"/>
      <c r="T306" s="2"/>
      <c r="U306" s="2"/>
      <c r="V306" s="2"/>
      <c r="W306" s="2"/>
      <c r="X306" s="2"/>
      <c r="Y306" s="2"/>
      <c r="Z306" s="2"/>
    </row>
    <row r="307">
      <c r="A307" s="2" t="s">
        <v>13</v>
      </c>
      <c r="B307" s="1" t="s">
        <v>1460</v>
      </c>
      <c r="C307" s="1" t="s">
        <v>1310</v>
      </c>
      <c r="D307" s="1" t="s">
        <v>1461</v>
      </c>
      <c r="E307" s="1" t="s">
        <v>1462</v>
      </c>
      <c r="F307" s="1" t="s">
        <v>1463</v>
      </c>
      <c r="G307" s="1" t="s">
        <v>43</v>
      </c>
      <c r="H307" s="1" t="s">
        <v>1314</v>
      </c>
      <c r="I307" s="1" t="s">
        <v>1315</v>
      </c>
      <c r="J307" s="2"/>
      <c r="K307" s="2"/>
      <c r="L307" s="2"/>
      <c r="M307" s="2"/>
      <c r="N307" s="2"/>
      <c r="O307" s="2"/>
      <c r="P307" s="2"/>
      <c r="Q307" s="2"/>
      <c r="R307" s="2"/>
      <c r="S307" s="2"/>
      <c r="T307" s="2"/>
      <c r="U307" s="2"/>
      <c r="V307" s="2"/>
      <c r="W307" s="2"/>
      <c r="X307" s="2"/>
      <c r="Y307" s="2"/>
      <c r="Z307" s="2"/>
    </row>
    <row r="308">
      <c r="A308" s="2" t="s">
        <v>13</v>
      </c>
      <c r="B308" s="1" t="s">
        <v>1464</v>
      </c>
      <c r="C308" s="1" t="s">
        <v>1310</v>
      </c>
      <c r="D308" s="1" t="s">
        <v>1465</v>
      </c>
      <c r="E308" s="1" t="s">
        <v>1466</v>
      </c>
      <c r="F308" s="1" t="s">
        <v>1467</v>
      </c>
      <c r="G308" s="1" t="s">
        <v>43</v>
      </c>
      <c r="H308" s="1" t="s">
        <v>1314</v>
      </c>
      <c r="I308" s="1" t="s">
        <v>1315</v>
      </c>
      <c r="J308" s="2"/>
      <c r="K308" s="2"/>
      <c r="L308" s="2"/>
      <c r="M308" s="2"/>
      <c r="N308" s="2"/>
      <c r="O308" s="2"/>
      <c r="P308" s="2"/>
      <c r="Q308" s="2"/>
      <c r="R308" s="2"/>
      <c r="S308" s="2"/>
      <c r="T308" s="2"/>
      <c r="U308" s="2"/>
      <c r="V308" s="2"/>
      <c r="W308" s="2"/>
      <c r="X308" s="2"/>
      <c r="Y308" s="2"/>
      <c r="Z308" s="2"/>
    </row>
    <row r="309">
      <c r="A309" s="2" t="s">
        <v>13</v>
      </c>
      <c r="B309" s="1" t="s">
        <v>1468</v>
      </c>
      <c r="C309" s="1" t="s">
        <v>1310</v>
      </c>
      <c r="D309" s="1" t="s">
        <v>1469</v>
      </c>
      <c r="E309" s="1" t="s">
        <v>1470</v>
      </c>
      <c r="F309" s="1" t="s">
        <v>1472</v>
      </c>
      <c r="G309" s="1" t="s">
        <v>43</v>
      </c>
      <c r="H309" s="1" t="s">
        <v>1314</v>
      </c>
      <c r="I309" s="1" t="s">
        <v>1315</v>
      </c>
      <c r="J309" s="2"/>
      <c r="K309" s="2"/>
      <c r="L309" s="2"/>
      <c r="M309" s="2"/>
      <c r="N309" s="2"/>
      <c r="O309" s="2"/>
      <c r="P309" s="2"/>
      <c r="Q309" s="2"/>
      <c r="R309" s="2"/>
      <c r="S309" s="2"/>
      <c r="T309" s="2"/>
      <c r="U309" s="2"/>
      <c r="V309" s="2"/>
      <c r="W309" s="2"/>
      <c r="X309" s="2"/>
      <c r="Y309" s="2"/>
      <c r="Z309" s="2"/>
    </row>
    <row r="310">
      <c r="A310" s="2" t="s">
        <v>13</v>
      </c>
      <c r="B310" s="1" t="s">
        <v>1474</v>
      </c>
      <c r="C310" s="1" t="s">
        <v>1310</v>
      </c>
      <c r="D310" s="1" t="s">
        <v>1475</v>
      </c>
      <c r="E310" s="1" t="s">
        <v>1476</v>
      </c>
      <c r="F310" s="1" t="s">
        <v>1477</v>
      </c>
      <c r="G310" s="1" t="s">
        <v>43</v>
      </c>
      <c r="H310" s="1" t="s">
        <v>1314</v>
      </c>
      <c r="I310" s="1" t="s">
        <v>1315</v>
      </c>
      <c r="J310" s="2"/>
      <c r="K310" s="2"/>
      <c r="L310" s="2"/>
      <c r="M310" s="2"/>
      <c r="N310" s="2"/>
      <c r="O310" s="2"/>
      <c r="P310" s="2"/>
      <c r="Q310" s="2"/>
      <c r="R310" s="2"/>
      <c r="S310" s="2"/>
      <c r="T310" s="2"/>
      <c r="U310" s="2"/>
      <c r="V310" s="2"/>
      <c r="W310" s="2"/>
      <c r="X310" s="2"/>
      <c r="Y310" s="2"/>
      <c r="Z310" s="2"/>
    </row>
    <row r="311">
      <c r="A311" s="2" t="s">
        <v>13</v>
      </c>
      <c r="B311" s="1" t="s">
        <v>1481</v>
      </c>
      <c r="C311" s="1" t="s">
        <v>1310</v>
      </c>
      <c r="D311" s="1" t="s">
        <v>1482</v>
      </c>
      <c r="E311" s="1" t="s">
        <v>1485</v>
      </c>
      <c r="F311" s="1" t="s">
        <v>1486</v>
      </c>
      <c r="G311" s="1" t="s">
        <v>43</v>
      </c>
      <c r="H311" s="1" t="s">
        <v>1314</v>
      </c>
      <c r="I311" s="1" t="s">
        <v>1315</v>
      </c>
      <c r="J311" s="2"/>
      <c r="K311" s="2"/>
      <c r="L311" s="2"/>
      <c r="M311" s="2"/>
      <c r="N311" s="2"/>
      <c r="O311" s="2"/>
      <c r="P311" s="2"/>
      <c r="Q311" s="2"/>
      <c r="R311" s="2"/>
      <c r="S311" s="2"/>
      <c r="T311" s="2"/>
      <c r="U311" s="2"/>
      <c r="V311" s="2"/>
      <c r="W311" s="2"/>
      <c r="X311" s="2"/>
      <c r="Y311" s="2"/>
      <c r="Z311" s="2"/>
    </row>
    <row r="312">
      <c r="A312" s="2" t="s">
        <v>13</v>
      </c>
      <c r="B312" s="1" t="s">
        <v>1488</v>
      </c>
      <c r="C312" s="1" t="s">
        <v>1310</v>
      </c>
      <c r="D312" s="1" t="s">
        <v>1491</v>
      </c>
      <c r="E312" s="1" t="s">
        <v>1492</v>
      </c>
      <c r="F312" s="1" t="s">
        <v>1494</v>
      </c>
      <c r="G312" s="1" t="s">
        <v>43</v>
      </c>
      <c r="H312" s="1" t="s">
        <v>1314</v>
      </c>
      <c r="I312" s="1" t="s">
        <v>1315</v>
      </c>
      <c r="J312" s="2"/>
      <c r="K312" s="2"/>
      <c r="L312" s="2"/>
      <c r="M312" s="2"/>
      <c r="N312" s="2"/>
      <c r="O312" s="2"/>
      <c r="P312" s="2"/>
      <c r="Q312" s="2"/>
      <c r="R312" s="2"/>
      <c r="S312" s="2"/>
      <c r="T312" s="2"/>
      <c r="U312" s="2"/>
      <c r="V312" s="2"/>
      <c r="W312" s="2"/>
      <c r="X312" s="2"/>
      <c r="Y312" s="2"/>
      <c r="Z312" s="2"/>
    </row>
    <row r="313">
      <c r="A313" s="2" t="s">
        <v>13</v>
      </c>
      <c r="B313" s="1" t="s">
        <v>1497</v>
      </c>
      <c r="C313" s="1" t="s">
        <v>1310</v>
      </c>
      <c r="D313" s="1" t="s">
        <v>1499</v>
      </c>
      <c r="E313" s="1" t="s">
        <v>1501</v>
      </c>
      <c r="F313" s="1" t="s">
        <v>1502</v>
      </c>
      <c r="G313" s="1" t="s">
        <v>43</v>
      </c>
      <c r="H313" s="1" t="s">
        <v>1314</v>
      </c>
      <c r="I313" s="1" t="s">
        <v>1315</v>
      </c>
      <c r="J313" s="2"/>
      <c r="K313" s="2"/>
      <c r="L313" s="2"/>
      <c r="M313" s="2"/>
      <c r="N313" s="2"/>
      <c r="O313" s="2"/>
      <c r="P313" s="2"/>
      <c r="Q313" s="2"/>
      <c r="R313" s="2"/>
      <c r="S313" s="2"/>
      <c r="T313" s="2"/>
      <c r="U313" s="2"/>
      <c r="V313" s="2"/>
      <c r="W313" s="2"/>
      <c r="X313" s="2"/>
      <c r="Y313" s="2"/>
      <c r="Z313" s="2"/>
    </row>
    <row r="314">
      <c r="A314" s="2" t="s">
        <v>13</v>
      </c>
      <c r="B314" s="1" t="s">
        <v>1504</v>
      </c>
      <c r="C314" s="1" t="s">
        <v>1505</v>
      </c>
      <c r="D314" s="1" t="s">
        <v>1507</v>
      </c>
      <c r="E314" s="1" t="s">
        <v>1509</v>
      </c>
      <c r="F314" s="1" t="s">
        <v>1510</v>
      </c>
      <c r="G314" s="1" t="s">
        <v>43</v>
      </c>
      <c r="H314" s="1" t="s">
        <v>569</v>
      </c>
      <c r="I314" s="1" t="s">
        <v>1512</v>
      </c>
      <c r="J314" s="2"/>
      <c r="K314" s="2"/>
      <c r="L314" s="2"/>
      <c r="M314" s="2"/>
      <c r="N314" s="2"/>
      <c r="O314" s="2"/>
      <c r="P314" s="2"/>
      <c r="Q314" s="2"/>
      <c r="R314" s="2"/>
      <c r="S314" s="2"/>
      <c r="T314" s="2"/>
      <c r="U314" s="2"/>
      <c r="V314" s="2"/>
      <c r="W314" s="2"/>
      <c r="X314" s="2"/>
      <c r="Y314" s="2"/>
      <c r="Z314" s="2"/>
    </row>
    <row r="315">
      <c r="A315" s="2" t="s">
        <v>13</v>
      </c>
      <c r="B315" s="1" t="s">
        <v>1514</v>
      </c>
      <c r="C315" s="1" t="s">
        <v>1505</v>
      </c>
      <c r="D315" s="1" t="s">
        <v>1516</v>
      </c>
      <c r="E315" s="1" t="s">
        <v>1518</v>
      </c>
      <c r="F315" s="1" t="s">
        <v>1520</v>
      </c>
      <c r="G315" s="1" t="s">
        <v>43</v>
      </c>
      <c r="H315" s="1" t="s">
        <v>569</v>
      </c>
      <c r="I315" s="1" t="s">
        <v>1512</v>
      </c>
      <c r="J315" s="2"/>
      <c r="K315" s="2"/>
      <c r="L315" s="2"/>
      <c r="M315" s="2"/>
      <c r="N315" s="2"/>
      <c r="O315" s="2"/>
      <c r="P315" s="2"/>
      <c r="Q315" s="2"/>
      <c r="R315" s="2"/>
      <c r="S315" s="2"/>
      <c r="T315" s="2"/>
      <c r="U315" s="2"/>
      <c r="V315" s="2"/>
      <c r="W315" s="2"/>
      <c r="X315" s="2"/>
      <c r="Y315" s="2"/>
      <c r="Z315" s="2"/>
    </row>
    <row r="316">
      <c r="A316" s="2" t="s">
        <v>13</v>
      </c>
      <c r="B316" s="1" t="s">
        <v>1523</v>
      </c>
      <c r="C316" s="1" t="s">
        <v>1505</v>
      </c>
      <c r="D316" s="1" t="s">
        <v>1524</v>
      </c>
      <c r="E316" s="1" t="s">
        <v>1525</v>
      </c>
      <c r="F316" s="1" t="s">
        <v>1527</v>
      </c>
      <c r="G316" s="1" t="s">
        <v>43</v>
      </c>
      <c r="H316" s="1" t="s">
        <v>569</v>
      </c>
      <c r="I316" s="1" t="s">
        <v>1512</v>
      </c>
      <c r="J316" s="2"/>
      <c r="K316" s="2"/>
      <c r="L316" s="2"/>
      <c r="M316" s="2"/>
      <c r="N316" s="2"/>
      <c r="O316" s="2"/>
      <c r="P316" s="2"/>
      <c r="Q316" s="2"/>
      <c r="R316" s="2"/>
      <c r="S316" s="2"/>
      <c r="T316" s="2"/>
      <c r="U316" s="2"/>
      <c r="V316" s="2"/>
      <c r="W316" s="2"/>
      <c r="X316" s="2"/>
      <c r="Y316" s="2"/>
      <c r="Z316" s="2"/>
    </row>
    <row r="317">
      <c r="A317" s="2" t="s">
        <v>13</v>
      </c>
      <c r="B317" s="1" t="s">
        <v>1529</v>
      </c>
      <c r="C317" s="1" t="s">
        <v>1505</v>
      </c>
      <c r="D317" s="1" t="s">
        <v>1530</v>
      </c>
      <c r="E317" s="1" t="s">
        <v>1531</v>
      </c>
      <c r="F317" s="1" t="s">
        <v>1532</v>
      </c>
      <c r="G317" s="1" t="s">
        <v>43</v>
      </c>
      <c r="H317" s="1" t="s">
        <v>569</v>
      </c>
      <c r="I317" s="1" t="s">
        <v>1512</v>
      </c>
      <c r="J317" s="2"/>
      <c r="K317" s="2"/>
      <c r="L317" s="2"/>
      <c r="M317" s="2"/>
      <c r="N317" s="2"/>
      <c r="O317" s="2"/>
      <c r="P317" s="2"/>
      <c r="Q317" s="2"/>
      <c r="R317" s="2"/>
      <c r="S317" s="2"/>
      <c r="T317" s="2"/>
      <c r="U317" s="2"/>
      <c r="V317" s="2"/>
      <c r="W317" s="2"/>
      <c r="X317" s="2"/>
      <c r="Y317" s="2"/>
      <c r="Z317" s="2"/>
    </row>
    <row r="318">
      <c r="A318" s="2" t="s">
        <v>13</v>
      </c>
      <c r="B318" s="1" t="s">
        <v>1535</v>
      </c>
      <c r="C318" s="1" t="s">
        <v>1505</v>
      </c>
      <c r="D318" s="1" t="s">
        <v>1538</v>
      </c>
      <c r="E318" s="1" t="s">
        <v>1540</v>
      </c>
      <c r="F318" s="1" t="s">
        <v>1541</v>
      </c>
      <c r="G318" s="1" t="s">
        <v>43</v>
      </c>
      <c r="H318" s="1" t="s">
        <v>569</v>
      </c>
      <c r="I318" s="1" t="s">
        <v>1512</v>
      </c>
      <c r="J318" s="2"/>
      <c r="K318" s="2"/>
      <c r="L318" s="2"/>
      <c r="M318" s="2"/>
      <c r="N318" s="2"/>
      <c r="O318" s="2"/>
      <c r="P318" s="2"/>
      <c r="Q318" s="2"/>
      <c r="R318" s="2"/>
      <c r="S318" s="2"/>
      <c r="T318" s="2"/>
      <c r="U318" s="2"/>
      <c r="V318" s="2"/>
      <c r="W318" s="2"/>
      <c r="X318" s="2"/>
      <c r="Y318" s="2"/>
      <c r="Z318" s="2"/>
    </row>
    <row r="319">
      <c r="A319" s="2" t="s">
        <v>13</v>
      </c>
      <c r="B319" s="1" t="s">
        <v>1549</v>
      </c>
      <c r="C319" s="1" t="s">
        <v>1505</v>
      </c>
      <c r="D319" s="1" t="s">
        <v>1552</v>
      </c>
      <c r="E319" s="1" t="s">
        <v>1553</v>
      </c>
      <c r="F319" s="1" t="s">
        <v>1554</v>
      </c>
      <c r="G319" s="1" t="s">
        <v>43</v>
      </c>
      <c r="H319" s="1" t="s">
        <v>569</v>
      </c>
      <c r="I319" s="1" t="s">
        <v>1512</v>
      </c>
      <c r="J319" s="2"/>
      <c r="K319" s="2"/>
      <c r="L319" s="2"/>
      <c r="M319" s="2"/>
      <c r="N319" s="2"/>
      <c r="O319" s="2"/>
      <c r="P319" s="2"/>
      <c r="Q319" s="2"/>
      <c r="R319" s="2"/>
      <c r="S319" s="2"/>
      <c r="T319" s="2"/>
      <c r="U319" s="2"/>
      <c r="V319" s="2"/>
      <c r="W319" s="2"/>
      <c r="X319" s="2"/>
      <c r="Y319" s="2"/>
      <c r="Z319" s="2"/>
    </row>
    <row r="320">
      <c r="A320" s="2" t="s">
        <v>13</v>
      </c>
      <c r="B320" s="1" t="s">
        <v>1559</v>
      </c>
      <c r="C320" s="1" t="s">
        <v>1505</v>
      </c>
      <c r="D320" s="1" t="s">
        <v>1560</v>
      </c>
      <c r="E320" s="1" t="s">
        <v>673</v>
      </c>
      <c r="F320" s="1" t="s">
        <v>674</v>
      </c>
      <c r="G320" s="1" t="s">
        <v>43</v>
      </c>
      <c r="H320" s="1" t="s">
        <v>569</v>
      </c>
      <c r="I320" s="1" t="s">
        <v>1512</v>
      </c>
      <c r="J320" s="2"/>
      <c r="K320" s="2"/>
      <c r="L320" s="2"/>
      <c r="M320" s="2"/>
      <c r="N320" s="2"/>
      <c r="O320" s="2"/>
      <c r="P320" s="2"/>
      <c r="Q320" s="2"/>
      <c r="R320" s="2"/>
      <c r="S320" s="2"/>
      <c r="T320" s="2"/>
      <c r="U320" s="2"/>
      <c r="V320" s="2"/>
      <c r="W320" s="2"/>
      <c r="X320" s="2"/>
      <c r="Y320" s="2"/>
      <c r="Z320" s="2"/>
    </row>
    <row r="321">
      <c r="A321" s="2" t="s">
        <v>13</v>
      </c>
      <c r="B321" s="1" t="s">
        <v>1563</v>
      </c>
      <c r="C321" s="1" t="s">
        <v>1505</v>
      </c>
      <c r="D321" s="1" t="s">
        <v>1566</v>
      </c>
      <c r="E321" s="1" t="s">
        <v>1567</v>
      </c>
      <c r="F321" s="1" t="s">
        <v>1568</v>
      </c>
      <c r="G321" s="1" t="s">
        <v>43</v>
      </c>
      <c r="H321" s="1" t="s">
        <v>569</v>
      </c>
      <c r="I321" s="1" t="s">
        <v>1512</v>
      </c>
      <c r="J321" s="2"/>
      <c r="K321" s="2"/>
      <c r="L321" s="2"/>
      <c r="M321" s="2"/>
      <c r="N321" s="2"/>
      <c r="O321" s="2"/>
      <c r="P321" s="2"/>
      <c r="Q321" s="2"/>
      <c r="R321" s="2"/>
      <c r="S321" s="2"/>
      <c r="T321" s="2"/>
      <c r="U321" s="2"/>
      <c r="V321" s="2"/>
      <c r="W321" s="2"/>
      <c r="X321" s="2"/>
      <c r="Y321" s="2"/>
      <c r="Z321" s="2"/>
    </row>
    <row r="322">
      <c r="A322" s="2" t="s">
        <v>13</v>
      </c>
      <c r="B322" s="1" t="s">
        <v>1573</v>
      </c>
      <c r="C322" s="1" t="s">
        <v>1505</v>
      </c>
      <c r="D322" s="1" t="s">
        <v>1575</v>
      </c>
      <c r="E322" s="1" t="s">
        <v>1576</v>
      </c>
      <c r="F322" s="1" t="s">
        <v>1577</v>
      </c>
      <c r="G322" s="1" t="s">
        <v>43</v>
      </c>
      <c r="H322" s="1" t="s">
        <v>1578</v>
      </c>
      <c r="I322" s="1" t="s">
        <v>1512</v>
      </c>
      <c r="J322" s="2"/>
      <c r="K322" s="2"/>
      <c r="L322" s="2"/>
      <c r="M322" s="2"/>
      <c r="N322" s="2"/>
      <c r="O322" s="2"/>
      <c r="P322" s="2"/>
      <c r="Q322" s="2"/>
      <c r="R322" s="2"/>
      <c r="S322" s="2"/>
      <c r="T322" s="2"/>
      <c r="U322" s="2"/>
      <c r="V322" s="2"/>
      <c r="W322" s="2"/>
      <c r="X322" s="2"/>
      <c r="Y322" s="2"/>
      <c r="Z322" s="2"/>
    </row>
    <row r="323">
      <c r="A323" s="2" t="s">
        <v>13</v>
      </c>
      <c r="B323" s="1" t="s">
        <v>1581</v>
      </c>
      <c r="C323" s="1" t="s">
        <v>1505</v>
      </c>
      <c r="D323" s="1" t="s">
        <v>1584</v>
      </c>
      <c r="E323" s="1" t="s">
        <v>1585</v>
      </c>
      <c r="F323" s="1" t="s">
        <v>1586</v>
      </c>
      <c r="G323" s="1" t="s">
        <v>43</v>
      </c>
      <c r="H323" s="1" t="s">
        <v>1578</v>
      </c>
      <c r="I323" s="1" t="s">
        <v>1512</v>
      </c>
      <c r="J323" s="2"/>
      <c r="K323" s="2"/>
      <c r="L323" s="2"/>
      <c r="M323" s="2"/>
      <c r="N323" s="2"/>
      <c r="O323" s="2"/>
      <c r="P323" s="2"/>
      <c r="Q323" s="2"/>
      <c r="R323" s="2"/>
      <c r="S323" s="2"/>
      <c r="T323" s="2"/>
      <c r="U323" s="2"/>
      <c r="V323" s="2"/>
      <c r="W323" s="2"/>
      <c r="X323" s="2"/>
      <c r="Y323" s="2"/>
      <c r="Z323" s="2"/>
    </row>
    <row r="324">
      <c r="A324" s="2" t="s">
        <v>13</v>
      </c>
      <c r="B324" s="1" t="s">
        <v>1589</v>
      </c>
      <c r="C324" s="1" t="s">
        <v>1505</v>
      </c>
      <c r="D324" s="1" t="s">
        <v>1592</v>
      </c>
      <c r="E324" s="1" t="s">
        <v>1594</v>
      </c>
      <c r="F324" s="1" t="s">
        <v>1595</v>
      </c>
      <c r="G324" s="1" t="s">
        <v>43</v>
      </c>
      <c r="H324" s="1" t="s">
        <v>569</v>
      </c>
      <c r="I324" s="1" t="s">
        <v>1512</v>
      </c>
      <c r="J324" s="2"/>
      <c r="K324" s="2"/>
      <c r="L324" s="2"/>
      <c r="M324" s="2"/>
      <c r="N324" s="2"/>
      <c r="O324" s="2"/>
      <c r="P324" s="2"/>
      <c r="Q324" s="2"/>
      <c r="R324" s="2"/>
      <c r="S324" s="2"/>
      <c r="T324" s="2"/>
      <c r="U324" s="2"/>
      <c r="V324" s="2"/>
      <c r="W324" s="2"/>
      <c r="X324" s="2"/>
      <c r="Y324" s="2"/>
      <c r="Z324" s="2"/>
    </row>
    <row r="325">
      <c r="A325" s="2" t="s">
        <v>13</v>
      </c>
      <c r="B325" s="1" t="s">
        <v>1597</v>
      </c>
      <c r="C325" s="1" t="s">
        <v>1505</v>
      </c>
      <c r="D325" s="1" t="s">
        <v>1599</v>
      </c>
      <c r="E325" s="1" t="s">
        <v>1600</v>
      </c>
      <c r="F325" s="1" t="s">
        <v>1602</v>
      </c>
      <c r="G325" s="1" t="s">
        <v>43</v>
      </c>
      <c r="H325" s="1" t="s">
        <v>569</v>
      </c>
      <c r="I325" s="1" t="s">
        <v>1512</v>
      </c>
      <c r="J325" s="2"/>
      <c r="K325" s="2"/>
      <c r="L325" s="2"/>
      <c r="M325" s="2"/>
      <c r="N325" s="2"/>
      <c r="O325" s="2"/>
      <c r="P325" s="2"/>
      <c r="Q325" s="2"/>
      <c r="R325" s="2"/>
      <c r="S325" s="2"/>
      <c r="T325" s="2"/>
      <c r="U325" s="2"/>
      <c r="V325" s="2"/>
      <c r="W325" s="2"/>
      <c r="X325" s="2"/>
      <c r="Y325" s="2"/>
      <c r="Z325" s="2"/>
    </row>
    <row r="326">
      <c r="A326" s="2" t="s">
        <v>13</v>
      </c>
      <c r="B326" s="1" t="s">
        <v>1604</v>
      </c>
      <c r="C326" s="1" t="s">
        <v>1505</v>
      </c>
      <c r="D326" s="1" t="s">
        <v>1605</v>
      </c>
      <c r="E326" s="1" t="s">
        <v>1610</v>
      </c>
      <c r="F326" s="1" t="s">
        <v>1611</v>
      </c>
      <c r="G326" s="1" t="s">
        <v>43</v>
      </c>
      <c r="H326" s="1" t="s">
        <v>569</v>
      </c>
      <c r="I326" s="1" t="s">
        <v>1512</v>
      </c>
      <c r="J326" s="2"/>
      <c r="K326" s="2"/>
      <c r="L326" s="2"/>
      <c r="M326" s="2"/>
      <c r="N326" s="2"/>
      <c r="O326" s="2"/>
      <c r="P326" s="2"/>
      <c r="Q326" s="2"/>
      <c r="R326" s="2"/>
      <c r="S326" s="2"/>
      <c r="T326" s="2"/>
      <c r="U326" s="2"/>
      <c r="V326" s="2"/>
      <c r="W326" s="2"/>
      <c r="X326" s="2"/>
      <c r="Y326" s="2"/>
      <c r="Z326" s="2"/>
    </row>
    <row r="327">
      <c r="A327" s="2" t="s">
        <v>13</v>
      </c>
      <c r="B327" s="1" t="s">
        <v>1614</v>
      </c>
      <c r="C327" s="1" t="s">
        <v>1505</v>
      </c>
      <c r="D327" s="1" t="s">
        <v>1615</v>
      </c>
      <c r="E327" s="1" t="s">
        <v>1618</v>
      </c>
      <c r="F327" s="1" t="s">
        <v>1619</v>
      </c>
      <c r="G327" s="1" t="s">
        <v>21</v>
      </c>
      <c r="H327" s="1" t="s">
        <v>569</v>
      </c>
      <c r="I327" s="1" t="s">
        <v>1512</v>
      </c>
      <c r="J327" s="2"/>
      <c r="K327" s="2"/>
      <c r="L327" s="2"/>
      <c r="M327" s="2"/>
      <c r="N327" s="2"/>
      <c r="O327" s="2"/>
      <c r="P327" s="2"/>
      <c r="Q327" s="2"/>
      <c r="R327" s="2"/>
      <c r="S327" s="2"/>
      <c r="T327" s="2"/>
      <c r="U327" s="2"/>
      <c r="V327" s="2"/>
      <c r="W327" s="2"/>
      <c r="X327" s="2"/>
      <c r="Y327" s="2"/>
      <c r="Z327" s="2"/>
    </row>
    <row r="328">
      <c r="A328" s="2" t="s">
        <v>13</v>
      </c>
      <c r="B328" s="1" t="s">
        <v>1621</v>
      </c>
      <c r="C328" s="1" t="s">
        <v>1505</v>
      </c>
      <c r="D328" s="1" t="s">
        <v>1623</v>
      </c>
      <c r="E328" s="1" t="s">
        <v>1624</v>
      </c>
      <c r="F328" s="1" t="s">
        <v>1625</v>
      </c>
      <c r="G328" s="1" t="s">
        <v>43</v>
      </c>
      <c r="H328" s="1" t="s">
        <v>569</v>
      </c>
      <c r="I328" s="1" t="s">
        <v>1512</v>
      </c>
      <c r="J328" s="2"/>
      <c r="K328" s="2"/>
      <c r="L328" s="2"/>
      <c r="M328" s="2"/>
      <c r="N328" s="2"/>
      <c r="O328" s="2"/>
      <c r="P328" s="2"/>
      <c r="Q328" s="2"/>
      <c r="R328" s="2"/>
      <c r="S328" s="2"/>
      <c r="T328" s="2"/>
      <c r="U328" s="2"/>
      <c r="V328" s="2"/>
      <c r="W328" s="2"/>
      <c r="X328" s="2"/>
      <c r="Y328" s="2"/>
      <c r="Z328" s="2"/>
    </row>
    <row r="329">
      <c r="A329" s="2" t="s">
        <v>13</v>
      </c>
      <c r="B329" s="1" t="s">
        <v>1628</v>
      </c>
      <c r="C329" s="1" t="s">
        <v>1505</v>
      </c>
      <c r="D329" s="1" t="s">
        <v>1629</v>
      </c>
      <c r="E329" s="1" t="s">
        <v>1630</v>
      </c>
      <c r="F329" s="1" t="s">
        <v>1631</v>
      </c>
      <c r="G329" s="1" t="s">
        <v>43</v>
      </c>
      <c r="H329" s="1" t="s">
        <v>569</v>
      </c>
      <c r="I329" s="1" t="s">
        <v>1512</v>
      </c>
      <c r="J329" s="2"/>
      <c r="K329" s="2"/>
      <c r="L329" s="2"/>
      <c r="M329" s="2"/>
      <c r="N329" s="2"/>
      <c r="O329" s="2"/>
      <c r="P329" s="2"/>
      <c r="Q329" s="2"/>
      <c r="R329" s="2"/>
      <c r="S329" s="2"/>
      <c r="T329" s="2"/>
      <c r="U329" s="2"/>
      <c r="V329" s="2"/>
      <c r="W329" s="2"/>
      <c r="X329" s="2"/>
      <c r="Y329" s="2"/>
      <c r="Z329" s="2"/>
    </row>
    <row r="330">
      <c r="A330" s="2" t="s">
        <v>13</v>
      </c>
      <c r="B330" s="1" t="s">
        <v>1636</v>
      </c>
      <c r="C330" s="1" t="s">
        <v>1505</v>
      </c>
      <c r="D330" s="1" t="s">
        <v>1637</v>
      </c>
      <c r="E330" s="1" t="s">
        <v>1638</v>
      </c>
      <c r="F330" s="1" t="s">
        <v>1639</v>
      </c>
      <c r="G330" s="1" t="s">
        <v>21</v>
      </c>
      <c r="H330" s="1" t="s">
        <v>247</v>
      </c>
      <c r="I330" s="1" t="s">
        <v>1512</v>
      </c>
      <c r="J330" s="2"/>
      <c r="K330" s="2"/>
      <c r="L330" s="2"/>
      <c r="M330" s="2"/>
      <c r="N330" s="2"/>
      <c r="O330" s="2"/>
      <c r="P330" s="2"/>
      <c r="Q330" s="2"/>
      <c r="R330" s="2"/>
      <c r="S330" s="2"/>
      <c r="T330" s="2"/>
      <c r="U330" s="2"/>
      <c r="V330" s="2"/>
      <c r="W330" s="2"/>
      <c r="X330" s="2"/>
      <c r="Y330" s="2"/>
      <c r="Z330" s="2"/>
    </row>
    <row r="331">
      <c r="A331" s="2" t="s">
        <v>13</v>
      </c>
      <c r="B331" s="1" t="s">
        <v>1644</v>
      </c>
      <c r="C331" s="1" t="s">
        <v>1505</v>
      </c>
      <c r="D331" s="1" t="s">
        <v>1646</v>
      </c>
      <c r="E331" s="1" t="s">
        <v>1647</v>
      </c>
      <c r="F331" s="1" t="s">
        <v>1648</v>
      </c>
      <c r="G331" s="1" t="s">
        <v>21</v>
      </c>
      <c r="H331" s="1" t="s">
        <v>569</v>
      </c>
      <c r="I331" s="1" t="s">
        <v>1512</v>
      </c>
      <c r="J331" s="2"/>
      <c r="K331" s="2"/>
      <c r="L331" s="2"/>
      <c r="M331" s="2"/>
      <c r="N331" s="2"/>
      <c r="O331" s="2"/>
      <c r="P331" s="2"/>
      <c r="Q331" s="2"/>
      <c r="R331" s="2"/>
      <c r="S331" s="2"/>
      <c r="T331" s="2"/>
      <c r="U331" s="2"/>
      <c r="V331" s="2"/>
      <c r="W331" s="2"/>
      <c r="X331" s="2"/>
      <c r="Y331" s="2"/>
      <c r="Z331" s="2"/>
    </row>
    <row r="332">
      <c r="A332" s="2" t="s">
        <v>13</v>
      </c>
      <c r="B332" s="1" t="s">
        <v>1649</v>
      </c>
      <c r="C332" s="1" t="s">
        <v>1505</v>
      </c>
      <c r="D332" s="1" t="s">
        <v>1650</v>
      </c>
      <c r="E332" s="1" t="s">
        <v>1651</v>
      </c>
      <c r="F332" s="1" t="s">
        <v>1652</v>
      </c>
      <c r="G332" s="1" t="s">
        <v>43</v>
      </c>
      <c r="H332" s="1" t="s">
        <v>569</v>
      </c>
      <c r="I332" s="1" t="s">
        <v>1512</v>
      </c>
      <c r="J332" s="2"/>
      <c r="K332" s="2"/>
      <c r="L332" s="2"/>
      <c r="M332" s="2"/>
      <c r="N332" s="2"/>
      <c r="O332" s="2"/>
      <c r="P332" s="2"/>
      <c r="Q332" s="2"/>
      <c r="R332" s="2"/>
      <c r="S332" s="2"/>
      <c r="T332" s="2"/>
      <c r="U332" s="2"/>
      <c r="V332" s="2"/>
      <c r="W332" s="2"/>
      <c r="X332" s="2"/>
      <c r="Y332" s="2"/>
      <c r="Z332" s="2"/>
    </row>
    <row r="333">
      <c r="A333" s="2" t="s">
        <v>13</v>
      </c>
      <c r="B333" s="1" t="s">
        <v>1654</v>
      </c>
      <c r="C333" s="1" t="s">
        <v>1655</v>
      </c>
      <c r="D333" s="1" t="s">
        <v>1656</v>
      </c>
      <c r="E333" s="1" t="s">
        <v>1657</v>
      </c>
      <c r="F333" s="1" t="s">
        <v>1658</v>
      </c>
      <c r="G333" s="1" t="s">
        <v>43</v>
      </c>
      <c r="H333" s="1" t="s">
        <v>569</v>
      </c>
      <c r="I333" s="1" t="s">
        <v>1659</v>
      </c>
      <c r="J333" s="2"/>
      <c r="K333" s="2"/>
      <c r="L333" s="2"/>
      <c r="M333" s="2"/>
      <c r="N333" s="2"/>
      <c r="O333" s="2"/>
      <c r="P333" s="2"/>
      <c r="Q333" s="2"/>
      <c r="R333" s="2"/>
      <c r="S333" s="2"/>
      <c r="T333" s="2"/>
      <c r="U333" s="2"/>
      <c r="V333" s="2"/>
      <c r="W333" s="2"/>
      <c r="X333" s="2"/>
      <c r="Y333" s="2"/>
      <c r="Z333" s="2"/>
    </row>
    <row r="334">
      <c r="A334" s="2" t="s">
        <v>13</v>
      </c>
      <c r="B334" s="1" t="s">
        <v>1661</v>
      </c>
      <c r="C334" s="1" t="s">
        <v>1655</v>
      </c>
      <c r="D334" s="1" t="s">
        <v>1663</v>
      </c>
      <c r="E334" s="1" t="s">
        <v>1665</v>
      </c>
      <c r="F334" s="1" t="s">
        <v>1666</v>
      </c>
      <c r="G334" s="1" t="s">
        <v>21</v>
      </c>
      <c r="H334" s="1" t="s">
        <v>569</v>
      </c>
      <c r="I334" s="1" t="s">
        <v>1659</v>
      </c>
      <c r="J334" s="2"/>
      <c r="K334" s="2"/>
      <c r="L334" s="2"/>
      <c r="M334" s="2"/>
      <c r="N334" s="2"/>
      <c r="O334" s="2"/>
      <c r="P334" s="2"/>
      <c r="Q334" s="2"/>
      <c r="R334" s="2"/>
      <c r="S334" s="2"/>
      <c r="T334" s="2"/>
      <c r="U334" s="2"/>
      <c r="V334" s="2"/>
      <c r="W334" s="2"/>
      <c r="X334" s="2"/>
      <c r="Y334" s="2"/>
      <c r="Z334" s="2"/>
    </row>
    <row r="335">
      <c r="A335" s="2" t="s">
        <v>13</v>
      </c>
      <c r="B335" s="1" t="s">
        <v>1668</v>
      </c>
      <c r="C335" s="1" t="s">
        <v>1655</v>
      </c>
      <c r="D335" s="1" t="s">
        <v>1669</v>
      </c>
      <c r="E335" s="1" t="s">
        <v>1670</v>
      </c>
      <c r="F335" s="1" t="s">
        <v>1671</v>
      </c>
      <c r="G335" s="1" t="s">
        <v>43</v>
      </c>
      <c r="H335" s="1" t="s">
        <v>569</v>
      </c>
      <c r="I335" s="1" t="s">
        <v>1659</v>
      </c>
      <c r="J335" s="2"/>
      <c r="K335" s="2"/>
      <c r="L335" s="2"/>
      <c r="M335" s="2"/>
      <c r="N335" s="2"/>
      <c r="O335" s="2"/>
      <c r="P335" s="2"/>
      <c r="Q335" s="2"/>
      <c r="R335" s="2"/>
      <c r="S335" s="2"/>
      <c r="T335" s="2"/>
      <c r="U335" s="2"/>
      <c r="V335" s="2"/>
      <c r="W335" s="2"/>
      <c r="X335" s="2"/>
      <c r="Y335" s="2"/>
      <c r="Z335" s="2"/>
    </row>
    <row r="336">
      <c r="A336" s="2" t="s">
        <v>13</v>
      </c>
      <c r="B336" s="1" t="s">
        <v>1673</v>
      </c>
      <c r="C336" s="1" t="s">
        <v>1655</v>
      </c>
      <c r="D336" s="1" t="s">
        <v>1675</v>
      </c>
      <c r="E336" s="1" t="s">
        <v>1676</v>
      </c>
      <c r="F336" s="1" t="s">
        <v>1677</v>
      </c>
      <c r="G336" s="1" t="s">
        <v>21</v>
      </c>
      <c r="H336" s="1" t="s">
        <v>1678</v>
      </c>
      <c r="I336" s="1" t="s">
        <v>1659</v>
      </c>
      <c r="J336" s="2"/>
      <c r="K336" s="2"/>
      <c r="L336" s="2"/>
      <c r="M336" s="2"/>
      <c r="N336" s="2"/>
      <c r="O336" s="2"/>
      <c r="P336" s="2"/>
      <c r="Q336" s="2"/>
      <c r="R336" s="2"/>
      <c r="S336" s="2"/>
      <c r="T336" s="2"/>
      <c r="U336" s="2"/>
      <c r="V336" s="2"/>
      <c r="W336" s="2"/>
      <c r="X336" s="2"/>
      <c r="Y336" s="2"/>
      <c r="Z336" s="2"/>
    </row>
    <row r="337">
      <c r="A337" s="2" t="s">
        <v>13</v>
      </c>
      <c r="B337" s="1" t="s">
        <v>1679</v>
      </c>
      <c r="C337" s="1" t="s">
        <v>1655</v>
      </c>
      <c r="D337" s="1" t="s">
        <v>1680</v>
      </c>
      <c r="E337" s="1" t="s">
        <v>1681</v>
      </c>
      <c r="F337" s="1" t="s">
        <v>1682</v>
      </c>
      <c r="G337" s="1" t="s">
        <v>43</v>
      </c>
      <c r="H337" s="1" t="s">
        <v>569</v>
      </c>
      <c r="I337" s="1" t="s">
        <v>1659</v>
      </c>
      <c r="J337" s="2"/>
      <c r="K337" s="2"/>
      <c r="L337" s="2"/>
      <c r="M337" s="2"/>
      <c r="N337" s="2"/>
      <c r="O337" s="2"/>
      <c r="P337" s="2"/>
      <c r="Q337" s="2"/>
      <c r="R337" s="2"/>
      <c r="S337" s="2"/>
      <c r="T337" s="2"/>
      <c r="U337" s="2"/>
      <c r="V337" s="2"/>
      <c r="W337" s="2"/>
      <c r="X337" s="2"/>
      <c r="Y337" s="2"/>
      <c r="Z337" s="2"/>
    </row>
    <row r="338">
      <c r="A338" s="2" t="s">
        <v>13</v>
      </c>
      <c r="B338" s="1" t="s">
        <v>1683</v>
      </c>
      <c r="C338" s="1" t="s">
        <v>1655</v>
      </c>
      <c r="D338" s="1" t="s">
        <v>1684</v>
      </c>
      <c r="E338" s="1" t="s">
        <v>1685</v>
      </c>
      <c r="F338" s="1" t="s">
        <v>1686</v>
      </c>
      <c r="G338" s="1" t="s">
        <v>43</v>
      </c>
      <c r="H338" s="1" t="s">
        <v>1687</v>
      </c>
      <c r="I338" s="1" t="s">
        <v>1659</v>
      </c>
      <c r="J338" s="2"/>
      <c r="K338" s="2"/>
      <c r="L338" s="2"/>
      <c r="M338" s="2"/>
      <c r="N338" s="2"/>
      <c r="O338" s="2"/>
      <c r="P338" s="2"/>
      <c r="Q338" s="2"/>
      <c r="R338" s="2"/>
      <c r="S338" s="2"/>
      <c r="T338" s="2"/>
      <c r="U338" s="2"/>
      <c r="V338" s="2"/>
      <c r="W338" s="2"/>
      <c r="X338" s="2"/>
      <c r="Y338" s="2"/>
      <c r="Z338" s="2"/>
    </row>
    <row r="339">
      <c r="A339" s="2" t="s">
        <v>13</v>
      </c>
      <c r="B339" s="1" t="s">
        <v>1688</v>
      </c>
      <c r="C339" s="1" t="s">
        <v>1655</v>
      </c>
      <c r="D339" s="1" t="s">
        <v>1689</v>
      </c>
      <c r="E339" s="1" t="s">
        <v>1690</v>
      </c>
      <c r="F339" s="1" t="s">
        <v>1691</v>
      </c>
      <c r="G339" s="1" t="s">
        <v>43</v>
      </c>
      <c r="H339" s="1" t="s">
        <v>569</v>
      </c>
      <c r="I339" s="1" t="s">
        <v>1659</v>
      </c>
      <c r="J339" s="2"/>
      <c r="K339" s="2"/>
      <c r="L339" s="2"/>
      <c r="M339" s="2"/>
      <c r="N339" s="2"/>
      <c r="O339" s="2"/>
      <c r="P339" s="2"/>
      <c r="Q339" s="2"/>
      <c r="R339" s="2"/>
      <c r="S339" s="2"/>
      <c r="T339" s="2"/>
      <c r="U339" s="2"/>
      <c r="V339" s="2"/>
      <c r="W339" s="2"/>
      <c r="X339" s="2"/>
      <c r="Y339" s="2"/>
      <c r="Z339" s="2"/>
    </row>
    <row r="340">
      <c r="A340" s="2" t="s">
        <v>13</v>
      </c>
      <c r="B340" s="1" t="s">
        <v>1692</v>
      </c>
      <c r="C340" s="1" t="s">
        <v>1655</v>
      </c>
      <c r="D340" s="1" t="s">
        <v>1693</v>
      </c>
      <c r="E340" s="1" t="s">
        <v>1694</v>
      </c>
      <c r="F340" s="1" t="s">
        <v>1695</v>
      </c>
      <c r="G340" s="1" t="s">
        <v>43</v>
      </c>
      <c r="H340" s="1" t="s">
        <v>569</v>
      </c>
      <c r="I340" s="1" t="s">
        <v>1659</v>
      </c>
      <c r="J340" s="2"/>
      <c r="K340" s="2"/>
      <c r="L340" s="2"/>
      <c r="M340" s="2"/>
      <c r="N340" s="2"/>
      <c r="O340" s="2"/>
      <c r="P340" s="2"/>
      <c r="Q340" s="2"/>
      <c r="R340" s="2"/>
      <c r="S340" s="2"/>
      <c r="T340" s="2"/>
      <c r="U340" s="2"/>
      <c r="V340" s="2"/>
      <c r="W340" s="2"/>
      <c r="X340" s="2"/>
      <c r="Y340" s="2"/>
      <c r="Z340" s="2"/>
    </row>
    <row r="341">
      <c r="A341" s="2" t="s">
        <v>13</v>
      </c>
      <c r="B341" s="1" t="s">
        <v>1696</v>
      </c>
      <c r="C341" s="1" t="s">
        <v>1655</v>
      </c>
      <c r="D341" s="1" t="s">
        <v>1697</v>
      </c>
      <c r="E341" s="1" t="s">
        <v>1698</v>
      </c>
      <c r="F341" s="1" t="s">
        <v>1699</v>
      </c>
      <c r="G341" s="1" t="s">
        <v>43</v>
      </c>
      <c r="H341" s="1" t="s">
        <v>569</v>
      </c>
      <c r="I341" s="1" t="s">
        <v>1659</v>
      </c>
      <c r="J341" s="2"/>
      <c r="K341" s="2"/>
      <c r="L341" s="2"/>
      <c r="M341" s="2"/>
      <c r="N341" s="2"/>
      <c r="O341" s="2"/>
      <c r="P341" s="2"/>
      <c r="Q341" s="2"/>
      <c r="R341" s="2"/>
      <c r="S341" s="2"/>
      <c r="T341" s="2"/>
      <c r="U341" s="2"/>
      <c r="V341" s="2"/>
      <c r="W341" s="2"/>
      <c r="X341" s="2"/>
      <c r="Y341" s="2"/>
      <c r="Z341" s="2"/>
    </row>
    <row r="342">
      <c r="A342" s="2" t="s">
        <v>13</v>
      </c>
      <c r="B342" s="1" t="s">
        <v>1700</v>
      </c>
      <c r="C342" s="1" t="s">
        <v>1655</v>
      </c>
      <c r="D342" s="1" t="s">
        <v>1701</v>
      </c>
      <c r="E342" s="1" t="s">
        <v>1702</v>
      </c>
      <c r="F342" s="1" t="s">
        <v>1703</v>
      </c>
      <c r="G342" s="1" t="s">
        <v>43</v>
      </c>
      <c r="H342" s="1" t="s">
        <v>569</v>
      </c>
      <c r="I342" s="1" t="s">
        <v>1659</v>
      </c>
      <c r="J342" s="2"/>
      <c r="K342" s="2"/>
      <c r="L342" s="2"/>
      <c r="M342" s="2"/>
      <c r="N342" s="2"/>
      <c r="O342" s="2"/>
      <c r="P342" s="2"/>
      <c r="Q342" s="2"/>
      <c r="R342" s="2"/>
      <c r="S342" s="2"/>
      <c r="T342" s="2"/>
      <c r="U342" s="2"/>
      <c r="V342" s="2"/>
      <c r="W342" s="2"/>
      <c r="X342" s="2"/>
      <c r="Y342" s="2"/>
      <c r="Z342" s="2"/>
    </row>
    <row r="343">
      <c r="A343" s="2" t="s">
        <v>13</v>
      </c>
      <c r="B343" s="1" t="s">
        <v>1704</v>
      </c>
      <c r="C343" s="1" t="s">
        <v>1655</v>
      </c>
      <c r="D343" s="1" t="s">
        <v>1705</v>
      </c>
      <c r="E343" s="1" t="s">
        <v>1706</v>
      </c>
      <c r="F343" s="1" t="s">
        <v>1707</v>
      </c>
      <c r="G343" s="1" t="s">
        <v>43</v>
      </c>
      <c r="H343" s="1" t="s">
        <v>1687</v>
      </c>
      <c r="I343" s="1" t="s">
        <v>1659</v>
      </c>
      <c r="J343" s="2"/>
      <c r="K343" s="2"/>
      <c r="L343" s="2"/>
      <c r="M343" s="2"/>
      <c r="N343" s="2"/>
      <c r="O343" s="2"/>
      <c r="P343" s="2"/>
      <c r="Q343" s="2"/>
      <c r="R343" s="2"/>
      <c r="S343" s="2"/>
      <c r="T343" s="2"/>
      <c r="U343" s="2"/>
      <c r="V343" s="2"/>
      <c r="W343" s="2"/>
      <c r="X343" s="2"/>
      <c r="Y343" s="2"/>
      <c r="Z343" s="2"/>
    </row>
    <row r="344">
      <c r="A344" s="2" t="s">
        <v>13</v>
      </c>
      <c r="B344" s="1" t="s">
        <v>1708</v>
      </c>
      <c r="C344" s="1" t="s">
        <v>1655</v>
      </c>
      <c r="D344" s="1" t="s">
        <v>1709</v>
      </c>
      <c r="E344" s="1" t="s">
        <v>1710</v>
      </c>
      <c r="F344" s="1" t="s">
        <v>1711</v>
      </c>
      <c r="G344" s="1" t="s">
        <v>21</v>
      </c>
      <c r="H344" s="1" t="s">
        <v>569</v>
      </c>
      <c r="I344" s="1" t="s">
        <v>1659</v>
      </c>
      <c r="J344" s="2"/>
      <c r="K344" s="2"/>
      <c r="L344" s="2"/>
      <c r="M344" s="2"/>
      <c r="N344" s="2"/>
      <c r="O344" s="2"/>
      <c r="P344" s="2"/>
      <c r="Q344" s="2"/>
      <c r="R344" s="2"/>
      <c r="S344" s="2"/>
      <c r="T344" s="2"/>
      <c r="U344" s="2"/>
      <c r="V344" s="2"/>
      <c r="W344" s="2"/>
      <c r="X344" s="2"/>
      <c r="Y344" s="2"/>
      <c r="Z344" s="2"/>
    </row>
    <row r="345">
      <c r="A345" s="2" t="s">
        <v>13</v>
      </c>
      <c r="B345" s="1" t="s">
        <v>1712</v>
      </c>
      <c r="C345" s="1" t="s">
        <v>1655</v>
      </c>
      <c r="D345" s="1" t="s">
        <v>1713</v>
      </c>
      <c r="E345" s="1" t="s">
        <v>1714</v>
      </c>
      <c r="F345" s="1" t="s">
        <v>1715</v>
      </c>
      <c r="G345" s="1" t="s">
        <v>21</v>
      </c>
      <c r="H345" s="1" t="s">
        <v>569</v>
      </c>
      <c r="I345" s="1" t="s">
        <v>1659</v>
      </c>
      <c r="J345" s="2"/>
      <c r="K345" s="2"/>
      <c r="L345" s="2"/>
      <c r="M345" s="2"/>
      <c r="N345" s="2"/>
      <c r="O345" s="2"/>
      <c r="P345" s="2"/>
      <c r="Q345" s="2"/>
      <c r="R345" s="2"/>
      <c r="S345" s="2"/>
      <c r="T345" s="2"/>
      <c r="U345" s="2"/>
      <c r="V345" s="2"/>
      <c r="W345" s="2"/>
      <c r="X345" s="2"/>
      <c r="Y345" s="2"/>
      <c r="Z345" s="2"/>
    </row>
    <row r="346">
      <c r="A346" s="2" t="s">
        <v>13</v>
      </c>
      <c r="B346" s="1" t="s">
        <v>1716</v>
      </c>
      <c r="C346" s="1" t="s">
        <v>1655</v>
      </c>
      <c r="D346" s="1" t="s">
        <v>1717</v>
      </c>
      <c r="E346" s="1" t="s">
        <v>1718</v>
      </c>
      <c r="F346" s="1" t="s">
        <v>1719</v>
      </c>
      <c r="G346" s="1" t="s">
        <v>21</v>
      </c>
      <c r="H346" s="1" t="s">
        <v>569</v>
      </c>
      <c r="I346" s="1" t="s">
        <v>1659</v>
      </c>
      <c r="J346" s="2"/>
      <c r="K346" s="2"/>
      <c r="L346" s="2"/>
      <c r="M346" s="2"/>
      <c r="N346" s="2"/>
      <c r="O346" s="2"/>
      <c r="P346" s="2"/>
      <c r="Q346" s="2"/>
      <c r="R346" s="2"/>
      <c r="S346" s="2"/>
      <c r="T346" s="2"/>
      <c r="U346" s="2"/>
      <c r="V346" s="2"/>
      <c r="W346" s="2"/>
      <c r="X346" s="2"/>
      <c r="Y346" s="2"/>
      <c r="Z346" s="2"/>
    </row>
    <row r="347">
      <c r="A347" s="2" t="s">
        <v>13</v>
      </c>
      <c r="B347" s="1" t="s">
        <v>1720</v>
      </c>
      <c r="C347" s="1" t="s">
        <v>1655</v>
      </c>
      <c r="D347" s="1" t="s">
        <v>1721</v>
      </c>
      <c r="E347" s="1" t="s">
        <v>1722</v>
      </c>
      <c r="F347" s="1" t="s">
        <v>1723</v>
      </c>
      <c r="G347" s="1" t="s">
        <v>21</v>
      </c>
      <c r="H347" s="1" t="s">
        <v>569</v>
      </c>
      <c r="I347" s="1" t="s">
        <v>1659</v>
      </c>
      <c r="J347" s="2"/>
      <c r="K347" s="2"/>
      <c r="L347" s="2"/>
      <c r="M347" s="2"/>
      <c r="N347" s="2"/>
      <c r="O347" s="2"/>
      <c r="P347" s="2"/>
      <c r="Q347" s="2"/>
      <c r="R347" s="2"/>
      <c r="S347" s="2"/>
      <c r="T347" s="2"/>
      <c r="U347" s="2"/>
      <c r="V347" s="2"/>
      <c r="W347" s="2"/>
      <c r="X347" s="2"/>
      <c r="Y347" s="2"/>
      <c r="Z347" s="2"/>
    </row>
    <row r="348">
      <c r="A348" s="2" t="s">
        <v>13</v>
      </c>
      <c r="B348" s="1" t="s">
        <v>1724</v>
      </c>
      <c r="C348" s="1" t="s">
        <v>1655</v>
      </c>
      <c r="D348" s="1" t="s">
        <v>1725</v>
      </c>
      <c r="E348" s="1" t="s">
        <v>1726</v>
      </c>
      <c r="F348" s="1" t="s">
        <v>1727</v>
      </c>
      <c r="G348" s="1" t="s">
        <v>43</v>
      </c>
      <c r="H348" s="1" t="s">
        <v>569</v>
      </c>
      <c r="I348" s="1" t="s">
        <v>1659</v>
      </c>
      <c r="J348" s="2"/>
      <c r="K348" s="2"/>
      <c r="L348" s="2"/>
      <c r="M348" s="2"/>
      <c r="N348" s="2"/>
      <c r="O348" s="2"/>
      <c r="P348" s="2"/>
      <c r="Q348" s="2"/>
      <c r="R348" s="2"/>
      <c r="S348" s="2"/>
      <c r="T348" s="2"/>
      <c r="U348" s="2"/>
      <c r="V348" s="2"/>
      <c r="W348" s="2"/>
      <c r="X348" s="2"/>
      <c r="Y348" s="2"/>
      <c r="Z348" s="2"/>
    </row>
    <row r="349">
      <c r="A349" s="2" t="s">
        <v>13</v>
      </c>
      <c r="B349" s="1" t="s">
        <v>1728</v>
      </c>
      <c r="C349" s="1" t="s">
        <v>1655</v>
      </c>
      <c r="D349" s="1" t="s">
        <v>1729</v>
      </c>
      <c r="E349" s="1" t="s">
        <v>1730</v>
      </c>
      <c r="F349" s="1" t="s">
        <v>1731</v>
      </c>
      <c r="G349" s="1" t="s">
        <v>43</v>
      </c>
      <c r="H349" s="1" t="s">
        <v>1687</v>
      </c>
      <c r="I349" s="1" t="s">
        <v>1659</v>
      </c>
      <c r="J349" s="2"/>
      <c r="K349" s="2"/>
      <c r="L349" s="2"/>
      <c r="M349" s="2"/>
      <c r="N349" s="2"/>
      <c r="O349" s="2"/>
      <c r="P349" s="2"/>
      <c r="Q349" s="2"/>
      <c r="R349" s="2"/>
      <c r="S349" s="2"/>
      <c r="T349" s="2"/>
      <c r="U349" s="2"/>
      <c r="V349" s="2"/>
      <c r="W349" s="2"/>
      <c r="X349" s="2"/>
      <c r="Y349" s="2"/>
      <c r="Z349" s="2"/>
    </row>
    <row r="350">
      <c r="A350" s="2" t="s">
        <v>13</v>
      </c>
      <c r="B350" s="1" t="s">
        <v>1732</v>
      </c>
      <c r="C350" s="1" t="s">
        <v>1655</v>
      </c>
      <c r="D350" s="1" t="s">
        <v>1733</v>
      </c>
      <c r="E350" s="1" t="s">
        <v>1734</v>
      </c>
      <c r="F350" s="1" t="s">
        <v>1735</v>
      </c>
      <c r="G350" s="1" t="s">
        <v>43</v>
      </c>
      <c r="H350" s="1" t="s">
        <v>1687</v>
      </c>
      <c r="I350" s="1" t="s">
        <v>1659</v>
      </c>
      <c r="J350" s="2"/>
      <c r="K350" s="2"/>
      <c r="L350" s="2"/>
      <c r="M350" s="2"/>
      <c r="N350" s="2"/>
      <c r="O350" s="2"/>
      <c r="P350" s="2"/>
      <c r="Q350" s="2"/>
      <c r="R350" s="2"/>
      <c r="S350" s="2"/>
      <c r="T350" s="2"/>
      <c r="U350" s="2"/>
      <c r="V350" s="2"/>
      <c r="W350" s="2"/>
      <c r="X350" s="2"/>
      <c r="Y350" s="2"/>
      <c r="Z350" s="2"/>
    </row>
    <row r="351">
      <c r="A351" s="2" t="s">
        <v>13</v>
      </c>
      <c r="B351" s="1" t="s">
        <v>1736</v>
      </c>
      <c r="C351" s="1" t="s">
        <v>1655</v>
      </c>
      <c r="D351" s="1" t="s">
        <v>1737</v>
      </c>
      <c r="E351" s="1" t="s">
        <v>1738</v>
      </c>
      <c r="F351" s="1" t="s">
        <v>1739</v>
      </c>
      <c r="G351" s="1" t="s">
        <v>43</v>
      </c>
      <c r="H351" s="1" t="s">
        <v>1687</v>
      </c>
      <c r="I351" s="1" t="s">
        <v>1659</v>
      </c>
      <c r="J351" s="2"/>
      <c r="K351" s="2"/>
      <c r="L351" s="2"/>
      <c r="M351" s="2"/>
      <c r="N351" s="2"/>
      <c r="O351" s="2"/>
      <c r="P351" s="2"/>
      <c r="Q351" s="2"/>
      <c r="R351" s="2"/>
      <c r="S351" s="2"/>
      <c r="T351" s="2"/>
      <c r="U351" s="2"/>
      <c r="V351" s="2"/>
      <c r="W351" s="2"/>
      <c r="X351" s="2"/>
      <c r="Y351" s="2"/>
      <c r="Z351" s="2"/>
    </row>
    <row r="352">
      <c r="A352" s="2" t="s">
        <v>13</v>
      </c>
      <c r="B352" s="1" t="s">
        <v>1740</v>
      </c>
      <c r="C352" s="1" t="s">
        <v>1655</v>
      </c>
      <c r="D352" s="1" t="s">
        <v>1741</v>
      </c>
      <c r="E352" s="1" t="s">
        <v>1742</v>
      </c>
      <c r="F352" s="1" t="s">
        <v>1743</v>
      </c>
      <c r="G352" s="1" t="s">
        <v>43</v>
      </c>
      <c r="H352" s="1" t="s">
        <v>1687</v>
      </c>
      <c r="I352" s="1" t="s">
        <v>1659</v>
      </c>
      <c r="J352" s="2"/>
      <c r="K352" s="2"/>
      <c r="L352" s="2"/>
      <c r="M352" s="2"/>
      <c r="N352" s="2"/>
      <c r="O352" s="2"/>
      <c r="P352" s="2"/>
      <c r="Q352" s="2"/>
      <c r="R352" s="2"/>
      <c r="S352" s="2"/>
      <c r="T352" s="2"/>
      <c r="U352" s="2"/>
      <c r="V352" s="2"/>
      <c r="W352" s="2"/>
      <c r="X352" s="2"/>
      <c r="Y352" s="2"/>
      <c r="Z352" s="2"/>
    </row>
    <row r="353">
      <c r="A353" s="2" t="s">
        <v>13</v>
      </c>
      <c r="B353" s="1" t="s">
        <v>1744</v>
      </c>
      <c r="C353" s="1" t="s">
        <v>1655</v>
      </c>
      <c r="D353" s="1" t="s">
        <v>1745</v>
      </c>
      <c r="E353" s="1" t="s">
        <v>1746</v>
      </c>
      <c r="F353" s="1" t="s">
        <v>1747</v>
      </c>
      <c r="G353" s="1" t="s">
        <v>43</v>
      </c>
      <c r="H353" s="1" t="s">
        <v>569</v>
      </c>
      <c r="I353" s="1" t="s">
        <v>1659</v>
      </c>
      <c r="J353" s="2"/>
      <c r="K353" s="2"/>
      <c r="L353" s="2"/>
      <c r="M353" s="2"/>
      <c r="N353" s="2"/>
      <c r="O353" s="2"/>
      <c r="P353" s="2"/>
      <c r="Q353" s="2"/>
      <c r="R353" s="2"/>
      <c r="S353" s="2"/>
      <c r="T353" s="2"/>
      <c r="U353" s="2"/>
      <c r="V353" s="2"/>
      <c r="W353" s="2"/>
      <c r="X353" s="2"/>
      <c r="Y353" s="2"/>
      <c r="Z353" s="2"/>
    </row>
    <row r="354">
      <c r="A354" s="2" t="s">
        <v>13</v>
      </c>
      <c r="B354" s="1" t="s">
        <v>1748</v>
      </c>
      <c r="C354" s="1" t="s">
        <v>1655</v>
      </c>
      <c r="D354" s="1" t="s">
        <v>1749</v>
      </c>
      <c r="E354" s="1" t="s">
        <v>1750</v>
      </c>
      <c r="F354" s="1" t="s">
        <v>1751</v>
      </c>
      <c r="G354" s="1" t="s">
        <v>43</v>
      </c>
      <c r="H354" s="1" t="s">
        <v>1752</v>
      </c>
      <c r="I354" s="1" t="s">
        <v>1659</v>
      </c>
      <c r="J354" s="2"/>
      <c r="K354" s="2"/>
      <c r="L354" s="2"/>
      <c r="M354" s="2"/>
      <c r="N354" s="2"/>
      <c r="O354" s="2"/>
      <c r="P354" s="2"/>
      <c r="Q354" s="2"/>
      <c r="R354" s="2"/>
      <c r="S354" s="2"/>
      <c r="T354" s="2"/>
      <c r="U354" s="2"/>
      <c r="V354" s="2"/>
      <c r="W354" s="2"/>
      <c r="X354" s="2"/>
      <c r="Y354" s="2"/>
      <c r="Z354" s="2"/>
    </row>
    <row r="355">
      <c r="A355" s="2" t="s">
        <v>13</v>
      </c>
      <c r="B355" s="1" t="s">
        <v>1753</v>
      </c>
      <c r="C355" s="1" t="s">
        <v>1655</v>
      </c>
      <c r="D355" s="1" t="s">
        <v>1754</v>
      </c>
      <c r="E355" s="1" t="s">
        <v>1755</v>
      </c>
      <c r="F355" s="1" t="s">
        <v>1756</v>
      </c>
      <c r="G355" s="1" t="s">
        <v>73</v>
      </c>
      <c r="H355" s="1" t="s">
        <v>569</v>
      </c>
      <c r="I355" s="1" t="s">
        <v>1659</v>
      </c>
      <c r="J355" s="2"/>
      <c r="K355" s="2"/>
      <c r="L355" s="2"/>
      <c r="M355" s="2"/>
      <c r="N355" s="2"/>
      <c r="O355" s="2"/>
      <c r="P355" s="2"/>
      <c r="Q355" s="2"/>
      <c r="R355" s="2"/>
      <c r="S355" s="2"/>
      <c r="T355" s="2"/>
      <c r="U355" s="2"/>
      <c r="V355" s="2"/>
      <c r="W355" s="2"/>
      <c r="X355" s="2"/>
      <c r="Y355" s="2"/>
      <c r="Z355" s="2"/>
    </row>
    <row r="356">
      <c r="A356" s="2" t="s">
        <v>13</v>
      </c>
      <c r="B356" s="1" t="s">
        <v>1757</v>
      </c>
      <c r="C356" s="1" t="s">
        <v>1655</v>
      </c>
      <c r="D356" s="1" t="s">
        <v>1758</v>
      </c>
      <c r="E356" s="1" t="s">
        <v>1759</v>
      </c>
      <c r="F356" s="1" t="s">
        <v>1760</v>
      </c>
      <c r="G356" s="1" t="s">
        <v>73</v>
      </c>
      <c r="H356" s="1" t="s">
        <v>569</v>
      </c>
      <c r="I356" s="1" t="s">
        <v>1659</v>
      </c>
      <c r="J356" s="2"/>
      <c r="K356" s="2"/>
      <c r="L356" s="2"/>
      <c r="M356" s="2"/>
      <c r="N356" s="2"/>
      <c r="O356" s="2"/>
      <c r="P356" s="2"/>
      <c r="Q356" s="2"/>
      <c r="R356" s="2"/>
      <c r="S356" s="2"/>
      <c r="T356" s="2"/>
      <c r="U356" s="2"/>
      <c r="V356" s="2"/>
      <c r="W356" s="2"/>
      <c r="X356" s="2"/>
      <c r="Y356" s="2"/>
      <c r="Z356" s="2"/>
    </row>
    <row r="357">
      <c r="A357" s="2" t="s">
        <v>13</v>
      </c>
      <c r="B357" s="1" t="s">
        <v>1761</v>
      </c>
      <c r="C357" s="1" t="s">
        <v>1655</v>
      </c>
      <c r="D357" s="1" t="s">
        <v>1762</v>
      </c>
      <c r="E357" s="1" t="s">
        <v>1763</v>
      </c>
      <c r="F357" s="1" t="s">
        <v>1764</v>
      </c>
      <c r="G357" s="1" t="s">
        <v>43</v>
      </c>
      <c r="H357" s="1" t="s">
        <v>569</v>
      </c>
      <c r="I357" s="1" t="s">
        <v>1659</v>
      </c>
      <c r="J357" s="2"/>
      <c r="K357" s="2"/>
      <c r="L357" s="2"/>
      <c r="M357" s="2"/>
      <c r="N357" s="2"/>
      <c r="O357" s="2"/>
      <c r="P357" s="2"/>
      <c r="Q357" s="2"/>
      <c r="R357" s="2"/>
      <c r="S357" s="2"/>
      <c r="T357" s="2"/>
      <c r="U357" s="2"/>
      <c r="V357" s="2"/>
      <c r="W357" s="2"/>
      <c r="X357" s="2"/>
      <c r="Y357" s="2"/>
      <c r="Z357" s="2"/>
    </row>
    <row r="358">
      <c r="A358" s="2" t="s">
        <v>13</v>
      </c>
      <c r="B358" s="1" t="s">
        <v>1765</v>
      </c>
      <c r="C358" s="1" t="s">
        <v>1655</v>
      </c>
      <c r="D358" s="1" t="s">
        <v>1766</v>
      </c>
      <c r="E358" s="1" t="s">
        <v>1767</v>
      </c>
      <c r="F358" s="1" t="s">
        <v>1768</v>
      </c>
      <c r="G358" s="1" t="s">
        <v>73</v>
      </c>
      <c r="H358" s="1" t="s">
        <v>569</v>
      </c>
      <c r="I358" s="1" t="s">
        <v>1659</v>
      </c>
      <c r="J358" s="2"/>
      <c r="K358" s="2"/>
      <c r="L358" s="2"/>
      <c r="M358" s="2"/>
      <c r="N358" s="2"/>
      <c r="O358" s="2"/>
      <c r="P358" s="2"/>
      <c r="Q358" s="2"/>
      <c r="R358" s="2"/>
      <c r="S358" s="2"/>
      <c r="T358" s="2"/>
      <c r="U358" s="2"/>
      <c r="V358" s="2"/>
      <c r="W358" s="2"/>
      <c r="X358" s="2"/>
      <c r="Y358" s="2"/>
      <c r="Z358" s="2"/>
    </row>
    <row r="359">
      <c r="A359" s="2" t="s">
        <v>13</v>
      </c>
      <c r="B359" s="1" t="s">
        <v>1769</v>
      </c>
      <c r="C359" s="1" t="s">
        <v>1655</v>
      </c>
      <c r="D359" s="1" t="s">
        <v>1770</v>
      </c>
      <c r="E359" s="1" t="s">
        <v>1771</v>
      </c>
      <c r="F359" s="1" t="s">
        <v>1772</v>
      </c>
      <c r="G359" s="1" t="s">
        <v>43</v>
      </c>
      <c r="H359" s="1" t="s">
        <v>569</v>
      </c>
      <c r="I359" s="1" t="s">
        <v>1659</v>
      </c>
      <c r="J359" s="2"/>
      <c r="K359" s="2"/>
      <c r="L359" s="2"/>
      <c r="M359" s="2"/>
      <c r="N359" s="2"/>
      <c r="O359" s="2"/>
      <c r="P359" s="2"/>
      <c r="Q359" s="2"/>
      <c r="R359" s="2"/>
      <c r="S359" s="2"/>
      <c r="T359" s="2"/>
      <c r="U359" s="2"/>
      <c r="V359" s="2"/>
      <c r="W359" s="2"/>
      <c r="X359" s="2"/>
      <c r="Y359" s="2"/>
      <c r="Z359" s="2"/>
    </row>
    <row r="360">
      <c r="A360" s="2" t="s">
        <v>13</v>
      </c>
      <c r="B360" s="1" t="s">
        <v>1773</v>
      </c>
      <c r="C360" s="1" t="s">
        <v>1655</v>
      </c>
      <c r="D360" s="1" t="s">
        <v>1774</v>
      </c>
      <c r="E360" s="1" t="s">
        <v>1775</v>
      </c>
      <c r="F360" s="1" t="s">
        <v>1776</v>
      </c>
      <c r="G360" s="1" t="s">
        <v>43</v>
      </c>
      <c r="H360" s="1" t="s">
        <v>569</v>
      </c>
      <c r="I360" s="1" t="s">
        <v>1659</v>
      </c>
      <c r="J360" s="2"/>
      <c r="K360" s="2"/>
      <c r="L360" s="2"/>
      <c r="M360" s="2"/>
      <c r="N360" s="2"/>
      <c r="O360" s="2"/>
      <c r="P360" s="2"/>
      <c r="Q360" s="2"/>
      <c r="R360" s="2"/>
      <c r="S360" s="2"/>
      <c r="T360" s="2"/>
      <c r="U360" s="2"/>
      <c r="V360" s="2"/>
      <c r="W360" s="2"/>
      <c r="X360" s="2"/>
      <c r="Y360" s="2"/>
      <c r="Z360" s="2"/>
    </row>
    <row r="361">
      <c r="A361" s="2" t="s">
        <v>13</v>
      </c>
      <c r="B361" s="1" t="s">
        <v>1777</v>
      </c>
      <c r="C361" s="1" t="s">
        <v>1655</v>
      </c>
      <c r="D361" s="1" t="s">
        <v>1778</v>
      </c>
      <c r="E361" s="1" t="s">
        <v>1779</v>
      </c>
      <c r="F361" s="1" t="s">
        <v>1780</v>
      </c>
      <c r="G361" s="1" t="s">
        <v>73</v>
      </c>
      <c r="H361" s="1" t="s">
        <v>569</v>
      </c>
      <c r="I361" s="1" t="s">
        <v>1659</v>
      </c>
      <c r="J361" s="2"/>
      <c r="K361" s="2"/>
      <c r="L361" s="2"/>
      <c r="M361" s="2"/>
      <c r="N361" s="2"/>
      <c r="O361" s="2"/>
      <c r="P361" s="2"/>
      <c r="Q361" s="2"/>
      <c r="R361" s="2"/>
      <c r="S361" s="2"/>
      <c r="T361" s="2"/>
      <c r="U361" s="2"/>
      <c r="V361" s="2"/>
      <c r="W361" s="2"/>
      <c r="X361" s="2"/>
      <c r="Y361" s="2"/>
      <c r="Z361" s="2"/>
    </row>
    <row r="362">
      <c r="A362" s="2" t="s">
        <v>13</v>
      </c>
      <c r="B362" s="1" t="s">
        <v>1781</v>
      </c>
      <c r="C362" s="1" t="s">
        <v>1655</v>
      </c>
      <c r="D362" s="1" t="s">
        <v>1782</v>
      </c>
      <c r="E362" s="1" t="s">
        <v>1783</v>
      </c>
      <c r="F362" s="1" t="s">
        <v>1784</v>
      </c>
      <c r="G362" s="1" t="s">
        <v>43</v>
      </c>
      <c r="H362" s="1" t="s">
        <v>1687</v>
      </c>
      <c r="I362" s="1" t="s">
        <v>1659</v>
      </c>
      <c r="J362" s="2"/>
      <c r="K362" s="2"/>
      <c r="L362" s="2"/>
      <c r="M362" s="2"/>
      <c r="N362" s="2"/>
      <c r="O362" s="2"/>
      <c r="P362" s="2"/>
      <c r="Q362" s="2"/>
      <c r="R362" s="2"/>
      <c r="S362" s="2"/>
      <c r="T362" s="2"/>
      <c r="U362" s="2"/>
      <c r="V362" s="2"/>
      <c r="W362" s="2"/>
      <c r="X362" s="2"/>
      <c r="Y362" s="2"/>
      <c r="Z362" s="2"/>
    </row>
    <row r="363">
      <c r="A363" s="2" t="s">
        <v>13</v>
      </c>
      <c r="B363" s="1" t="s">
        <v>1785</v>
      </c>
      <c r="C363" s="1" t="s">
        <v>1786</v>
      </c>
      <c r="D363" s="1" t="s">
        <v>1787</v>
      </c>
      <c r="E363" s="1" t="s">
        <v>1788</v>
      </c>
      <c r="F363" s="1" t="s">
        <v>1789</v>
      </c>
      <c r="G363" s="1" t="s">
        <v>43</v>
      </c>
      <c r="H363" s="1" t="s">
        <v>569</v>
      </c>
      <c r="I363" s="1" t="s">
        <v>1790</v>
      </c>
      <c r="J363" s="2"/>
      <c r="K363" s="2"/>
      <c r="L363" s="2"/>
      <c r="M363" s="2"/>
      <c r="N363" s="2"/>
      <c r="O363" s="2"/>
      <c r="P363" s="2"/>
      <c r="Q363" s="2"/>
      <c r="R363" s="2"/>
      <c r="S363" s="2"/>
      <c r="T363" s="2"/>
      <c r="U363" s="2"/>
      <c r="V363" s="2"/>
      <c r="W363" s="2"/>
      <c r="X363" s="2"/>
      <c r="Y363" s="2"/>
      <c r="Z363" s="2"/>
    </row>
    <row r="364">
      <c r="A364" s="2" t="s">
        <v>13</v>
      </c>
      <c r="B364" s="1" t="s">
        <v>1791</v>
      </c>
      <c r="C364" s="1" t="s">
        <v>1786</v>
      </c>
      <c r="D364" s="1" t="s">
        <v>1792</v>
      </c>
      <c r="E364" s="1" t="s">
        <v>1793</v>
      </c>
      <c r="F364" s="1" t="s">
        <v>1794</v>
      </c>
      <c r="G364" s="1" t="s">
        <v>43</v>
      </c>
      <c r="H364" s="1" t="s">
        <v>569</v>
      </c>
      <c r="I364" s="1" t="s">
        <v>1790</v>
      </c>
      <c r="J364" s="2"/>
      <c r="K364" s="2"/>
      <c r="L364" s="2"/>
      <c r="M364" s="2"/>
      <c r="N364" s="2"/>
      <c r="O364" s="2"/>
      <c r="P364" s="2"/>
      <c r="Q364" s="2"/>
      <c r="R364" s="2"/>
      <c r="S364" s="2"/>
      <c r="T364" s="2"/>
      <c r="U364" s="2"/>
      <c r="V364" s="2"/>
      <c r="W364" s="2"/>
      <c r="X364" s="2"/>
      <c r="Y364" s="2"/>
      <c r="Z364" s="2"/>
    </row>
    <row r="365">
      <c r="A365" s="2" t="s">
        <v>13</v>
      </c>
      <c r="B365" s="1" t="s">
        <v>1795</v>
      </c>
      <c r="C365" s="1" t="s">
        <v>1786</v>
      </c>
      <c r="D365" s="1" t="s">
        <v>1796</v>
      </c>
      <c r="E365" s="1" t="s">
        <v>1797</v>
      </c>
      <c r="F365" s="1" t="s">
        <v>1798</v>
      </c>
      <c r="G365" s="1" t="s">
        <v>43</v>
      </c>
      <c r="H365" s="1" t="s">
        <v>569</v>
      </c>
      <c r="I365" s="1" t="s">
        <v>1790</v>
      </c>
      <c r="J365" s="2"/>
      <c r="K365" s="2"/>
      <c r="L365" s="2"/>
      <c r="M365" s="2"/>
      <c r="N365" s="2"/>
      <c r="O365" s="2"/>
      <c r="P365" s="2"/>
      <c r="Q365" s="2"/>
      <c r="R365" s="2"/>
      <c r="S365" s="2"/>
      <c r="T365" s="2"/>
      <c r="U365" s="2"/>
      <c r="V365" s="2"/>
      <c r="W365" s="2"/>
      <c r="X365" s="2"/>
      <c r="Y365" s="2"/>
      <c r="Z365" s="2"/>
    </row>
    <row r="366">
      <c r="A366" s="2" t="s">
        <v>13</v>
      </c>
      <c r="B366" s="1" t="s">
        <v>1799</v>
      </c>
      <c r="C366" s="1" t="s">
        <v>1786</v>
      </c>
      <c r="D366" s="1" t="s">
        <v>1800</v>
      </c>
      <c r="E366" s="1" t="s">
        <v>1801</v>
      </c>
      <c r="F366" s="1" t="s">
        <v>1802</v>
      </c>
      <c r="G366" s="1" t="s">
        <v>43</v>
      </c>
      <c r="H366" s="1" t="s">
        <v>569</v>
      </c>
      <c r="I366" s="1" t="s">
        <v>1790</v>
      </c>
      <c r="J366" s="2"/>
      <c r="K366" s="2"/>
      <c r="L366" s="2"/>
      <c r="M366" s="2"/>
      <c r="N366" s="2"/>
      <c r="O366" s="2"/>
      <c r="P366" s="2"/>
      <c r="Q366" s="2"/>
      <c r="R366" s="2"/>
      <c r="S366" s="2"/>
      <c r="T366" s="2"/>
      <c r="U366" s="2"/>
      <c r="V366" s="2"/>
      <c r="W366" s="2"/>
      <c r="X366" s="2"/>
      <c r="Y366" s="2"/>
      <c r="Z366" s="2"/>
    </row>
    <row r="367">
      <c r="A367" s="2" t="s">
        <v>13</v>
      </c>
      <c r="B367" s="1" t="s">
        <v>1803</v>
      </c>
      <c r="C367" s="1" t="s">
        <v>1786</v>
      </c>
      <c r="D367" s="1" t="s">
        <v>1804</v>
      </c>
      <c r="E367" s="1" t="s">
        <v>1805</v>
      </c>
      <c r="F367" s="1" t="s">
        <v>1806</v>
      </c>
      <c r="G367" s="1" t="s">
        <v>43</v>
      </c>
      <c r="H367" s="1" t="s">
        <v>569</v>
      </c>
      <c r="I367" s="1" t="s">
        <v>1790</v>
      </c>
      <c r="J367" s="2"/>
      <c r="K367" s="2"/>
      <c r="L367" s="2"/>
      <c r="M367" s="2"/>
      <c r="N367" s="2"/>
      <c r="O367" s="2"/>
      <c r="P367" s="2"/>
      <c r="Q367" s="2"/>
      <c r="R367" s="2"/>
      <c r="S367" s="2"/>
      <c r="T367" s="2"/>
      <c r="U367" s="2"/>
      <c r="V367" s="2"/>
      <c r="W367" s="2"/>
      <c r="X367" s="2"/>
      <c r="Y367" s="2"/>
      <c r="Z367" s="2"/>
    </row>
    <row r="368">
      <c r="A368" s="2" t="s">
        <v>13</v>
      </c>
      <c r="B368" s="1" t="s">
        <v>1807</v>
      </c>
      <c r="C368" s="1" t="s">
        <v>1786</v>
      </c>
      <c r="D368" s="1" t="s">
        <v>1808</v>
      </c>
      <c r="E368" s="1" t="s">
        <v>1809</v>
      </c>
      <c r="F368" s="1" t="s">
        <v>1810</v>
      </c>
      <c r="G368" s="1" t="s">
        <v>43</v>
      </c>
      <c r="H368" s="1" t="s">
        <v>569</v>
      </c>
      <c r="I368" s="1" t="s">
        <v>1790</v>
      </c>
      <c r="J368" s="2"/>
      <c r="K368" s="2"/>
      <c r="L368" s="2"/>
      <c r="M368" s="2"/>
      <c r="N368" s="2"/>
      <c r="O368" s="2"/>
      <c r="P368" s="2"/>
      <c r="Q368" s="2"/>
      <c r="R368" s="2"/>
      <c r="S368" s="2"/>
      <c r="T368" s="2"/>
      <c r="U368" s="2"/>
      <c r="V368" s="2"/>
      <c r="W368" s="2"/>
      <c r="X368" s="2"/>
      <c r="Y368" s="2"/>
      <c r="Z368" s="2"/>
    </row>
    <row r="369">
      <c r="A369" s="2" t="s">
        <v>13</v>
      </c>
      <c r="B369" s="1" t="s">
        <v>1811</v>
      </c>
      <c r="C369" s="1" t="s">
        <v>1786</v>
      </c>
      <c r="D369" s="1" t="s">
        <v>1812</v>
      </c>
      <c r="E369" s="1" t="s">
        <v>1813</v>
      </c>
      <c r="F369" s="1" t="s">
        <v>1814</v>
      </c>
      <c r="G369" s="1" t="s">
        <v>43</v>
      </c>
      <c r="H369" s="1" t="s">
        <v>569</v>
      </c>
      <c r="I369" s="1" t="s">
        <v>1790</v>
      </c>
      <c r="J369" s="2"/>
      <c r="K369" s="2"/>
      <c r="L369" s="2"/>
      <c r="M369" s="2"/>
      <c r="N369" s="2"/>
      <c r="O369" s="2"/>
      <c r="P369" s="2"/>
      <c r="Q369" s="2"/>
      <c r="R369" s="2"/>
      <c r="S369" s="2"/>
      <c r="T369" s="2"/>
      <c r="U369" s="2"/>
      <c r="V369" s="2"/>
      <c r="W369" s="2"/>
      <c r="X369" s="2"/>
      <c r="Y369" s="2"/>
      <c r="Z369" s="2"/>
    </row>
    <row r="370">
      <c r="A370" s="2" t="s">
        <v>13</v>
      </c>
      <c r="B370" s="1" t="s">
        <v>1815</v>
      </c>
      <c r="C370" s="1" t="s">
        <v>1786</v>
      </c>
      <c r="D370" s="1" t="s">
        <v>1816</v>
      </c>
      <c r="E370" s="1" t="s">
        <v>1817</v>
      </c>
      <c r="F370" s="1" t="s">
        <v>1818</v>
      </c>
      <c r="G370" s="1" t="s">
        <v>43</v>
      </c>
      <c r="H370" s="1" t="s">
        <v>569</v>
      </c>
      <c r="I370" s="1" t="s">
        <v>1790</v>
      </c>
      <c r="J370" s="2"/>
      <c r="K370" s="2"/>
      <c r="L370" s="2"/>
      <c r="M370" s="2"/>
      <c r="N370" s="2"/>
      <c r="O370" s="2"/>
      <c r="P370" s="2"/>
      <c r="Q370" s="2"/>
      <c r="R370" s="2"/>
      <c r="S370" s="2"/>
      <c r="T370" s="2"/>
      <c r="U370" s="2"/>
      <c r="V370" s="2"/>
      <c r="W370" s="2"/>
      <c r="X370" s="2"/>
      <c r="Y370" s="2"/>
      <c r="Z370" s="2"/>
    </row>
    <row r="371">
      <c r="A371" s="2" t="s">
        <v>13</v>
      </c>
      <c r="B371" s="1" t="s">
        <v>1819</v>
      </c>
      <c r="C371" s="1" t="s">
        <v>1786</v>
      </c>
      <c r="D371" s="1" t="s">
        <v>1820</v>
      </c>
      <c r="E371" s="1" t="s">
        <v>1821</v>
      </c>
      <c r="F371" s="1" t="s">
        <v>1822</v>
      </c>
      <c r="G371" s="1" t="s">
        <v>43</v>
      </c>
      <c r="H371" s="1" t="s">
        <v>569</v>
      </c>
      <c r="I371" s="1" t="s">
        <v>1790</v>
      </c>
      <c r="J371" s="2"/>
      <c r="K371" s="2"/>
      <c r="L371" s="2"/>
      <c r="M371" s="2"/>
      <c r="N371" s="2"/>
      <c r="O371" s="2"/>
      <c r="P371" s="2"/>
      <c r="Q371" s="2"/>
      <c r="R371" s="2"/>
      <c r="S371" s="2"/>
      <c r="T371" s="2"/>
      <c r="U371" s="2"/>
      <c r="V371" s="2"/>
      <c r="W371" s="2"/>
      <c r="X371" s="2"/>
      <c r="Y371" s="2"/>
      <c r="Z371" s="2"/>
    </row>
    <row r="372">
      <c r="A372" s="2" t="s">
        <v>13</v>
      </c>
      <c r="B372" s="1" t="s">
        <v>1823</v>
      </c>
      <c r="C372" s="1" t="s">
        <v>1786</v>
      </c>
      <c r="D372" s="1" t="s">
        <v>1824</v>
      </c>
      <c r="E372" s="1" t="s">
        <v>1825</v>
      </c>
      <c r="F372" s="1" t="s">
        <v>1826</v>
      </c>
      <c r="G372" s="1" t="s">
        <v>43</v>
      </c>
      <c r="H372" s="1" t="s">
        <v>569</v>
      </c>
      <c r="I372" s="1" t="s">
        <v>1790</v>
      </c>
      <c r="J372" s="2"/>
      <c r="K372" s="2"/>
      <c r="L372" s="2"/>
      <c r="M372" s="2"/>
      <c r="N372" s="2"/>
      <c r="O372" s="2"/>
      <c r="P372" s="2"/>
      <c r="Q372" s="2"/>
      <c r="R372" s="2"/>
      <c r="S372" s="2"/>
      <c r="T372" s="2"/>
      <c r="U372" s="2"/>
      <c r="V372" s="2"/>
      <c r="W372" s="2"/>
      <c r="X372" s="2"/>
      <c r="Y372" s="2"/>
      <c r="Z372" s="2"/>
    </row>
    <row r="373">
      <c r="A373" s="2" t="s">
        <v>13</v>
      </c>
      <c r="B373" s="1" t="s">
        <v>1827</v>
      </c>
      <c r="C373" s="1" t="s">
        <v>1786</v>
      </c>
      <c r="D373" s="1" t="s">
        <v>1828</v>
      </c>
      <c r="E373" s="1" t="s">
        <v>1829</v>
      </c>
      <c r="F373" s="1" t="s">
        <v>1830</v>
      </c>
      <c r="G373" s="1" t="s">
        <v>43</v>
      </c>
      <c r="H373" s="1" t="s">
        <v>1831</v>
      </c>
      <c r="I373" s="1" t="s">
        <v>1790</v>
      </c>
      <c r="J373" s="2"/>
      <c r="K373" s="2"/>
      <c r="L373" s="2"/>
      <c r="M373" s="2"/>
      <c r="N373" s="2"/>
      <c r="O373" s="2"/>
      <c r="P373" s="2"/>
      <c r="Q373" s="2"/>
      <c r="R373" s="2"/>
      <c r="S373" s="2"/>
      <c r="T373" s="2"/>
      <c r="U373" s="2"/>
      <c r="V373" s="2"/>
      <c r="W373" s="2"/>
      <c r="X373" s="2"/>
      <c r="Y373" s="2"/>
      <c r="Z373" s="2"/>
    </row>
    <row r="374">
      <c r="A374" s="2" t="s">
        <v>13</v>
      </c>
      <c r="B374" s="1" t="s">
        <v>1832</v>
      </c>
      <c r="C374" s="1" t="s">
        <v>1786</v>
      </c>
      <c r="D374" s="1" t="s">
        <v>1833</v>
      </c>
      <c r="E374" s="1" t="s">
        <v>1834</v>
      </c>
      <c r="F374" s="1" t="s">
        <v>1835</v>
      </c>
      <c r="G374" s="1" t="s">
        <v>43</v>
      </c>
      <c r="H374" s="1" t="s">
        <v>1831</v>
      </c>
      <c r="I374" s="1" t="s">
        <v>1790</v>
      </c>
      <c r="J374" s="2"/>
      <c r="K374" s="2"/>
      <c r="L374" s="2"/>
      <c r="M374" s="2"/>
      <c r="N374" s="2"/>
      <c r="O374" s="2"/>
      <c r="P374" s="2"/>
      <c r="Q374" s="2"/>
      <c r="R374" s="2"/>
      <c r="S374" s="2"/>
      <c r="T374" s="2"/>
      <c r="U374" s="2"/>
      <c r="V374" s="2"/>
      <c r="W374" s="2"/>
      <c r="X374" s="2"/>
      <c r="Y374" s="2"/>
      <c r="Z374" s="2"/>
    </row>
    <row r="375">
      <c r="A375" s="2" t="s">
        <v>13</v>
      </c>
      <c r="B375" s="1" t="s">
        <v>1836</v>
      </c>
      <c r="C375" s="1" t="s">
        <v>1786</v>
      </c>
      <c r="D375" s="1" t="s">
        <v>1837</v>
      </c>
      <c r="E375" s="1" t="s">
        <v>1838</v>
      </c>
      <c r="F375" s="1" t="s">
        <v>1839</v>
      </c>
      <c r="G375" s="1" t="s">
        <v>43</v>
      </c>
      <c r="H375" s="1" t="s">
        <v>569</v>
      </c>
      <c r="I375" s="1" t="s">
        <v>1790</v>
      </c>
      <c r="J375" s="2"/>
      <c r="K375" s="2"/>
      <c r="L375" s="2"/>
      <c r="M375" s="2"/>
      <c r="N375" s="2"/>
      <c r="O375" s="2"/>
      <c r="P375" s="2"/>
      <c r="Q375" s="2"/>
      <c r="R375" s="2"/>
      <c r="S375" s="2"/>
      <c r="T375" s="2"/>
      <c r="U375" s="2"/>
      <c r="V375" s="2"/>
      <c r="W375" s="2"/>
      <c r="X375" s="2"/>
      <c r="Y375" s="2"/>
      <c r="Z375" s="2"/>
    </row>
    <row r="376">
      <c r="A376" s="2" t="s">
        <v>13</v>
      </c>
      <c r="B376" s="1" t="s">
        <v>1840</v>
      </c>
      <c r="C376" s="1" t="s">
        <v>1786</v>
      </c>
      <c r="D376" s="1" t="s">
        <v>1841</v>
      </c>
      <c r="E376" s="1" t="s">
        <v>1842</v>
      </c>
      <c r="F376" s="1" t="s">
        <v>1843</v>
      </c>
      <c r="G376" s="1" t="s">
        <v>21</v>
      </c>
      <c r="H376" s="1" t="s">
        <v>247</v>
      </c>
      <c r="I376" s="1" t="s">
        <v>1790</v>
      </c>
      <c r="J376" s="2"/>
      <c r="K376" s="2"/>
      <c r="L376" s="2"/>
      <c r="M376" s="2"/>
      <c r="N376" s="2"/>
      <c r="O376" s="2"/>
      <c r="P376" s="2"/>
      <c r="Q376" s="2"/>
      <c r="R376" s="2"/>
      <c r="S376" s="2"/>
      <c r="T376" s="2"/>
      <c r="U376" s="2"/>
      <c r="V376" s="2"/>
      <c r="W376" s="2"/>
      <c r="X376" s="2"/>
      <c r="Y376" s="2"/>
      <c r="Z376" s="2"/>
    </row>
    <row r="377">
      <c r="A377" s="2" t="s">
        <v>13</v>
      </c>
      <c r="B377" s="1" t="s">
        <v>1844</v>
      </c>
      <c r="C377" s="1" t="s">
        <v>1786</v>
      </c>
      <c r="D377" s="1" t="s">
        <v>1845</v>
      </c>
      <c r="E377" s="1" t="s">
        <v>1846</v>
      </c>
      <c r="F377" s="1" t="s">
        <v>1847</v>
      </c>
      <c r="G377" s="1" t="s">
        <v>21</v>
      </c>
      <c r="H377" s="1" t="s">
        <v>247</v>
      </c>
      <c r="I377" s="1" t="s">
        <v>1790</v>
      </c>
      <c r="J377" s="2"/>
      <c r="K377" s="2"/>
      <c r="L377" s="2"/>
      <c r="M377" s="2"/>
      <c r="N377" s="2"/>
      <c r="O377" s="2"/>
      <c r="P377" s="2"/>
      <c r="Q377" s="2"/>
      <c r="R377" s="2"/>
      <c r="S377" s="2"/>
      <c r="T377" s="2"/>
      <c r="U377" s="2"/>
      <c r="V377" s="2"/>
      <c r="W377" s="2"/>
      <c r="X377" s="2"/>
      <c r="Y377" s="2"/>
      <c r="Z377" s="2"/>
    </row>
    <row r="378">
      <c r="A378" s="2" t="s">
        <v>13</v>
      </c>
      <c r="B378" s="1" t="s">
        <v>1848</v>
      </c>
      <c r="C378" s="1" t="s">
        <v>1786</v>
      </c>
      <c r="D378" s="1" t="s">
        <v>1849</v>
      </c>
      <c r="E378" s="1" t="s">
        <v>1850</v>
      </c>
      <c r="F378" s="1" t="s">
        <v>1851</v>
      </c>
      <c r="G378" s="1" t="s">
        <v>21</v>
      </c>
      <c r="H378" s="1" t="s">
        <v>247</v>
      </c>
      <c r="I378" s="1" t="s">
        <v>1790</v>
      </c>
      <c r="J378" s="2"/>
      <c r="K378" s="2"/>
      <c r="L378" s="2"/>
      <c r="M378" s="2"/>
      <c r="N378" s="2"/>
      <c r="O378" s="2"/>
      <c r="P378" s="2"/>
      <c r="Q378" s="2"/>
      <c r="R378" s="2"/>
      <c r="S378" s="2"/>
      <c r="T378" s="2"/>
      <c r="U378" s="2"/>
      <c r="V378" s="2"/>
      <c r="W378" s="2"/>
      <c r="X378" s="2"/>
      <c r="Y378" s="2"/>
      <c r="Z378" s="2"/>
    </row>
    <row r="379">
      <c r="A379" s="2" t="s">
        <v>13</v>
      </c>
      <c r="B379" s="1" t="s">
        <v>1852</v>
      </c>
      <c r="C379" s="1" t="s">
        <v>1786</v>
      </c>
      <c r="D379" s="1" t="s">
        <v>1853</v>
      </c>
      <c r="E379" s="1" t="s">
        <v>1854</v>
      </c>
      <c r="F379" s="1" t="s">
        <v>1855</v>
      </c>
      <c r="G379" s="1" t="s">
        <v>43</v>
      </c>
      <c r="H379" s="1" t="s">
        <v>1831</v>
      </c>
      <c r="I379" s="1" t="s">
        <v>1790</v>
      </c>
      <c r="J379" s="2"/>
      <c r="K379" s="2"/>
      <c r="L379" s="2"/>
      <c r="M379" s="2"/>
      <c r="N379" s="2"/>
      <c r="O379" s="2"/>
      <c r="P379" s="2"/>
      <c r="Q379" s="2"/>
      <c r="R379" s="2"/>
      <c r="S379" s="2"/>
      <c r="T379" s="2"/>
      <c r="U379" s="2"/>
      <c r="V379" s="2"/>
      <c r="W379" s="2"/>
      <c r="X379" s="2"/>
      <c r="Y379" s="2"/>
      <c r="Z379" s="2"/>
    </row>
    <row r="380">
      <c r="A380" s="2" t="s">
        <v>13</v>
      </c>
      <c r="B380" s="1" t="s">
        <v>1856</v>
      </c>
      <c r="C380" s="1" t="s">
        <v>1786</v>
      </c>
      <c r="D380" s="1" t="s">
        <v>1857</v>
      </c>
      <c r="E380" s="1" t="s">
        <v>1858</v>
      </c>
      <c r="F380" s="1" t="s">
        <v>1859</v>
      </c>
      <c r="G380" s="1" t="s">
        <v>43</v>
      </c>
      <c r="H380" s="1" t="s">
        <v>1831</v>
      </c>
      <c r="I380" s="1" t="s">
        <v>1790</v>
      </c>
      <c r="J380" s="2"/>
      <c r="K380" s="2"/>
      <c r="L380" s="2"/>
      <c r="M380" s="2"/>
      <c r="N380" s="2"/>
      <c r="O380" s="2"/>
      <c r="P380" s="2"/>
      <c r="Q380" s="2"/>
      <c r="R380" s="2"/>
      <c r="S380" s="2"/>
      <c r="T380" s="2"/>
      <c r="U380" s="2"/>
      <c r="V380" s="2"/>
      <c r="W380" s="2"/>
      <c r="X380" s="2"/>
      <c r="Y380" s="2"/>
      <c r="Z380" s="2"/>
    </row>
    <row r="381">
      <c r="A381" s="2" t="s">
        <v>13</v>
      </c>
      <c r="B381" s="1" t="s">
        <v>1860</v>
      </c>
      <c r="C381" s="1" t="s">
        <v>1786</v>
      </c>
      <c r="D381" s="1" t="s">
        <v>1861</v>
      </c>
      <c r="E381" s="1" t="s">
        <v>1862</v>
      </c>
      <c r="F381" s="1" t="s">
        <v>1863</v>
      </c>
      <c r="G381" s="1" t="s">
        <v>43</v>
      </c>
      <c r="H381" s="1" t="s">
        <v>1831</v>
      </c>
      <c r="I381" s="1" t="s">
        <v>1790</v>
      </c>
      <c r="J381" s="2"/>
      <c r="K381" s="2"/>
      <c r="L381" s="2"/>
      <c r="M381" s="2"/>
      <c r="N381" s="2"/>
      <c r="O381" s="2"/>
      <c r="P381" s="2"/>
      <c r="Q381" s="2"/>
      <c r="R381" s="2"/>
      <c r="S381" s="2"/>
      <c r="T381" s="2"/>
      <c r="U381" s="2"/>
      <c r="V381" s="2"/>
      <c r="W381" s="2"/>
      <c r="X381" s="2"/>
      <c r="Y381" s="2"/>
      <c r="Z381" s="2"/>
    </row>
    <row r="382">
      <c r="A382" s="2" t="s">
        <v>13</v>
      </c>
      <c r="B382" s="1" t="s">
        <v>1864</v>
      </c>
      <c r="C382" s="1" t="s">
        <v>1786</v>
      </c>
      <c r="D382" s="1" t="s">
        <v>1865</v>
      </c>
      <c r="E382" s="1" t="s">
        <v>1866</v>
      </c>
      <c r="F382" s="1" t="s">
        <v>1867</v>
      </c>
      <c r="G382" s="1" t="s">
        <v>43</v>
      </c>
      <c r="H382" s="1" t="s">
        <v>1831</v>
      </c>
      <c r="I382" s="1" t="s">
        <v>1790</v>
      </c>
      <c r="J382" s="2"/>
      <c r="K382" s="2"/>
      <c r="L382" s="2"/>
      <c r="M382" s="2"/>
      <c r="N382" s="2"/>
      <c r="O382" s="2"/>
      <c r="P382" s="2"/>
      <c r="Q382" s="2"/>
      <c r="R382" s="2"/>
      <c r="S382" s="2"/>
      <c r="T382" s="2"/>
      <c r="U382" s="2"/>
      <c r="V382" s="2"/>
      <c r="W382" s="2"/>
      <c r="X382" s="2"/>
      <c r="Y382" s="2"/>
      <c r="Z382" s="2"/>
    </row>
    <row r="383">
      <c r="A383" s="2" t="s">
        <v>13</v>
      </c>
      <c r="B383" s="1" t="s">
        <v>1868</v>
      </c>
      <c r="C383" s="1" t="s">
        <v>1786</v>
      </c>
      <c r="D383" s="1" t="s">
        <v>1869</v>
      </c>
      <c r="E383" s="1" t="s">
        <v>1870</v>
      </c>
      <c r="F383" s="1" t="s">
        <v>1871</v>
      </c>
      <c r="G383" s="1" t="s">
        <v>43</v>
      </c>
      <c r="H383" s="1" t="s">
        <v>1831</v>
      </c>
      <c r="I383" s="1" t="s">
        <v>1790</v>
      </c>
      <c r="J383" s="2"/>
      <c r="K383" s="2"/>
      <c r="L383" s="2"/>
      <c r="M383" s="2"/>
      <c r="N383" s="2"/>
      <c r="O383" s="2"/>
      <c r="P383" s="2"/>
      <c r="Q383" s="2"/>
      <c r="R383" s="2"/>
      <c r="S383" s="2"/>
      <c r="T383" s="2"/>
      <c r="U383" s="2"/>
      <c r="V383" s="2"/>
      <c r="W383" s="2"/>
      <c r="X383" s="2"/>
      <c r="Y383" s="2"/>
      <c r="Z383" s="2"/>
    </row>
    <row r="384">
      <c r="A384" s="2" t="s">
        <v>13</v>
      </c>
      <c r="B384" s="1" t="s">
        <v>1872</v>
      </c>
      <c r="C384" s="1" t="s">
        <v>1786</v>
      </c>
      <c r="D384" s="1" t="s">
        <v>1873</v>
      </c>
      <c r="E384" s="1" t="s">
        <v>1874</v>
      </c>
      <c r="F384" s="1" t="s">
        <v>1875</v>
      </c>
      <c r="G384" s="1" t="s">
        <v>43</v>
      </c>
      <c r="H384" s="1" t="s">
        <v>1831</v>
      </c>
      <c r="I384" s="1" t="s">
        <v>1790</v>
      </c>
      <c r="J384" s="2"/>
      <c r="K384" s="2"/>
      <c r="L384" s="2"/>
      <c r="M384" s="2"/>
      <c r="N384" s="2"/>
      <c r="O384" s="2"/>
      <c r="P384" s="2"/>
      <c r="Q384" s="2"/>
      <c r="R384" s="2"/>
      <c r="S384" s="2"/>
      <c r="T384" s="2"/>
      <c r="U384" s="2"/>
      <c r="V384" s="2"/>
      <c r="W384" s="2"/>
      <c r="X384" s="2"/>
      <c r="Y384" s="2"/>
      <c r="Z384" s="2"/>
    </row>
    <row r="385">
      <c r="A385" s="2" t="s">
        <v>13</v>
      </c>
      <c r="B385" s="1" t="s">
        <v>1876</v>
      </c>
      <c r="C385" s="1" t="s">
        <v>1877</v>
      </c>
      <c r="D385" s="1" t="s">
        <v>1878</v>
      </c>
      <c r="E385" s="1" t="s">
        <v>1879</v>
      </c>
      <c r="F385" s="1" t="s">
        <v>1880</v>
      </c>
      <c r="G385" s="1" t="s">
        <v>43</v>
      </c>
      <c r="H385" s="1" t="s">
        <v>582</v>
      </c>
      <c r="I385" s="1" t="s">
        <v>1881</v>
      </c>
      <c r="J385" s="2"/>
      <c r="K385" s="2"/>
      <c r="L385" s="2"/>
      <c r="M385" s="2"/>
      <c r="N385" s="2"/>
      <c r="O385" s="2"/>
      <c r="P385" s="2"/>
      <c r="Q385" s="2"/>
      <c r="R385" s="2"/>
      <c r="S385" s="2"/>
      <c r="T385" s="2"/>
      <c r="U385" s="2"/>
      <c r="V385" s="2"/>
      <c r="W385" s="2"/>
      <c r="X385" s="2"/>
      <c r="Y385" s="2"/>
      <c r="Z385" s="2"/>
    </row>
    <row r="386">
      <c r="A386" s="2" t="s">
        <v>13</v>
      </c>
      <c r="B386" s="1" t="s">
        <v>1882</v>
      </c>
      <c r="C386" s="1" t="s">
        <v>1877</v>
      </c>
      <c r="D386" s="1" t="s">
        <v>1883</v>
      </c>
      <c r="E386" s="1" t="s">
        <v>1884</v>
      </c>
      <c r="F386" s="1" t="s">
        <v>1885</v>
      </c>
      <c r="G386" s="1" t="s">
        <v>43</v>
      </c>
      <c r="H386" s="1" t="s">
        <v>642</v>
      </c>
      <c r="I386" s="1" t="s">
        <v>1881</v>
      </c>
      <c r="J386" s="2"/>
      <c r="K386" s="2"/>
      <c r="L386" s="2"/>
      <c r="M386" s="2"/>
      <c r="N386" s="2"/>
      <c r="O386" s="2"/>
      <c r="P386" s="2"/>
      <c r="Q386" s="2"/>
      <c r="R386" s="2"/>
      <c r="S386" s="2"/>
      <c r="T386" s="2"/>
      <c r="U386" s="2"/>
      <c r="V386" s="2"/>
      <c r="W386" s="2"/>
      <c r="X386" s="2"/>
      <c r="Y386" s="2"/>
      <c r="Z386" s="2"/>
    </row>
    <row r="387">
      <c r="A387" s="2" t="s">
        <v>13</v>
      </c>
      <c r="B387" s="1" t="s">
        <v>1886</v>
      </c>
      <c r="C387" s="1" t="s">
        <v>1877</v>
      </c>
      <c r="D387" s="1" t="s">
        <v>1887</v>
      </c>
      <c r="E387" s="1" t="s">
        <v>1888</v>
      </c>
      <c r="F387" s="1" t="s">
        <v>1889</v>
      </c>
      <c r="G387" s="1" t="s">
        <v>21</v>
      </c>
      <c r="H387" s="1" t="s">
        <v>1890</v>
      </c>
      <c r="I387" s="1" t="s">
        <v>1881</v>
      </c>
      <c r="J387" s="2"/>
      <c r="K387" s="2"/>
      <c r="L387" s="2"/>
      <c r="M387" s="2"/>
      <c r="N387" s="2"/>
      <c r="O387" s="2"/>
      <c r="P387" s="2"/>
      <c r="Q387" s="2"/>
      <c r="R387" s="2"/>
      <c r="S387" s="2"/>
      <c r="T387" s="2"/>
      <c r="U387" s="2"/>
      <c r="V387" s="2"/>
      <c r="W387" s="2"/>
      <c r="X387" s="2"/>
      <c r="Y387" s="2"/>
      <c r="Z387" s="2"/>
    </row>
    <row r="388">
      <c r="A388" s="2" t="s">
        <v>13</v>
      </c>
      <c r="B388" s="1" t="s">
        <v>1891</v>
      </c>
      <c r="C388" s="1" t="s">
        <v>1877</v>
      </c>
      <c r="D388" s="1" t="s">
        <v>1892</v>
      </c>
      <c r="E388" s="1" t="s">
        <v>1893</v>
      </c>
      <c r="F388" s="1" t="s">
        <v>1894</v>
      </c>
      <c r="G388" s="1" t="s">
        <v>21</v>
      </c>
      <c r="H388" s="1" t="s">
        <v>1895</v>
      </c>
      <c r="I388" s="1" t="s">
        <v>1881</v>
      </c>
      <c r="J388" s="2"/>
      <c r="K388" s="2"/>
      <c r="L388" s="2"/>
      <c r="M388" s="2"/>
      <c r="N388" s="2"/>
      <c r="O388" s="2"/>
      <c r="P388" s="2"/>
      <c r="Q388" s="2"/>
      <c r="R388" s="2"/>
      <c r="S388" s="2"/>
      <c r="T388" s="2"/>
      <c r="U388" s="2"/>
      <c r="V388" s="2"/>
      <c r="W388" s="2"/>
      <c r="X388" s="2"/>
      <c r="Y388" s="2"/>
      <c r="Z388" s="2"/>
    </row>
    <row r="389">
      <c r="A389" s="2" t="s">
        <v>13</v>
      </c>
      <c r="B389" s="1" t="s">
        <v>1896</v>
      </c>
      <c r="C389" s="1" t="s">
        <v>1877</v>
      </c>
      <c r="D389" s="1" t="s">
        <v>1897</v>
      </c>
      <c r="E389" s="1" t="s">
        <v>1898</v>
      </c>
      <c r="F389" s="1" t="s">
        <v>1899</v>
      </c>
      <c r="G389" s="1" t="s">
        <v>43</v>
      </c>
      <c r="H389" s="1" t="s">
        <v>569</v>
      </c>
      <c r="I389" s="1" t="s">
        <v>1881</v>
      </c>
      <c r="J389" s="2"/>
      <c r="K389" s="2"/>
      <c r="L389" s="2"/>
      <c r="M389" s="2"/>
      <c r="N389" s="2"/>
      <c r="O389" s="2"/>
      <c r="P389" s="2"/>
      <c r="Q389" s="2"/>
      <c r="R389" s="2"/>
      <c r="S389" s="2"/>
      <c r="T389" s="2"/>
      <c r="U389" s="2"/>
      <c r="V389" s="2"/>
      <c r="W389" s="2"/>
      <c r="X389" s="2"/>
      <c r="Y389" s="2"/>
      <c r="Z389" s="2"/>
    </row>
    <row r="390">
      <c r="A390" s="2" t="s">
        <v>13</v>
      </c>
      <c r="B390" s="1" t="s">
        <v>1900</v>
      </c>
      <c r="C390" s="1" t="s">
        <v>1877</v>
      </c>
      <c r="D390" s="1" t="s">
        <v>1901</v>
      </c>
      <c r="E390" s="1" t="s">
        <v>1902</v>
      </c>
      <c r="F390" s="1" t="s">
        <v>1903</v>
      </c>
      <c r="G390" s="1" t="s">
        <v>43</v>
      </c>
      <c r="H390" s="1" t="s">
        <v>569</v>
      </c>
      <c r="I390" s="1" t="s">
        <v>1881</v>
      </c>
      <c r="J390" s="2"/>
      <c r="K390" s="2"/>
      <c r="L390" s="2"/>
      <c r="M390" s="2"/>
      <c r="N390" s="2"/>
      <c r="O390" s="2"/>
      <c r="P390" s="2"/>
      <c r="Q390" s="2"/>
      <c r="R390" s="2"/>
      <c r="S390" s="2"/>
      <c r="T390" s="2"/>
      <c r="U390" s="2"/>
      <c r="V390" s="2"/>
      <c r="W390" s="2"/>
      <c r="X390" s="2"/>
      <c r="Y390" s="2"/>
      <c r="Z390" s="2"/>
    </row>
    <row r="391">
      <c r="A391" s="2" t="s">
        <v>13</v>
      </c>
      <c r="B391" s="1" t="s">
        <v>1904</v>
      </c>
      <c r="C391" s="1" t="s">
        <v>1877</v>
      </c>
      <c r="D391" s="1" t="s">
        <v>1905</v>
      </c>
      <c r="E391" s="1" t="s">
        <v>1906</v>
      </c>
      <c r="F391" s="1" t="s">
        <v>1907</v>
      </c>
      <c r="G391" s="1" t="s">
        <v>43</v>
      </c>
      <c r="H391" s="1" t="s">
        <v>1895</v>
      </c>
      <c r="I391" s="1" t="s">
        <v>1881</v>
      </c>
      <c r="J391" s="2"/>
      <c r="K391" s="2"/>
      <c r="L391" s="2"/>
      <c r="M391" s="2"/>
      <c r="N391" s="2"/>
      <c r="O391" s="2"/>
      <c r="P391" s="2"/>
      <c r="Q391" s="2"/>
      <c r="R391" s="2"/>
      <c r="S391" s="2"/>
      <c r="T391" s="2"/>
      <c r="U391" s="2"/>
      <c r="V391" s="2"/>
      <c r="W391" s="2"/>
      <c r="X391" s="2"/>
      <c r="Y391" s="2"/>
      <c r="Z391" s="2"/>
    </row>
    <row r="392">
      <c r="A392" s="2" t="s">
        <v>13</v>
      </c>
      <c r="B392" s="1" t="s">
        <v>1908</v>
      </c>
      <c r="C392" s="1" t="s">
        <v>1877</v>
      </c>
      <c r="D392" s="1" t="s">
        <v>1909</v>
      </c>
      <c r="E392" s="1" t="s">
        <v>1910</v>
      </c>
      <c r="F392" s="1" t="s">
        <v>1911</v>
      </c>
      <c r="G392" s="1" t="s">
        <v>43</v>
      </c>
      <c r="H392" s="1" t="s">
        <v>1895</v>
      </c>
      <c r="I392" s="1" t="s">
        <v>1881</v>
      </c>
      <c r="J392" s="2"/>
      <c r="K392" s="2"/>
      <c r="L392" s="2"/>
      <c r="M392" s="2"/>
      <c r="N392" s="2"/>
      <c r="O392" s="2"/>
      <c r="P392" s="2"/>
      <c r="Q392" s="2"/>
      <c r="R392" s="2"/>
      <c r="S392" s="2"/>
      <c r="T392" s="2"/>
      <c r="U392" s="2"/>
      <c r="V392" s="2"/>
      <c r="W392" s="2"/>
      <c r="X392" s="2"/>
      <c r="Y392" s="2"/>
      <c r="Z392" s="2"/>
    </row>
    <row r="393">
      <c r="A393" s="2" t="s">
        <v>13</v>
      </c>
      <c r="B393" s="1" t="s">
        <v>1912</v>
      </c>
      <c r="C393" s="1" t="s">
        <v>1877</v>
      </c>
      <c r="D393" s="1" t="s">
        <v>1913</v>
      </c>
      <c r="E393" s="1" t="s">
        <v>1914</v>
      </c>
      <c r="F393" s="1" t="s">
        <v>1915</v>
      </c>
      <c r="G393" s="1" t="s">
        <v>43</v>
      </c>
      <c r="H393" s="1" t="s">
        <v>1895</v>
      </c>
      <c r="I393" s="1" t="s">
        <v>1881</v>
      </c>
      <c r="J393" s="2"/>
      <c r="K393" s="2"/>
      <c r="L393" s="2"/>
      <c r="M393" s="2"/>
      <c r="N393" s="2"/>
      <c r="O393" s="2"/>
      <c r="P393" s="2"/>
      <c r="Q393" s="2"/>
      <c r="R393" s="2"/>
      <c r="S393" s="2"/>
      <c r="T393" s="2"/>
      <c r="U393" s="2"/>
      <c r="V393" s="2"/>
      <c r="W393" s="2"/>
      <c r="X393" s="2"/>
      <c r="Y393" s="2"/>
      <c r="Z393" s="2"/>
    </row>
    <row r="394">
      <c r="A394" s="2" t="s">
        <v>13</v>
      </c>
      <c r="B394" s="1" t="s">
        <v>1916</v>
      </c>
      <c r="C394" s="1" t="s">
        <v>1877</v>
      </c>
      <c r="D394" s="1" t="s">
        <v>1917</v>
      </c>
      <c r="E394" s="1" t="s">
        <v>1918</v>
      </c>
      <c r="F394" s="1" t="s">
        <v>1919</v>
      </c>
      <c r="G394" s="1" t="s">
        <v>43</v>
      </c>
      <c r="H394" s="1" t="s">
        <v>1895</v>
      </c>
      <c r="I394" s="1" t="s">
        <v>1881</v>
      </c>
      <c r="J394" s="2"/>
      <c r="K394" s="2"/>
      <c r="L394" s="2"/>
      <c r="M394" s="2"/>
      <c r="N394" s="2"/>
      <c r="O394" s="2"/>
      <c r="P394" s="2"/>
      <c r="Q394" s="2"/>
      <c r="R394" s="2"/>
      <c r="S394" s="2"/>
      <c r="T394" s="2"/>
      <c r="U394" s="2"/>
      <c r="V394" s="2"/>
      <c r="W394" s="2"/>
      <c r="X394" s="2"/>
      <c r="Y394" s="2"/>
      <c r="Z394" s="2"/>
    </row>
    <row r="395">
      <c r="A395" s="2" t="s">
        <v>13</v>
      </c>
      <c r="B395" s="1" t="s">
        <v>1920</v>
      </c>
      <c r="C395" s="1" t="s">
        <v>1877</v>
      </c>
      <c r="D395" s="1" t="s">
        <v>1921</v>
      </c>
      <c r="E395" s="1" t="s">
        <v>1922</v>
      </c>
      <c r="F395" s="1" t="s">
        <v>1923</v>
      </c>
      <c r="G395" s="1" t="s">
        <v>43</v>
      </c>
      <c r="H395" s="1" t="s">
        <v>1895</v>
      </c>
      <c r="I395" s="1" t="s">
        <v>1881</v>
      </c>
      <c r="J395" s="2"/>
      <c r="K395" s="2"/>
      <c r="L395" s="2"/>
      <c r="M395" s="2"/>
      <c r="N395" s="2"/>
      <c r="O395" s="2"/>
      <c r="P395" s="2"/>
      <c r="Q395" s="2"/>
      <c r="R395" s="2"/>
      <c r="S395" s="2"/>
      <c r="T395" s="2"/>
      <c r="U395" s="2"/>
      <c r="V395" s="2"/>
      <c r="W395" s="2"/>
      <c r="X395" s="2"/>
      <c r="Y395" s="2"/>
      <c r="Z395" s="2"/>
    </row>
    <row r="396">
      <c r="A396" s="2" t="s">
        <v>13</v>
      </c>
      <c r="B396" s="1" t="s">
        <v>1924</v>
      </c>
      <c r="C396" s="1" t="s">
        <v>1877</v>
      </c>
      <c r="D396" s="1" t="s">
        <v>1925</v>
      </c>
      <c r="E396" s="1" t="s">
        <v>1926</v>
      </c>
      <c r="F396" s="1" t="s">
        <v>1927</v>
      </c>
      <c r="G396" s="1" t="s">
        <v>43</v>
      </c>
      <c r="H396" s="1" t="s">
        <v>1895</v>
      </c>
      <c r="I396" s="1" t="s">
        <v>1881</v>
      </c>
      <c r="J396" s="2"/>
      <c r="K396" s="2"/>
      <c r="L396" s="2"/>
      <c r="M396" s="2"/>
      <c r="N396" s="2"/>
      <c r="O396" s="2"/>
      <c r="P396" s="2"/>
      <c r="Q396" s="2"/>
      <c r="R396" s="2"/>
      <c r="S396" s="2"/>
      <c r="T396" s="2"/>
      <c r="U396" s="2"/>
      <c r="V396" s="2"/>
      <c r="W396" s="2"/>
      <c r="X396" s="2"/>
      <c r="Y396" s="2"/>
      <c r="Z396" s="2"/>
    </row>
    <row r="397">
      <c r="A397" s="2" t="s">
        <v>13</v>
      </c>
      <c r="B397" s="1" t="s">
        <v>1928</v>
      </c>
      <c r="C397" s="1" t="s">
        <v>1877</v>
      </c>
      <c r="D397" s="1" t="s">
        <v>1929</v>
      </c>
      <c r="E397" s="1" t="s">
        <v>1930</v>
      </c>
      <c r="F397" s="1" t="s">
        <v>1931</v>
      </c>
      <c r="G397" s="1" t="s">
        <v>43</v>
      </c>
      <c r="H397" s="1" t="s">
        <v>1895</v>
      </c>
      <c r="I397" s="1" t="s">
        <v>1881</v>
      </c>
      <c r="J397" s="2"/>
      <c r="K397" s="2"/>
      <c r="L397" s="2"/>
      <c r="M397" s="2"/>
      <c r="N397" s="2"/>
      <c r="O397" s="2"/>
      <c r="P397" s="2"/>
      <c r="Q397" s="2"/>
      <c r="R397" s="2"/>
      <c r="S397" s="2"/>
      <c r="T397" s="2"/>
      <c r="U397" s="2"/>
      <c r="V397" s="2"/>
      <c r="W397" s="2"/>
      <c r="X397" s="2"/>
      <c r="Y397" s="2"/>
      <c r="Z397" s="2"/>
    </row>
    <row r="398">
      <c r="A398" s="2" t="s">
        <v>13</v>
      </c>
      <c r="B398" s="1" t="s">
        <v>1932</v>
      </c>
      <c r="C398" s="1" t="s">
        <v>1877</v>
      </c>
      <c r="D398" s="1" t="s">
        <v>1933</v>
      </c>
      <c r="E398" s="1" t="s">
        <v>1934</v>
      </c>
      <c r="F398" s="1" t="s">
        <v>1935</v>
      </c>
      <c r="G398" s="1" t="s">
        <v>43</v>
      </c>
      <c r="H398" s="1" t="s">
        <v>1895</v>
      </c>
      <c r="I398" s="1" t="s">
        <v>1881</v>
      </c>
      <c r="J398" s="2"/>
      <c r="K398" s="2"/>
      <c r="L398" s="2"/>
      <c r="M398" s="2"/>
      <c r="N398" s="2"/>
      <c r="O398" s="2"/>
      <c r="P398" s="2"/>
      <c r="Q398" s="2"/>
      <c r="R398" s="2"/>
      <c r="S398" s="2"/>
      <c r="T398" s="2"/>
      <c r="U398" s="2"/>
      <c r="V398" s="2"/>
      <c r="W398" s="2"/>
      <c r="X398" s="2"/>
      <c r="Y398" s="2"/>
      <c r="Z398" s="2"/>
    </row>
    <row r="399">
      <c r="A399" s="2" t="s">
        <v>13</v>
      </c>
      <c r="B399" s="1" t="s">
        <v>1936</v>
      </c>
      <c r="C399" s="1" t="s">
        <v>1877</v>
      </c>
      <c r="D399" s="1" t="s">
        <v>1937</v>
      </c>
      <c r="E399" s="1" t="s">
        <v>1938</v>
      </c>
      <c r="F399" s="1" t="s">
        <v>1939</v>
      </c>
      <c r="G399" s="1" t="s">
        <v>43</v>
      </c>
      <c r="H399" s="1" t="s">
        <v>1895</v>
      </c>
      <c r="I399" s="1" t="s">
        <v>1881</v>
      </c>
      <c r="J399" s="2"/>
      <c r="K399" s="2"/>
      <c r="L399" s="2"/>
      <c r="M399" s="2"/>
      <c r="N399" s="2"/>
      <c r="O399" s="2"/>
      <c r="P399" s="2"/>
      <c r="Q399" s="2"/>
      <c r="R399" s="2"/>
      <c r="S399" s="2"/>
      <c r="T399" s="2"/>
      <c r="U399" s="2"/>
      <c r="V399" s="2"/>
      <c r="W399" s="2"/>
      <c r="X399" s="2"/>
      <c r="Y399" s="2"/>
      <c r="Z399" s="2"/>
    </row>
    <row r="400">
      <c r="A400" s="2" t="s">
        <v>13</v>
      </c>
      <c r="B400" s="1" t="s">
        <v>1940</v>
      </c>
      <c r="C400" s="1" t="s">
        <v>1877</v>
      </c>
      <c r="D400" s="1" t="s">
        <v>1941</v>
      </c>
      <c r="E400" s="1" t="s">
        <v>1942</v>
      </c>
      <c r="F400" s="1" t="s">
        <v>1943</v>
      </c>
      <c r="G400" s="1" t="s">
        <v>43</v>
      </c>
      <c r="H400" s="1" t="s">
        <v>569</v>
      </c>
      <c r="I400" s="1" t="s">
        <v>1881</v>
      </c>
      <c r="J400" s="2"/>
      <c r="K400" s="2"/>
      <c r="L400" s="2"/>
      <c r="M400" s="2"/>
      <c r="N400" s="2"/>
      <c r="O400" s="2"/>
      <c r="P400" s="2"/>
      <c r="Q400" s="2"/>
      <c r="R400" s="2"/>
      <c r="S400" s="2"/>
      <c r="T400" s="2"/>
      <c r="U400" s="2"/>
      <c r="V400" s="2"/>
      <c r="W400" s="2"/>
      <c r="X400" s="2"/>
      <c r="Y400" s="2"/>
      <c r="Z400" s="2"/>
    </row>
    <row r="401">
      <c r="A401" s="2" t="s">
        <v>13</v>
      </c>
      <c r="B401" s="1" t="s">
        <v>1944</v>
      </c>
      <c r="C401" s="1" t="s">
        <v>1877</v>
      </c>
      <c r="D401" s="1" t="s">
        <v>1945</v>
      </c>
      <c r="E401" s="1" t="s">
        <v>1946</v>
      </c>
      <c r="F401" s="1" t="s">
        <v>1947</v>
      </c>
      <c r="G401" s="1" t="s">
        <v>21</v>
      </c>
      <c r="H401" s="1" t="s">
        <v>1678</v>
      </c>
      <c r="I401" s="1" t="s">
        <v>1881</v>
      </c>
      <c r="J401" s="2"/>
      <c r="K401" s="2"/>
      <c r="L401" s="2"/>
      <c r="M401" s="2"/>
      <c r="N401" s="2"/>
      <c r="O401" s="2"/>
      <c r="P401" s="2"/>
      <c r="Q401" s="2"/>
      <c r="R401" s="2"/>
      <c r="S401" s="2"/>
      <c r="T401" s="2"/>
      <c r="U401" s="2"/>
      <c r="V401" s="2"/>
      <c r="W401" s="2"/>
      <c r="X401" s="2"/>
      <c r="Y401" s="2"/>
      <c r="Z401" s="2"/>
    </row>
    <row r="402">
      <c r="A402" s="2" t="s">
        <v>13</v>
      </c>
      <c r="B402" s="1" t="s">
        <v>1948</v>
      </c>
      <c r="C402" s="1" t="s">
        <v>1877</v>
      </c>
      <c r="D402" s="1" t="s">
        <v>1949</v>
      </c>
      <c r="E402" s="1" t="s">
        <v>1950</v>
      </c>
      <c r="F402" s="1" t="s">
        <v>1951</v>
      </c>
      <c r="G402" s="1" t="s">
        <v>43</v>
      </c>
      <c r="H402" s="1" t="s">
        <v>569</v>
      </c>
      <c r="I402" s="1" t="s">
        <v>1881</v>
      </c>
      <c r="J402" s="2"/>
      <c r="K402" s="2"/>
      <c r="L402" s="2"/>
      <c r="M402" s="2"/>
      <c r="N402" s="2"/>
      <c r="O402" s="2"/>
      <c r="P402" s="2"/>
      <c r="Q402" s="2"/>
      <c r="R402" s="2"/>
      <c r="S402" s="2"/>
      <c r="T402" s="2"/>
      <c r="U402" s="2"/>
      <c r="V402" s="2"/>
      <c r="W402" s="2"/>
      <c r="X402" s="2"/>
      <c r="Y402" s="2"/>
      <c r="Z402" s="2"/>
    </row>
    <row r="403">
      <c r="A403" s="2" t="s">
        <v>13</v>
      </c>
      <c r="B403" s="1" t="s">
        <v>1952</v>
      </c>
      <c r="C403" s="1" t="s">
        <v>1877</v>
      </c>
      <c r="D403" s="1" t="s">
        <v>1953</v>
      </c>
      <c r="E403" s="1" t="s">
        <v>1954</v>
      </c>
      <c r="F403" s="1" t="s">
        <v>1955</v>
      </c>
      <c r="G403" s="1" t="s">
        <v>43</v>
      </c>
      <c r="H403" s="1" t="s">
        <v>569</v>
      </c>
      <c r="I403" s="1" t="s">
        <v>1881</v>
      </c>
      <c r="J403" s="2"/>
      <c r="K403" s="2"/>
      <c r="L403" s="2"/>
      <c r="M403" s="2"/>
      <c r="N403" s="2"/>
      <c r="O403" s="2"/>
      <c r="P403" s="2"/>
      <c r="Q403" s="2"/>
      <c r="R403" s="2"/>
      <c r="S403" s="2"/>
      <c r="T403" s="2"/>
      <c r="U403" s="2"/>
      <c r="V403" s="2"/>
      <c r="W403" s="2"/>
      <c r="X403" s="2"/>
      <c r="Y403" s="2"/>
      <c r="Z403" s="2"/>
    </row>
    <row r="404">
      <c r="A404" s="2" t="s">
        <v>13</v>
      </c>
      <c r="B404" s="1" t="s">
        <v>1956</v>
      </c>
      <c r="C404" s="1" t="s">
        <v>1877</v>
      </c>
      <c r="D404" s="1" t="s">
        <v>1957</v>
      </c>
      <c r="E404" s="1" t="s">
        <v>1958</v>
      </c>
      <c r="F404" s="1" t="s">
        <v>1959</v>
      </c>
      <c r="G404" s="1" t="s">
        <v>43</v>
      </c>
      <c r="H404" s="1" t="s">
        <v>1895</v>
      </c>
      <c r="I404" s="1" t="s">
        <v>1881</v>
      </c>
      <c r="J404" s="2"/>
      <c r="K404" s="2"/>
      <c r="L404" s="2"/>
      <c r="M404" s="2"/>
      <c r="N404" s="2"/>
      <c r="O404" s="2"/>
      <c r="P404" s="2"/>
      <c r="Q404" s="2"/>
      <c r="R404" s="2"/>
      <c r="S404" s="2"/>
      <c r="T404" s="2"/>
      <c r="U404" s="2"/>
      <c r="V404" s="2"/>
      <c r="W404" s="2"/>
      <c r="X404" s="2"/>
      <c r="Y404" s="2"/>
      <c r="Z404" s="2"/>
    </row>
    <row r="405">
      <c r="A405" s="2" t="s">
        <v>13</v>
      </c>
      <c r="B405" s="1" t="s">
        <v>1960</v>
      </c>
      <c r="C405" s="1" t="s">
        <v>1877</v>
      </c>
      <c r="D405" s="1" t="s">
        <v>1961</v>
      </c>
      <c r="E405" s="1" t="s">
        <v>1962</v>
      </c>
      <c r="F405" s="1" t="s">
        <v>1963</v>
      </c>
      <c r="G405" s="1" t="s">
        <v>43</v>
      </c>
      <c r="H405" s="1" t="s">
        <v>569</v>
      </c>
      <c r="I405" s="1" t="s">
        <v>1881</v>
      </c>
      <c r="J405" s="2"/>
      <c r="K405" s="2"/>
      <c r="L405" s="2"/>
      <c r="M405" s="2"/>
      <c r="N405" s="2"/>
      <c r="O405" s="2"/>
      <c r="P405" s="2"/>
      <c r="Q405" s="2"/>
      <c r="R405" s="2"/>
      <c r="S405" s="2"/>
      <c r="T405" s="2"/>
      <c r="U405" s="2"/>
      <c r="V405" s="2"/>
      <c r="W405" s="2"/>
      <c r="X405" s="2"/>
      <c r="Y405" s="2"/>
      <c r="Z405" s="2"/>
    </row>
    <row r="406">
      <c r="A406" s="2" t="s">
        <v>13</v>
      </c>
      <c r="B406" s="1" t="s">
        <v>1964</v>
      </c>
      <c r="C406" s="1" t="s">
        <v>1877</v>
      </c>
      <c r="D406" s="1" t="s">
        <v>1965</v>
      </c>
      <c r="E406" s="1" t="s">
        <v>1966</v>
      </c>
      <c r="F406" s="1" t="s">
        <v>1967</v>
      </c>
      <c r="G406" s="1" t="s">
        <v>43</v>
      </c>
      <c r="H406" s="1" t="s">
        <v>569</v>
      </c>
      <c r="I406" s="1" t="s">
        <v>1881</v>
      </c>
      <c r="J406" s="2"/>
      <c r="K406" s="2"/>
      <c r="L406" s="2"/>
      <c r="M406" s="2"/>
      <c r="N406" s="2"/>
      <c r="O406" s="2"/>
      <c r="P406" s="2"/>
      <c r="Q406" s="2"/>
      <c r="R406" s="2"/>
      <c r="S406" s="2"/>
      <c r="T406" s="2"/>
      <c r="U406" s="2"/>
      <c r="V406" s="2"/>
      <c r="W406" s="2"/>
      <c r="X406" s="2"/>
      <c r="Y406" s="2"/>
      <c r="Z406" s="2"/>
    </row>
    <row r="407">
      <c r="A407" s="2" t="s">
        <v>13</v>
      </c>
      <c r="B407" s="1" t="s">
        <v>1968</v>
      </c>
      <c r="C407" s="1" t="s">
        <v>1877</v>
      </c>
      <c r="D407" s="1" t="s">
        <v>1969</v>
      </c>
      <c r="E407" s="1" t="s">
        <v>1970</v>
      </c>
      <c r="F407" s="1" t="s">
        <v>1971</v>
      </c>
      <c r="G407" s="1" t="s">
        <v>43</v>
      </c>
      <c r="H407" s="1" t="s">
        <v>569</v>
      </c>
      <c r="I407" s="1" t="s">
        <v>1881</v>
      </c>
      <c r="J407" s="2"/>
      <c r="K407" s="2"/>
      <c r="L407" s="2"/>
      <c r="M407" s="2"/>
      <c r="N407" s="2"/>
      <c r="O407" s="2"/>
      <c r="P407" s="2"/>
      <c r="Q407" s="2"/>
      <c r="R407" s="2"/>
      <c r="S407" s="2"/>
      <c r="T407" s="2"/>
      <c r="U407" s="2"/>
      <c r="V407" s="2"/>
      <c r="W407" s="2"/>
      <c r="X407" s="2"/>
      <c r="Y407" s="2"/>
      <c r="Z407" s="2"/>
    </row>
    <row r="408">
      <c r="A408" s="2" t="s">
        <v>13</v>
      </c>
      <c r="B408" s="1" t="s">
        <v>1972</v>
      </c>
      <c r="C408" s="1" t="s">
        <v>1877</v>
      </c>
      <c r="D408" s="1" t="s">
        <v>1973</v>
      </c>
      <c r="E408" s="1" t="s">
        <v>1974</v>
      </c>
      <c r="F408" s="1" t="s">
        <v>1975</v>
      </c>
      <c r="G408" s="1" t="s">
        <v>43</v>
      </c>
      <c r="H408" s="1" t="s">
        <v>1895</v>
      </c>
      <c r="I408" s="1" t="s">
        <v>1881</v>
      </c>
      <c r="J408" s="2"/>
      <c r="K408" s="2"/>
      <c r="L408" s="2"/>
      <c r="M408" s="2"/>
      <c r="N408" s="2"/>
      <c r="O408" s="2"/>
      <c r="P408" s="2"/>
      <c r="Q408" s="2"/>
      <c r="R408" s="2"/>
      <c r="S408" s="2"/>
      <c r="T408" s="2"/>
      <c r="U408" s="2"/>
      <c r="V408" s="2"/>
      <c r="W408" s="2"/>
      <c r="X408" s="2"/>
      <c r="Y408" s="2"/>
      <c r="Z408" s="2"/>
    </row>
    <row r="409">
      <c r="A409" s="2" t="s">
        <v>13</v>
      </c>
      <c r="B409" s="1" t="s">
        <v>1976</v>
      </c>
      <c r="C409" s="1" t="s">
        <v>1877</v>
      </c>
      <c r="D409" s="1" t="s">
        <v>1977</v>
      </c>
      <c r="E409" s="1" t="s">
        <v>1978</v>
      </c>
      <c r="F409" s="1" t="s">
        <v>1979</v>
      </c>
      <c r="G409" s="1" t="s">
        <v>43</v>
      </c>
      <c r="H409" s="1" t="s">
        <v>569</v>
      </c>
      <c r="I409" s="1" t="s">
        <v>1881</v>
      </c>
      <c r="J409" s="2"/>
      <c r="K409" s="2"/>
      <c r="L409" s="2"/>
      <c r="M409" s="2"/>
      <c r="N409" s="2"/>
      <c r="O409" s="2"/>
      <c r="P409" s="2"/>
      <c r="Q409" s="2"/>
      <c r="R409" s="2"/>
      <c r="S409" s="2"/>
      <c r="T409" s="2"/>
      <c r="U409" s="2"/>
      <c r="V409" s="2"/>
      <c r="W409" s="2"/>
      <c r="X409" s="2"/>
      <c r="Y409" s="2"/>
      <c r="Z409" s="2"/>
    </row>
    <row r="410">
      <c r="A410" s="2" t="s">
        <v>13</v>
      </c>
      <c r="B410" s="1" t="s">
        <v>1980</v>
      </c>
      <c r="C410" s="1" t="s">
        <v>1877</v>
      </c>
      <c r="D410" s="1" t="s">
        <v>1981</v>
      </c>
      <c r="E410" s="1" t="s">
        <v>1982</v>
      </c>
      <c r="F410" s="1" t="s">
        <v>1983</v>
      </c>
      <c r="G410" s="1" t="s">
        <v>43</v>
      </c>
      <c r="H410" s="1" t="s">
        <v>569</v>
      </c>
      <c r="I410" s="1" t="s">
        <v>1881</v>
      </c>
      <c r="J410" s="2"/>
      <c r="K410" s="2"/>
      <c r="L410" s="2"/>
      <c r="M410" s="2"/>
      <c r="N410" s="2"/>
      <c r="O410" s="2"/>
      <c r="P410" s="2"/>
      <c r="Q410" s="2"/>
      <c r="R410" s="2"/>
      <c r="S410" s="2"/>
      <c r="T410" s="2"/>
      <c r="U410" s="2"/>
      <c r="V410" s="2"/>
      <c r="W410" s="2"/>
      <c r="X410" s="2"/>
      <c r="Y410" s="2"/>
      <c r="Z410" s="2"/>
    </row>
    <row r="411">
      <c r="A411" s="2" t="s">
        <v>13</v>
      </c>
      <c r="B411" s="1" t="s">
        <v>1984</v>
      </c>
      <c r="C411" s="1" t="s">
        <v>1877</v>
      </c>
      <c r="D411" s="1" t="s">
        <v>1985</v>
      </c>
      <c r="E411" s="1" t="s">
        <v>1986</v>
      </c>
      <c r="F411" s="1" t="s">
        <v>1987</v>
      </c>
      <c r="G411" s="1" t="s">
        <v>43</v>
      </c>
      <c r="H411" s="1" t="s">
        <v>569</v>
      </c>
      <c r="I411" s="1" t="s">
        <v>1881</v>
      </c>
      <c r="J411" s="2"/>
      <c r="K411" s="2"/>
      <c r="L411" s="2"/>
      <c r="M411" s="2"/>
      <c r="N411" s="2"/>
      <c r="O411" s="2"/>
      <c r="P411" s="2"/>
      <c r="Q411" s="2"/>
      <c r="R411" s="2"/>
      <c r="S411" s="2"/>
      <c r="T411" s="2"/>
      <c r="U411" s="2"/>
      <c r="V411" s="2"/>
      <c r="W411" s="2"/>
      <c r="X411" s="2"/>
      <c r="Y411" s="2"/>
      <c r="Z411" s="2"/>
    </row>
    <row r="412">
      <c r="A412" s="2" t="s">
        <v>13</v>
      </c>
      <c r="B412" s="1" t="s">
        <v>1988</v>
      </c>
      <c r="C412" s="1" t="s">
        <v>1877</v>
      </c>
      <c r="D412" s="1" t="s">
        <v>1989</v>
      </c>
      <c r="E412" s="1" t="s">
        <v>1990</v>
      </c>
      <c r="F412" s="1" t="s">
        <v>1991</v>
      </c>
      <c r="G412" s="1" t="s">
        <v>43</v>
      </c>
      <c r="H412" s="1" t="s">
        <v>1895</v>
      </c>
      <c r="I412" s="1" t="s">
        <v>1881</v>
      </c>
      <c r="J412" s="2"/>
      <c r="K412" s="2"/>
      <c r="L412" s="2"/>
      <c r="M412" s="2"/>
      <c r="N412" s="2"/>
      <c r="O412" s="2"/>
      <c r="P412" s="2"/>
      <c r="Q412" s="2"/>
      <c r="R412" s="2"/>
      <c r="S412" s="2"/>
      <c r="T412" s="2"/>
      <c r="U412" s="2"/>
      <c r="V412" s="2"/>
      <c r="W412" s="2"/>
      <c r="X412" s="2"/>
      <c r="Y412" s="2"/>
      <c r="Z412" s="2"/>
    </row>
    <row r="413">
      <c r="A413" s="2" t="s">
        <v>13</v>
      </c>
      <c r="B413" s="1" t="s">
        <v>1992</v>
      </c>
      <c r="C413" s="1" t="s">
        <v>1877</v>
      </c>
      <c r="D413" s="1" t="s">
        <v>1993</v>
      </c>
      <c r="E413" s="1" t="s">
        <v>1994</v>
      </c>
      <c r="F413" s="1" t="s">
        <v>1995</v>
      </c>
      <c r="G413" s="1" t="s">
        <v>43</v>
      </c>
      <c r="H413" s="1" t="s">
        <v>1895</v>
      </c>
      <c r="I413" s="1" t="s">
        <v>1881</v>
      </c>
      <c r="J413" s="2"/>
      <c r="K413" s="2"/>
      <c r="L413" s="2"/>
      <c r="M413" s="2"/>
      <c r="N413" s="2"/>
      <c r="O413" s="2"/>
      <c r="P413" s="2"/>
      <c r="Q413" s="2"/>
      <c r="R413" s="2"/>
      <c r="S413" s="2"/>
      <c r="T413" s="2"/>
      <c r="U413" s="2"/>
      <c r="V413" s="2"/>
      <c r="W413" s="2"/>
      <c r="X413" s="2"/>
      <c r="Y413" s="2"/>
      <c r="Z413" s="2"/>
    </row>
    <row r="414">
      <c r="A414" s="2" t="s">
        <v>13</v>
      </c>
      <c r="B414" s="1" t="s">
        <v>1996</v>
      </c>
      <c r="C414" s="1" t="s">
        <v>1877</v>
      </c>
      <c r="D414" s="1" t="s">
        <v>1997</v>
      </c>
      <c r="E414" s="1" t="s">
        <v>1998</v>
      </c>
      <c r="F414" s="1" t="s">
        <v>1999</v>
      </c>
      <c r="G414" s="1" t="s">
        <v>43</v>
      </c>
      <c r="H414" s="1" t="s">
        <v>1895</v>
      </c>
      <c r="I414" s="1" t="s">
        <v>1881</v>
      </c>
      <c r="J414" s="2"/>
      <c r="K414" s="2"/>
      <c r="L414" s="2"/>
      <c r="M414" s="2"/>
      <c r="N414" s="2"/>
      <c r="O414" s="2"/>
      <c r="P414" s="2"/>
      <c r="Q414" s="2"/>
      <c r="R414" s="2"/>
      <c r="S414" s="2"/>
      <c r="T414" s="2"/>
      <c r="U414" s="2"/>
      <c r="V414" s="2"/>
      <c r="W414" s="2"/>
      <c r="X414" s="2"/>
      <c r="Y414" s="2"/>
      <c r="Z414" s="2"/>
    </row>
    <row r="415">
      <c r="A415" s="2" t="s">
        <v>13</v>
      </c>
      <c r="B415" s="1" t="s">
        <v>2000</v>
      </c>
      <c r="C415" s="1" t="s">
        <v>1877</v>
      </c>
      <c r="D415" s="1" t="s">
        <v>2001</v>
      </c>
      <c r="E415" s="1" t="s">
        <v>2002</v>
      </c>
      <c r="F415" s="1" t="s">
        <v>2003</v>
      </c>
      <c r="G415" s="1" t="s">
        <v>21</v>
      </c>
      <c r="H415" s="1" t="s">
        <v>247</v>
      </c>
      <c r="I415" s="1" t="s">
        <v>1881</v>
      </c>
      <c r="J415" s="2"/>
      <c r="K415" s="2"/>
      <c r="L415" s="2"/>
      <c r="M415" s="2"/>
      <c r="N415" s="2"/>
      <c r="O415" s="2"/>
      <c r="P415" s="2"/>
      <c r="Q415" s="2"/>
      <c r="R415" s="2"/>
      <c r="S415" s="2"/>
      <c r="T415" s="2"/>
      <c r="U415" s="2"/>
      <c r="V415" s="2"/>
      <c r="W415" s="2"/>
      <c r="X415" s="2"/>
      <c r="Y415" s="2"/>
      <c r="Z415" s="2"/>
    </row>
    <row r="416">
      <c r="A416" s="2" t="s">
        <v>13</v>
      </c>
      <c r="B416" s="1" t="s">
        <v>2004</v>
      </c>
      <c r="C416" s="1" t="s">
        <v>1877</v>
      </c>
      <c r="D416" s="1" t="s">
        <v>2005</v>
      </c>
      <c r="E416" s="1" t="s">
        <v>2006</v>
      </c>
      <c r="F416" s="1" t="s">
        <v>2007</v>
      </c>
      <c r="G416" s="1" t="s">
        <v>43</v>
      </c>
      <c r="H416" s="1" t="s">
        <v>1752</v>
      </c>
      <c r="I416" s="1" t="s">
        <v>1881</v>
      </c>
      <c r="J416" s="2"/>
      <c r="K416" s="2"/>
      <c r="L416" s="2"/>
      <c r="M416" s="2"/>
      <c r="N416" s="2"/>
      <c r="O416" s="2"/>
      <c r="P416" s="2"/>
      <c r="Q416" s="2"/>
      <c r="R416" s="2"/>
      <c r="S416" s="2"/>
      <c r="T416" s="2"/>
      <c r="U416" s="2"/>
      <c r="V416" s="2"/>
      <c r="W416" s="2"/>
      <c r="X416" s="2"/>
      <c r="Y416" s="2"/>
      <c r="Z416" s="2"/>
    </row>
    <row r="417">
      <c r="A417" s="2" t="s">
        <v>13</v>
      </c>
      <c r="B417" s="1" t="s">
        <v>2008</v>
      </c>
      <c r="C417" s="1" t="s">
        <v>1877</v>
      </c>
      <c r="D417" s="1" t="s">
        <v>2009</v>
      </c>
      <c r="E417" s="1" t="s">
        <v>2010</v>
      </c>
      <c r="F417" s="1" t="s">
        <v>2011</v>
      </c>
      <c r="G417" s="1" t="s">
        <v>43</v>
      </c>
      <c r="H417" s="1" t="s">
        <v>569</v>
      </c>
      <c r="I417" s="1" t="s">
        <v>1881</v>
      </c>
      <c r="J417" s="2"/>
      <c r="K417" s="2"/>
      <c r="L417" s="2"/>
      <c r="M417" s="2"/>
      <c r="N417" s="2"/>
      <c r="O417" s="2"/>
      <c r="P417" s="2"/>
      <c r="Q417" s="2"/>
      <c r="R417" s="2"/>
      <c r="S417" s="2"/>
      <c r="T417" s="2"/>
      <c r="U417" s="2"/>
      <c r="V417" s="2"/>
      <c r="W417" s="2"/>
      <c r="X417" s="2"/>
      <c r="Y417" s="2"/>
      <c r="Z417" s="2"/>
    </row>
    <row r="418">
      <c r="A418" s="2" t="s">
        <v>13</v>
      </c>
      <c r="B418" s="1" t="s">
        <v>2012</v>
      </c>
      <c r="C418" s="1" t="s">
        <v>1877</v>
      </c>
      <c r="D418" s="1" t="s">
        <v>2013</v>
      </c>
      <c r="E418" s="1" t="s">
        <v>2014</v>
      </c>
      <c r="F418" s="1" t="s">
        <v>2015</v>
      </c>
      <c r="G418" s="1" t="s">
        <v>21</v>
      </c>
      <c r="H418" s="1" t="s">
        <v>569</v>
      </c>
      <c r="I418" s="1" t="s">
        <v>1881</v>
      </c>
      <c r="J418" s="2"/>
      <c r="K418" s="2"/>
      <c r="L418" s="2"/>
      <c r="M418" s="2"/>
      <c r="N418" s="2"/>
      <c r="O418" s="2"/>
      <c r="P418" s="2"/>
      <c r="Q418" s="2"/>
      <c r="R418" s="2"/>
      <c r="S418" s="2"/>
      <c r="T418" s="2"/>
      <c r="U418" s="2"/>
      <c r="V418" s="2"/>
      <c r="W418" s="2"/>
      <c r="X418" s="2"/>
      <c r="Y418" s="2"/>
      <c r="Z418" s="2"/>
    </row>
    <row r="419">
      <c r="A419" s="2" t="s">
        <v>13</v>
      </c>
      <c r="B419" s="1" t="s">
        <v>2016</v>
      </c>
      <c r="C419" s="1" t="s">
        <v>1877</v>
      </c>
      <c r="D419" s="1" t="s">
        <v>2017</v>
      </c>
      <c r="E419" s="1" t="s">
        <v>2018</v>
      </c>
      <c r="F419" s="1" t="s">
        <v>2019</v>
      </c>
      <c r="G419" s="1" t="s">
        <v>21</v>
      </c>
      <c r="H419" s="1" t="s">
        <v>569</v>
      </c>
      <c r="I419" s="1" t="s">
        <v>1881</v>
      </c>
      <c r="J419" s="2"/>
      <c r="K419" s="2"/>
      <c r="L419" s="2"/>
      <c r="M419" s="2"/>
      <c r="N419" s="2"/>
      <c r="O419" s="2"/>
      <c r="P419" s="2"/>
      <c r="Q419" s="2"/>
      <c r="R419" s="2"/>
      <c r="S419" s="2"/>
      <c r="T419" s="2"/>
      <c r="U419" s="2"/>
      <c r="V419" s="2"/>
      <c r="W419" s="2"/>
      <c r="X419" s="2"/>
      <c r="Y419" s="2"/>
      <c r="Z419" s="2"/>
    </row>
    <row r="420">
      <c r="A420" s="2" t="s">
        <v>13</v>
      </c>
      <c r="B420" s="1" t="s">
        <v>2020</v>
      </c>
      <c r="C420" s="1" t="s">
        <v>2021</v>
      </c>
      <c r="D420" s="1" t="s">
        <v>2022</v>
      </c>
      <c r="E420" s="1" t="s">
        <v>2023</v>
      </c>
      <c r="F420" s="1" t="s">
        <v>2024</v>
      </c>
      <c r="G420" s="1" t="s">
        <v>43</v>
      </c>
      <c r="H420" s="1" t="s">
        <v>569</v>
      </c>
      <c r="I420" s="1" t="s">
        <v>2025</v>
      </c>
      <c r="J420" s="2"/>
      <c r="K420" s="2"/>
      <c r="L420" s="2"/>
      <c r="M420" s="2"/>
      <c r="N420" s="2"/>
      <c r="O420" s="2"/>
      <c r="P420" s="2"/>
      <c r="Q420" s="2"/>
      <c r="R420" s="2"/>
      <c r="S420" s="2"/>
      <c r="T420" s="2"/>
      <c r="U420" s="2"/>
      <c r="V420" s="2"/>
      <c r="W420" s="2"/>
      <c r="X420" s="2"/>
      <c r="Y420" s="2"/>
      <c r="Z420" s="2"/>
    </row>
    <row r="421">
      <c r="A421" s="2" t="s">
        <v>13</v>
      </c>
      <c r="B421" s="1" t="s">
        <v>2026</v>
      </c>
      <c r="C421" s="1" t="s">
        <v>2021</v>
      </c>
      <c r="D421" s="1" t="s">
        <v>2027</v>
      </c>
      <c r="E421" s="1" t="s">
        <v>2028</v>
      </c>
      <c r="F421" s="1" t="s">
        <v>2029</v>
      </c>
      <c r="G421" s="1" t="s">
        <v>43</v>
      </c>
      <c r="H421" s="1" t="s">
        <v>1752</v>
      </c>
      <c r="I421" s="1" t="s">
        <v>2025</v>
      </c>
      <c r="J421" s="2"/>
      <c r="K421" s="2"/>
      <c r="L421" s="2"/>
      <c r="M421" s="2"/>
      <c r="N421" s="2"/>
      <c r="O421" s="2"/>
      <c r="P421" s="2"/>
      <c r="Q421" s="2"/>
      <c r="R421" s="2"/>
      <c r="S421" s="2"/>
      <c r="T421" s="2"/>
      <c r="U421" s="2"/>
      <c r="V421" s="2"/>
      <c r="W421" s="2"/>
      <c r="X421" s="2"/>
      <c r="Y421" s="2"/>
      <c r="Z421" s="2"/>
    </row>
    <row r="422">
      <c r="A422" s="2" t="s">
        <v>13</v>
      </c>
      <c r="B422" s="1" t="s">
        <v>2030</v>
      </c>
      <c r="C422" s="1" t="s">
        <v>2021</v>
      </c>
      <c r="D422" s="1" t="s">
        <v>2031</v>
      </c>
      <c r="E422" s="1" t="s">
        <v>2032</v>
      </c>
      <c r="F422" s="1" t="s">
        <v>2033</v>
      </c>
      <c r="G422" s="1" t="s">
        <v>43</v>
      </c>
      <c r="H422" s="1" t="s">
        <v>569</v>
      </c>
      <c r="I422" s="1" t="s">
        <v>2025</v>
      </c>
      <c r="J422" s="2"/>
      <c r="K422" s="2"/>
      <c r="L422" s="2"/>
      <c r="M422" s="2"/>
      <c r="N422" s="2"/>
      <c r="O422" s="2"/>
      <c r="P422" s="2"/>
      <c r="Q422" s="2"/>
      <c r="R422" s="2"/>
      <c r="S422" s="2"/>
      <c r="T422" s="2"/>
      <c r="U422" s="2"/>
      <c r="V422" s="2"/>
      <c r="W422" s="2"/>
      <c r="X422" s="2"/>
      <c r="Y422" s="2"/>
      <c r="Z422" s="2"/>
    </row>
    <row r="423">
      <c r="A423" s="2" t="s">
        <v>13</v>
      </c>
      <c r="B423" s="1" t="s">
        <v>2034</v>
      </c>
      <c r="C423" s="1" t="s">
        <v>2021</v>
      </c>
      <c r="D423" s="1" t="s">
        <v>2035</v>
      </c>
      <c r="E423" s="1" t="s">
        <v>2036</v>
      </c>
      <c r="F423" s="1" t="s">
        <v>2037</v>
      </c>
      <c r="G423" s="1" t="s">
        <v>43</v>
      </c>
      <c r="H423" s="1" t="s">
        <v>2038</v>
      </c>
      <c r="I423" s="1" t="s">
        <v>2025</v>
      </c>
      <c r="J423" s="2"/>
      <c r="K423" s="2"/>
      <c r="L423" s="2"/>
      <c r="M423" s="2"/>
      <c r="N423" s="2"/>
      <c r="O423" s="2"/>
      <c r="P423" s="2"/>
      <c r="Q423" s="2"/>
      <c r="R423" s="2"/>
      <c r="S423" s="2"/>
      <c r="T423" s="2"/>
      <c r="U423" s="2"/>
      <c r="V423" s="2"/>
      <c r="W423" s="2"/>
      <c r="X423" s="2"/>
      <c r="Y423" s="2"/>
      <c r="Z423" s="2"/>
    </row>
    <row r="424">
      <c r="A424" s="2" t="s">
        <v>13</v>
      </c>
      <c r="B424" s="1" t="s">
        <v>2039</v>
      </c>
      <c r="C424" s="1" t="s">
        <v>2021</v>
      </c>
      <c r="D424" s="1" t="s">
        <v>2040</v>
      </c>
      <c r="E424" s="1" t="s">
        <v>2041</v>
      </c>
      <c r="F424" s="1" t="s">
        <v>2042</v>
      </c>
      <c r="G424" s="1" t="s">
        <v>21</v>
      </c>
      <c r="H424" s="1" t="s">
        <v>2038</v>
      </c>
      <c r="I424" s="1" t="s">
        <v>2025</v>
      </c>
      <c r="J424" s="2"/>
      <c r="K424" s="2"/>
      <c r="L424" s="2"/>
      <c r="M424" s="2"/>
      <c r="N424" s="2"/>
      <c r="O424" s="2"/>
      <c r="P424" s="2"/>
      <c r="Q424" s="2"/>
      <c r="R424" s="2"/>
      <c r="S424" s="2"/>
      <c r="T424" s="2"/>
      <c r="U424" s="2"/>
      <c r="V424" s="2"/>
      <c r="W424" s="2"/>
      <c r="X424" s="2"/>
      <c r="Y424" s="2"/>
      <c r="Z424" s="2"/>
    </row>
    <row r="425">
      <c r="A425" s="2" t="s">
        <v>13</v>
      </c>
      <c r="B425" s="1" t="s">
        <v>2043</v>
      </c>
      <c r="C425" s="1" t="s">
        <v>2021</v>
      </c>
      <c r="D425" s="1" t="s">
        <v>2044</v>
      </c>
      <c r="E425" s="1" t="s">
        <v>2045</v>
      </c>
      <c r="F425" s="1" t="s">
        <v>2046</v>
      </c>
      <c r="G425" s="1" t="s">
        <v>21</v>
      </c>
      <c r="H425" s="1" t="s">
        <v>2038</v>
      </c>
      <c r="I425" s="1" t="s">
        <v>2025</v>
      </c>
      <c r="J425" s="2"/>
      <c r="K425" s="2"/>
      <c r="L425" s="2"/>
      <c r="M425" s="2"/>
      <c r="N425" s="2"/>
      <c r="O425" s="2"/>
      <c r="P425" s="2"/>
      <c r="Q425" s="2"/>
      <c r="R425" s="2"/>
      <c r="S425" s="2"/>
      <c r="T425" s="2"/>
      <c r="U425" s="2"/>
      <c r="V425" s="2"/>
      <c r="W425" s="2"/>
      <c r="X425" s="2"/>
      <c r="Y425" s="2"/>
      <c r="Z425" s="2"/>
    </row>
    <row r="426">
      <c r="A426" s="2" t="s">
        <v>13</v>
      </c>
      <c r="B426" s="1" t="s">
        <v>2047</v>
      </c>
      <c r="C426" s="1" t="s">
        <v>2021</v>
      </c>
      <c r="D426" s="1" t="s">
        <v>2048</v>
      </c>
      <c r="E426" s="1" t="s">
        <v>2049</v>
      </c>
      <c r="F426" s="1" t="s">
        <v>2050</v>
      </c>
      <c r="G426" s="1" t="s">
        <v>43</v>
      </c>
      <c r="H426" s="1" t="s">
        <v>569</v>
      </c>
      <c r="I426" s="1" t="s">
        <v>2025</v>
      </c>
      <c r="J426" s="2"/>
      <c r="K426" s="2"/>
      <c r="L426" s="2"/>
      <c r="M426" s="2"/>
      <c r="N426" s="2"/>
      <c r="O426" s="2"/>
      <c r="P426" s="2"/>
      <c r="Q426" s="2"/>
      <c r="R426" s="2"/>
      <c r="S426" s="2"/>
      <c r="T426" s="2"/>
      <c r="U426" s="2"/>
      <c r="V426" s="2"/>
      <c r="W426" s="2"/>
      <c r="X426" s="2"/>
      <c r="Y426" s="2"/>
      <c r="Z426" s="2"/>
    </row>
    <row r="427">
      <c r="A427" s="2" t="s">
        <v>13</v>
      </c>
      <c r="B427" s="1" t="s">
        <v>2051</v>
      </c>
      <c r="C427" s="1" t="s">
        <v>2021</v>
      </c>
      <c r="D427" s="1" t="s">
        <v>2052</v>
      </c>
      <c r="E427" s="1" t="s">
        <v>2053</v>
      </c>
      <c r="F427" s="1" t="s">
        <v>2054</v>
      </c>
      <c r="G427" s="1" t="s">
        <v>43</v>
      </c>
      <c r="H427" s="1" t="s">
        <v>569</v>
      </c>
      <c r="I427" s="1" t="s">
        <v>2025</v>
      </c>
      <c r="J427" s="2"/>
      <c r="K427" s="2"/>
      <c r="L427" s="2"/>
      <c r="M427" s="2"/>
      <c r="N427" s="2"/>
      <c r="O427" s="2"/>
      <c r="P427" s="2"/>
      <c r="Q427" s="2"/>
      <c r="R427" s="2"/>
      <c r="S427" s="2"/>
      <c r="T427" s="2"/>
      <c r="U427" s="2"/>
      <c r="V427" s="2"/>
      <c r="W427" s="2"/>
      <c r="X427" s="2"/>
      <c r="Y427" s="2"/>
      <c r="Z427" s="2"/>
    </row>
    <row r="428">
      <c r="A428" s="2" t="s">
        <v>13</v>
      </c>
      <c r="B428" s="1" t="s">
        <v>2055</v>
      </c>
      <c r="C428" s="1" t="s">
        <v>2021</v>
      </c>
      <c r="D428" s="1" t="s">
        <v>2056</v>
      </c>
      <c r="E428" s="1" t="s">
        <v>2057</v>
      </c>
      <c r="F428" s="1" t="s">
        <v>2058</v>
      </c>
      <c r="G428" s="1" t="s">
        <v>43</v>
      </c>
      <c r="H428" s="1" t="s">
        <v>569</v>
      </c>
      <c r="I428" s="1" t="s">
        <v>2025</v>
      </c>
      <c r="J428" s="2"/>
      <c r="K428" s="2"/>
      <c r="L428" s="2"/>
      <c r="M428" s="2"/>
      <c r="N428" s="2"/>
      <c r="O428" s="2"/>
      <c r="P428" s="2"/>
      <c r="Q428" s="2"/>
      <c r="R428" s="2"/>
      <c r="S428" s="2"/>
      <c r="T428" s="2"/>
      <c r="U428" s="2"/>
      <c r="V428" s="2"/>
      <c r="W428" s="2"/>
      <c r="X428" s="2"/>
      <c r="Y428" s="2"/>
      <c r="Z428" s="2"/>
    </row>
    <row r="429">
      <c r="A429" s="2" t="s">
        <v>13</v>
      </c>
      <c r="B429" s="1" t="s">
        <v>2059</v>
      </c>
      <c r="C429" s="1" t="s">
        <v>2021</v>
      </c>
      <c r="D429" s="1" t="s">
        <v>2060</v>
      </c>
      <c r="E429" s="1" t="s">
        <v>2061</v>
      </c>
      <c r="F429" s="1" t="s">
        <v>2062</v>
      </c>
      <c r="G429" s="1" t="s">
        <v>43</v>
      </c>
      <c r="H429" s="1" t="s">
        <v>569</v>
      </c>
      <c r="I429" s="1" t="s">
        <v>2025</v>
      </c>
      <c r="J429" s="2"/>
      <c r="K429" s="2"/>
      <c r="L429" s="2"/>
      <c r="M429" s="2"/>
      <c r="N429" s="2"/>
      <c r="O429" s="2"/>
      <c r="P429" s="2"/>
      <c r="Q429" s="2"/>
      <c r="R429" s="2"/>
      <c r="S429" s="2"/>
      <c r="T429" s="2"/>
      <c r="U429" s="2"/>
      <c r="V429" s="2"/>
      <c r="W429" s="2"/>
      <c r="X429" s="2"/>
      <c r="Y429" s="2"/>
      <c r="Z429" s="2"/>
    </row>
    <row r="430">
      <c r="A430" s="2" t="s">
        <v>13</v>
      </c>
      <c r="B430" s="1" t="s">
        <v>2063</v>
      </c>
      <c r="C430" s="1" t="s">
        <v>2021</v>
      </c>
      <c r="D430" s="1" t="s">
        <v>2064</v>
      </c>
      <c r="E430" s="1" t="s">
        <v>2065</v>
      </c>
      <c r="F430" s="1" t="s">
        <v>2066</v>
      </c>
      <c r="G430" s="1" t="s">
        <v>43</v>
      </c>
      <c r="H430" s="1" t="s">
        <v>569</v>
      </c>
      <c r="I430" s="1" t="s">
        <v>2025</v>
      </c>
      <c r="J430" s="2"/>
      <c r="K430" s="2"/>
      <c r="L430" s="2"/>
      <c r="M430" s="2"/>
      <c r="N430" s="2"/>
      <c r="O430" s="2"/>
      <c r="P430" s="2"/>
      <c r="Q430" s="2"/>
      <c r="R430" s="2"/>
      <c r="S430" s="2"/>
      <c r="T430" s="2"/>
      <c r="U430" s="2"/>
      <c r="V430" s="2"/>
      <c r="W430" s="2"/>
      <c r="X430" s="2"/>
      <c r="Y430" s="2"/>
      <c r="Z430" s="2"/>
    </row>
    <row r="431">
      <c r="A431" s="2" t="s">
        <v>13</v>
      </c>
      <c r="B431" s="1" t="s">
        <v>2067</v>
      </c>
      <c r="C431" s="1" t="s">
        <v>2021</v>
      </c>
      <c r="D431" s="1" t="s">
        <v>2068</v>
      </c>
      <c r="E431" s="1" t="s">
        <v>2069</v>
      </c>
      <c r="F431" s="1" t="s">
        <v>2070</v>
      </c>
      <c r="G431" s="1" t="s">
        <v>43</v>
      </c>
      <c r="H431" s="1" t="s">
        <v>569</v>
      </c>
      <c r="I431" s="1" t="s">
        <v>2025</v>
      </c>
      <c r="J431" s="2"/>
      <c r="K431" s="2"/>
      <c r="L431" s="2"/>
      <c r="M431" s="2"/>
      <c r="N431" s="2"/>
      <c r="O431" s="2"/>
      <c r="P431" s="2"/>
      <c r="Q431" s="2"/>
      <c r="R431" s="2"/>
      <c r="S431" s="2"/>
      <c r="T431" s="2"/>
      <c r="U431" s="2"/>
      <c r="V431" s="2"/>
      <c r="W431" s="2"/>
      <c r="X431" s="2"/>
      <c r="Y431" s="2"/>
      <c r="Z431" s="2"/>
    </row>
    <row r="432">
      <c r="A432" s="2" t="s">
        <v>13</v>
      </c>
      <c r="B432" s="1" t="s">
        <v>2071</v>
      </c>
      <c r="C432" s="1" t="s">
        <v>2021</v>
      </c>
      <c r="D432" s="1" t="s">
        <v>2072</v>
      </c>
      <c r="E432" s="1" t="s">
        <v>2073</v>
      </c>
      <c r="F432" s="1" t="s">
        <v>2074</v>
      </c>
      <c r="G432" s="1" t="s">
        <v>43</v>
      </c>
      <c r="H432" s="1" t="s">
        <v>569</v>
      </c>
      <c r="I432" s="1" t="s">
        <v>2025</v>
      </c>
      <c r="J432" s="2"/>
      <c r="K432" s="2"/>
      <c r="L432" s="2"/>
      <c r="M432" s="2"/>
      <c r="N432" s="2"/>
      <c r="O432" s="2"/>
      <c r="P432" s="2"/>
      <c r="Q432" s="2"/>
      <c r="R432" s="2"/>
      <c r="S432" s="2"/>
      <c r="T432" s="2"/>
      <c r="U432" s="2"/>
      <c r="V432" s="2"/>
      <c r="W432" s="2"/>
      <c r="X432" s="2"/>
      <c r="Y432" s="2"/>
      <c r="Z432" s="2"/>
    </row>
    <row r="433">
      <c r="A433" s="2" t="s">
        <v>13</v>
      </c>
      <c r="B433" s="1" t="s">
        <v>2075</v>
      </c>
      <c r="C433" s="1" t="s">
        <v>2021</v>
      </c>
      <c r="D433" s="1" t="s">
        <v>2076</v>
      </c>
      <c r="E433" s="1" t="s">
        <v>2077</v>
      </c>
      <c r="F433" s="1" t="s">
        <v>2078</v>
      </c>
      <c r="G433" s="1" t="s">
        <v>43</v>
      </c>
      <c r="H433" s="1" t="s">
        <v>569</v>
      </c>
      <c r="I433" s="1" t="s">
        <v>2025</v>
      </c>
      <c r="J433" s="2"/>
      <c r="K433" s="2"/>
      <c r="L433" s="2"/>
      <c r="M433" s="2"/>
      <c r="N433" s="2"/>
      <c r="O433" s="2"/>
      <c r="P433" s="2"/>
      <c r="Q433" s="2"/>
      <c r="R433" s="2"/>
      <c r="S433" s="2"/>
      <c r="T433" s="2"/>
      <c r="U433" s="2"/>
      <c r="V433" s="2"/>
      <c r="W433" s="2"/>
      <c r="X433" s="2"/>
      <c r="Y433" s="2"/>
      <c r="Z433" s="2"/>
    </row>
    <row r="434">
      <c r="A434" s="2" t="s">
        <v>13</v>
      </c>
      <c r="B434" s="1" t="s">
        <v>2079</v>
      </c>
      <c r="C434" s="1" t="s">
        <v>2021</v>
      </c>
      <c r="D434" s="1" t="s">
        <v>2080</v>
      </c>
      <c r="E434" s="1" t="s">
        <v>2081</v>
      </c>
      <c r="F434" s="1" t="s">
        <v>2082</v>
      </c>
      <c r="G434" s="1" t="s">
        <v>43</v>
      </c>
      <c r="H434" s="1" t="s">
        <v>569</v>
      </c>
      <c r="I434" s="1" t="s">
        <v>2025</v>
      </c>
      <c r="J434" s="2"/>
      <c r="K434" s="2"/>
      <c r="L434" s="2"/>
      <c r="M434" s="2"/>
      <c r="N434" s="2"/>
      <c r="O434" s="2"/>
      <c r="P434" s="2"/>
      <c r="Q434" s="2"/>
      <c r="R434" s="2"/>
      <c r="S434" s="2"/>
      <c r="T434" s="2"/>
      <c r="U434" s="2"/>
      <c r="V434" s="2"/>
      <c r="W434" s="2"/>
      <c r="X434" s="2"/>
      <c r="Y434" s="2"/>
      <c r="Z434" s="2"/>
    </row>
    <row r="435">
      <c r="A435" s="2" t="s">
        <v>13</v>
      </c>
      <c r="B435" s="1" t="s">
        <v>2083</v>
      </c>
      <c r="C435" s="1" t="s">
        <v>2021</v>
      </c>
      <c r="D435" s="1" t="s">
        <v>2084</v>
      </c>
      <c r="E435" s="1" t="s">
        <v>2085</v>
      </c>
      <c r="F435" s="1" t="s">
        <v>2086</v>
      </c>
      <c r="G435" s="1" t="s">
        <v>21</v>
      </c>
      <c r="H435" s="1" t="s">
        <v>2038</v>
      </c>
      <c r="I435" s="1" t="s">
        <v>2025</v>
      </c>
      <c r="J435" s="2"/>
      <c r="K435" s="2"/>
      <c r="L435" s="2"/>
      <c r="M435" s="2"/>
      <c r="N435" s="2"/>
      <c r="O435" s="2"/>
      <c r="P435" s="2"/>
      <c r="Q435" s="2"/>
      <c r="R435" s="2"/>
      <c r="S435" s="2"/>
      <c r="T435" s="2"/>
      <c r="U435" s="2"/>
      <c r="V435" s="2"/>
      <c r="W435" s="2"/>
      <c r="X435" s="2"/>
      <c r="Y435" s="2"/>
      <c r="Z435" s="2"/>
    </row>
    <row r="436">
      <c r="A436" s="2" t="s">
        <v>13</v>
      </c>
      <c r="B436" s="1" t="s">
        <v>2087</v>
      </c>
      <c r="C436" s="1" t="s">
        <v>2021</v>
      </c>
      <c r="D436" s="1" t="s">
        <v>2088</v>
      </c>
      <c r="E436" s="1" t="s">
        <v>2089</v>
      </c>
      <c r="F436" s="1" t="s">
        <v>2090</v>
      </c>
      <c r="G436" s="1" t="s">
        <v>21</v>
      </c>
      <c r="H436" s="1" t="s">
        <v>247</v>
      </c>
      <c r="I436" s="1" t="s">
        <v>2025</v>
      </c>
      <c r="J436" s="2"/>
      <c r="K436" s="2"/>
      <c r="L436" s="2"/>
      <c r="M436" s="2"/>
      <c r="N436" s="2"/>
      <c r="O436" s="2"/>
      <c r="P436" s="2"/>
      <c r="Q436" s="2"/>
      <c r="R436" s="2"/>
      <c r="S436" s="2"/>
      <c r="T436" s="2"/>
      <c r="U436" s="2"/>
      <c r="V436" s="2"/>
      <c r="W436" s="2"/>
      <c r="X436" s="2"/>
      <c r="Y436" s="2"/>
      <c r="Z436" s="2"/>
    </row>
    <row r="437">
      <c r="A437" s="2" t="s">
        <v>13</v>
      </c>
      <c r="B437" s="1" t="s">
        <v>2091</v>
      </c>
      <c r="C437" s="1" t="s">
        <v>2021</v>
      </c>
      <c r="D437" s="1" t="s">
        <v>2092</v>
      </c>
      <c r="E437" s="1" t="s">
        <v>2093</v>
      </c>
      <c r="F437" s="1" t="s">
        <v>2094</v>
      </c>
      <c r="G437" s="1" t="s">
        <v>43</v>
      </c>
      <c r="H437" s="1" t="s">
        <v>2038</v>
      </c>
      <c r="I437" s="1" t="s">
        <v>2025</v>
      </c>
      <c r="J437" s="2"/>
      <c r="K437" s="2"/>
      <c r="L437" s="2"/>
      <c r="M437" s="2"/>
      <c r="N437" s="2"/>
      <c r="O437" s="2"/>
      <c r="P437" s="2"/>
      <c r="Q437" s="2"/>
      <c r="R437" s="2"/>
      <c r="S437" s="2"/>
      <c r="T437" s="2"/>
      <c r="U437" s="2"/>
      <c r="V437" s="2"/>
      <c r="W437" s="2"/>
      <c r="X437" s="2"/>
      <c r="Y437" s="2"/>
      <c r="Z437" s="2"/>
    </row>
    <row r="438">
      <c r="A438" s="2" t="s">
        <v>13</v>
      </c>
      <c r="B438" s="1" t="s">
        <v>2095</v>
      </c>
      <c r="C438" s="1" t="s">
        <v>2096</v>
      </c>
      <c r="D438" s="1" t="s">
        <v>2097</v>
      </c>
      <c r="E438" s="1" t="s">
        <v>2098</v>
      </c>
      <c r="F438" s="1" t="s">
        <v>2099</v>
      </c>
      <c r="G438" s="1" t="s">
        <v>43</v>
      </c>
      <c r="H438" s="1" t="s">
        <v>2100</v>
      </c>
      <c r="I438" s="1" t="s">
        <v>2101</v>
      </c>
      <c r="J438" s="2"/>
      <c r="K438" s="2"/>
      <c r="L438" s="2"/>
      <c r="M438" s="2"/>
      <c r="N438" s="2"/>
      <c r="O438" s="2"/>
      <c r="P438" s="2"/>
      <c r="Q438" s="2"/>
      <c r="R438" s="2"/>
      <c r="S438" s="2"/>
      <c r="T438" s="2"/>
      <c r="U438" s="2"/>
      <c r="V438" s="2"/>
      <c r="W438" s="2"/>
      <c r="X438" s="2"/>
      <c r="Y438" s="2"/>
      <c r="Z438" s="2"/>
    </row>
    <row r="439">
      <c r="A439" s="2" t="s">
        <v>13</v>
      </c>
      <c r="B439" s="1" t="s">
        <v>2102</v>
      </c>
      <c r="C439" s="1" t="s">
        <v>2096</v>
      </c>
      <c r="D439" s="1" t="s">
        <v>2103</v>
      </c>
      <c r="E439" s="1" t="s">
        <v>2104</v>
      </c>
      <c r="F439" s="1" t="s">
        <v>2105</v>
      </c>
      <c r="G439" s="1" t="s">
        <v>43</v>
      </c>
      <c r="H439" s="1" t="s">
        <v>569</v>
      </c>
      <c r="I439" s="1" t="s">
        <v>2101</v>
      </c>
      <c r="J439" s="2"/>
      <c r="K439" s="2"/>
      <c r="L439" s="2"/>
      <c r="M439" s="2"/>
      <c r="N439" s="2"/>
      <c r="O439" s="2"/>
      <c r="P439" s="2"/>
      <c r="Q439" s="2"/>
      <c r="R439" s="2"/>
      <c r="S439" s="2"/>
      <c r="T439" s="2"/>
      <c r="U439" s="2"/>
      <c r="V439" s="2"/>
      <c r="W439" s="2"/>
      <c r="X439" s="2"/>
      <c r="Y439" s="2"/>
      <c r="Z439" s="2"/>
    </row>
    <row r="440">
      <c r="A440" s="2" t="s">
        <v>13</v>
      </c>
      <c r="B440" s="1" t="s">
        <v>2106</v>
      </c>
      <c r="C440" s="1" t="s">
        <v>2096</v>
      </c>
      <c r="D440" s="1" t="s">
        <v>2107</v>
      </c>
      <c r="E440" s="1" t="s">
        <v>2108</v>
      </c>
      <c r="F440" s="1" t="s">
        <v>2109</v>
      </c>
      <c r="G440" s="1" t="s">
        <v>43</v>
      </c>
      <c r="H440" s="1" t="s">
        <v>569</v>
      </c>
      <c r="I440" s="1" t="s">
        <v>2101</v>
      </c>
      <c r="J440" s="2"/>
      <c r="K440" s="2"/>
      <c r="L440" s="2"/>
      <c r="M440" s="2"/>
      <c r="N440" s="2"/>
      <c r="O440" s="2"/>
      <c r="P440" s="2"/>
      <c r="Q440" s="2"/>
      <c r="R440" s="2"/>
      <c r="S440" s="2"/>
      <c r="T440" s="2"/>
      <c r="U440" s="2"/>
      <c r="V440" s="2"/>
      <c r="W440" s="2"/>
      <c r="X440" s="2"/>
      <c r="Y440" s="2"/>
      <c r="Z440" s="2"/>
    </row>
    <row r="441">
      <c r="A441" s="2" t="s">
        <v>13</v>
      </c>
      <c r="B441" s="1" t="s">
        <v>2110</v>
      </c>
      <c r="C441" s="1" t="s">
        <v>2096</v>
      </c>
      <c r="D441" s="1" t="s">
        <v>2111</v>
      </c>
      <c r="E441" s="1" t="s">
        <v>2112</v>
      </c>
      <c r="F441" s="1" t="s">
        <v>2113</v>
      </c>
      <c r="G441" s="1" t="s">
        <v>43</v>
      </c>
      <c r="H441" s="1" t="s">
        <v>2100</v>
      </c>
      <c r="I441" s="1" t="s">
        <v>2101</v>
      </c>
      <c r="J441" s="2"/>
      <c r="K441" s="2"/>
      <c r="L441" s="2"/>
      <c r="M441" s="2"/>
      <c r="N441" s="2"/>
      <c r="O441" s="2"/>
      <c r="P441" s="2"/>
      <c r="Q441" s="2"/>
      <c r="R441" s="2"/>
      <c r="S441" s="2"/>
      <c r="T441" s="2"/>
      <c r="U441" s="2"/>
      <c r="V441" s="2"/>
      <c r="W441" s="2"/>
      <c r="X441" s="2"/>
      <c r="Y441" s="2"/>
      <c r="Z441" s="2"/>
    </row>
    <row r="442">
      <c r="A442" s="2" t="s">
        <v>13</v>
      </c>
      <c r="B442" s="1" t="s">
        <v>2114</v>
      </c>
      <c r="C442" s="1" t="s">
        <v>2096</v>
      </c>
      <c r="D442" s="1" t="s">
        <v>2115</v>
      </c>
      <c r="E442" s="1" t="s">
        <v>2116</v>
      </c>
      <c r="F442" s="1" t="s">
        <v>2117</v>
      </c>
      <c r="G442" s="1" t="s">
        <v>43</v>
      </c>
      <c r="H442" s="1" t="s">
        <v>2100</v>
      </c>
      <c r="I442" s="1" t="s">
        <v>2101</v>
      </c>
      <c r="J442" s="2"/>
      <c r="K442" s="2"/>
      <c r="L442" s="2"/>
      <c r="M442" s="2"/>
      <c r="N442" s="2"/>
      <c r="O442" s="2"/>
      <c r="P442" s="2"/>
      <c r="Q442" s="2"/>
      <c r="R442" s="2"/>
      <c r="S442" s="2"/>
      <c r="T442" s="2"/>
      <c r="U442" s="2"/>
      <c r="V442" s="2"/>
      <c r="W442" s="2"/>
      <c r="X442" s="2"/>
      <c r="Y442" s="2"/>
      <c r="Z442" s="2"/>
    </row>
    <row r="443">
      <c r="A443" s="2" t="s">
        <v>13</v>
      </c>
      <c r="B443" s="1" t="s">
        <v>2118</v>
      </c>
      <c r="C443" s="1" t="s">
        <v>2096</v>
      </c>
      <c r="D443" s="1" t="s">
        <v>2119</v>
      </c>
      <c r="E443" s="1" t="s">
        <v>2120</v>
      </c>
      <c r="F443" s="1" t="s">
        <v>2121</v>
      </c>
      <c r="G443" s="1" t="s">
        <v>21</v>
      </c>
      <c r="H443" s="1" t="s">
        <v>2100</v>
      </c>
      <c r="I443" s="1" t="s">
        <v>2101</v>
      </c>
      <c r="J443" s="2"/>
      <c r="K443" s="2"/>
      <c r="L443" s="2"/>
      <c r="M443" s="2"/>
      <c r="N443" s="2"/>
      <c r="O443" s="2"/>
      <c r="P443" s="2"/>
      <c r="Q443" s="2"/>
      <c r="R443" s="2"/>
      <c r="S443" s="2"/>
      <c r="T443" s="2"/>
      <c r="U443" s="2"/>
      <c r="V443" s="2"/>
      <c r="W443" s="2"/>
      <c r="X443" s="2"/>
      <c r="Y443" s="2"/>
      <c r="Z443" s="2"/>
    </row>
    <row r="444">
      <c r="A444" s="2" t="s">
        <v>13</v>
      </c>
      <c r="B444" s="1" t="s">
        <v>2122</v>
      </c>
      <c r="C444" s="1" t="s">
        <v>2096</v>
      </c>
      <c r="D444" s="1" t="s">
        <v>2123</v>
      </c>
      <c r="E444" s="1" t="s">
        <v>2124</v>
      </c>
      <c r="F444" s="1" t="s">
        <v>2125</v>
      </c>
      <c r="G444" s="1" t="s">
        <v>21</v>
      </c>
      <c r="H444" s="1" t="s">
        <v>2100</v>
      </c>
      <c r="I444" s="1" t="s">
        <v>2101</v>
      </c>
      <c r="J444" s="2"/>
      <c r="K444" s="2"/>
      <c r="L444" s="2"/>
      <c r="M444" s="2"/>
      <c r="N444" s="2"/>
      <c r="O444" s="2"/>
      <c r="P444" s="2"/>
      <c r="Q444" s="2"/>
      <c r="R444" s="2"/>
      <c r="S444" s="2"/>
      <c r="T444" s="2"/>
      <c r="U444" s="2"/>
      <c r="V444" s="2"/>
      <c r="W444" s="2"/>
      <c r="X444" s="2"/>
      <c r="Y444" s="2"/>
      <c r="Z444" s="2"/>
    </row>
    <row r="445">
      <c r="A445" s="2" t="s">
        <v>13</v>
      </c>
      <c r="B445" s="1" t="s">
        <v>2126</v>
      </c>
      <c r="C445" s="1" t="s">
        <v>2096</v>
      </c>
      <c r="D445" s="1" t="s">
        <v>2127</v>
      </c>
      <c r="E445" s="1" t="s">
        <v>2128</v>
      </c>
      <c r="F445" s="1" t="s">
        <v>2129</v>
      </c>
      <c r="G445" s="1" t="s">
        <v>21</v>
      </c>
      <c r="H445" s="1" t="s">
        <v>2100</v>
      </c>
      <c r="I445" s="1" t="s">
        <v>2101</v>
      </c>
      <c r="J445" s="2"/>
      <c r="K445" s="2"/>
      <c r="L445" s="2"/>
      <c r="M445" s="2"/>
      <c r="N445" s="2"/>
      <c r="O445" s="2"/>
      <c r="P445" s="2"/>
      <c r="Q445" s="2"/>
      <c r="R445" s="2"/>
      <c r="S445" s="2"/>
      <c r="T445" s="2"/>
      <c r="U445" s="2"/>
      <c r="V445" s="2"/>
      <c r="W445" s="2"/>
      <c r="X445" s="2"/>
      <c r="Y445" s="2"/>
      <c r="Z445" s="2"/>
    </row>
    <row r="446">
      <c r="A446" s="2" t="s">
        <v>13</v>
      </c>
      <c r="B446" s="1" t="s">
        <v>2130</v>
      </c>
      <c r="C446" s="1" t="s">
        <v>2096</v>
      </c>
      <c r="D446" s="1" t="s">
        <v>2131</v>
      </c>
      <c r="E446" s="1" t="s">
        <v>2132</v>
      </c>
      <c r="F446" s="1" t="s">
        <v>2133</v>
      </c>
      <c r="G446" s="1" t="s">
        <v>43</v>
      </c>
      <c r="H446" s="1" t="s">
        <v>2100</v>
      </c>
      <c r="I446" s="1" t="s">
        <v>2101</v>
      </c>
      <c r="J446" s="2"/>
      <c r="K446" s="2"/>
      <c r="L446" s="2"/>
      <c r="M446" s="2"/>
      <c r="N446" s="2"/>
      <c r="O446" s="2"/>
      <c r="P446" s="2"/>
      <c r="Q446" s="2"/>
      <c r="R446" s="2"/>
      <c r="S446" s="2"/>
      <c r="T446" s="2"/>
      <c r="U446" s="2"/>
      <c r="V446" s="2"/>
      <c r="W446" s="2"/>
      <c r="X446" s="2"/>
      <c r="Y446" s="2"/>
      <c r="Z446" s="2"/>
    </row>
    <row r="447">
      <c r="A447" s="2" t="s">
        <v>13</v>
      </c>
      <c r="B447" s="1" t="s">
        <v>2134</v>
      </c>
      <c r="C447" s="1" t="s">
        <v>2096</v>
      </c>
      <c r="D447" s="1" t="s">
        <v>2135</v>
      </c>
      <c r="E447" s="1" t="s">
        <v>2136</v>
      </c>
      <c r="F447" s="1" t="s">
        <v>2137</v>
      </c>
      <c r="G447" s="1" t="s">
        <v>43</v>
      </c>
      <c r="H447" s="1" t="s">
        <v>2100</v>
      </c>
      <c r="I447" s="1" t="s">
        <v>2101</v>
      </c>
      <c r="J447" s="2"/>
      <c r="K447" s="2"/>
      <c r="L447" s="2"/>
      <c r="M447" s="2"/>
      <c r="N447" s="2"/>
      <c r="O447" s="2"/>
      <c r="P447" s="2"/>
      <c r="Q447" s="2"/>
      <c r="R447" s="2"/>
      <c r="S447" s="2"/>
      <c r="T447" s="2"/>
      <c r="U447" s="2"/>
      <c r="V447" s="2"/>
      <c r="W447" s="2"/>
      <c r="X447" s="2"/>
      <c r="Y447" s="2"/>
      <c r="Z447" s="2"/>
    </row>
    <row r="448">
      <c r="A448" s="2" t="s">
        <v>13</v>
      </c>
      <c r="B448" s="1" t="s">
        <v>2138</v>
      </c>
      <c r="C448" s="1" t="s">
        <v>2096</v>
      </c>
      <c r="D448" s="1" t="s">
        <v>2139</v>
      </c>
      <c r="E448" s="1" t="s">
        <v>2140</v>
      </c>
      <c r="F448" s="1" t="s">
        <v>2141</v>
      </c>
      <c r="G448" s="1" t="s">
        <v>43</v>
      </c>
      <c r="H448" s="1" t="s">
        <v>2100</v>
      </c>
      <c r="I448" s="1" t="s">
        <v>2101</v>
      </c>
      <c r="J448" s="2"/>
      <c r="K448" s="2"/>
      <c r="L448" s="2"/>
      <c r="M448" s="2"/>
      <c r="N448" s="2"/>
      <c r="O448" s="2"/>
      <c r="P448" s="2"/>
      <c r="Q448" s="2"/>
      <c r="R448" s="2"/>
      <c r="S448" s="2"/>
      <c r="T448" s="2"/>
      <c r="U448" s="2"/>
      <c r="V448" s="2"/>
      <c r="W448" s="2"/>
      <c r="X448" s="2"/>
      <c r="Y448" s="2"/>
      <c r="Z448" s="2"/>
    </row>
    <row r="449">
      <c r="A449" s="2" t="s">
        <v>13</v>
      </c>
      <c r="B449" s="1" t="s">
        <v>2142</v>
      </c>
      <c r="C449" s="1" t="s">
        <v>2096</v>
      </c>
      <c r="D449" s="1" t="s">
        <v>2143</v>
      </c>
      <c r="E449" s="1" t="s">
        <v>2144</v>
      </c>
      <c r="F449" s="1" t="s">
        <v>2145</v>
      </c>
      <c r="G449" s="1" t="s">
        <v>43</v>
      </c>
      <c r="H449" s="1" t="s">
        <v>2100</v>
      </c>
      <c r="I449" s="1" t="s">
        <v>2101</v>
      </c>
      <c r="J449" s="2"/>
      <c r="K449" s="2"/>
      <c r="L449" s="2"/>
      <c r="M449" s="2"/>
      <c r="N449" s="2"/>
      <c r="O449" s="2"/>
      <c r="P449" s="2"/>
      <c r="Q449" s="2"/>
      <c r="R449" s="2"/>
      <c r="S449" s="2"/>
      <c r="T449" s="2"/>
      <c r="U449" s="2"/>
      <c r="V449" s="2"/>
      <c r="W449" s="2"/>
      <c r="X449" s="2"/>
      <c r="Y449" s="2"/>
      <c r="Z449" s="2"/>
    </row>
    <row r="450">
      <c r="A450" s="2" t="s">
        <v>13</v>
      </c>
      <c r="B450" s="1" t="s">
        <v>2146</v>
      </c>
      <c r="C450" s="1" t="s">
        <v>2096</v>
      </c>
      <c r="D450" s="1" t="s">
        <v>2147</v>
      </c>
      <c r="E450" s="1" t="s">
        <v>2148</v>
      </c>
      <c r="F450" s="1" t="s">
        <v>2149</v>
      </c>
      <c r="G450" s="1" t="s">
        <v>43</v>
      </c>
      <c r="H450" s="1" t="s">
        <v>2100</v>
      </c>
      <c r="I450" s="1" t="s">
        <v>2101</v>
      </c>
      <c r="J450" s="2"/>
      <c r="K450" s="2"/>
      <c r="L450" s="2"/>
      <c r="M450" s="2"/>
      <c r="N450" s="2"/>
      <c r="O450" s="2"/>
      <c r="P450" s="2"/>
      <c r="Q450" s="2"/>
      <c r="R450" s="2"/>
      <c r="S450" s="2"/>
      <c r="T450" s="2"/>
      <c r="U450" s="2"/>
      <c r="V450" s="2"/>
      <c r="W450" s="2"/>
      <c r="X450" s="2"/>
      <c r="Y450" s="2"/>
      <c r="Z450" s="2"/>
    </row>
    <row r="451">
      <c r="A451" s="2" t="s">
        <v>13</v>
      </c>
      <c r="B451" s="1" t="s">
        <v>2150</v>
      </c>
      <c r="C451" s="1" t="s">
        <v>2096</v>
      </c>
      <c r="D451" s="1" t="s">
        <v>2151</v>
      </c>
      <c r="E451" s="1" t="s">
        <v>2152</v>
      </c>
      <c r="F451" s="1" t="s">
        <v>2153</v>
      </c>
      <c r="G451" s="1" t="s">
        <v>43</v>
      </c>
      <c r="H451" s="1" t="s">
        <v>1752</v>
      </c>
      <c r="I451" s="1" t="s">
        <v>2101</v>
      </c>
      <c r="J451" s="2"/>
      <c r="K451" s="2"/>
      <c r="L451" s="2"/>
      <c r="M451" s="2"/>
      <c r="N451" s="2"/>
      <c r="O451" s="2"/>
      <c r="P451" s="2"/>
      <c r="Q451" s="2"/>
      <c r="R451" s="2"/>
      <c r="S451" s="2"/>
      <c r="T451" s="2"/>
      <c r="U451" s="2"/>
      <c r="V451" s="2"/>
      <c r="W451" s="2"/>
      <c r="X451" s="2"/>
      <c r="Y451" s="2"/>
      <c r="Z451" s="2"/>
    </row>
    <row r="452">
      <c r="A452" s="2" t="s">
        <v>13</v>
      </c>
      <c r="B452" s="1" t="s">
        <v>2154</v>
      </c>
      <c r="C452" s="1" t="s">
        <v>2096</v>
      </c>
      <c r="D452" s="1" t="s">
        <v>2155</v>
      </c>
      <c r="E452" s="1" t="s">
        <v>2156</v>
      </c>
      <c r="F452" s="1" t="s">
        <v>2157</v>
      </c>
      <c r="G452" s="1" t="s">
        <v>43</v>
      </c>
      <c r="H452" s="1" t="s">
        <v>2100</v>
      </c>
      <c r="I452" s="1" t="s">
        <v>2101</v>
      </c>
      <c r="J452" s="2"/>
      <c r="K452" s="2"/>
      <c r="L452" s="2"/>
      <c r="M452" s="2"/>
      <c r="N452" s="2"/>
      <c r="O452" s="2"/>
      <c r="P452" s="2"/>
      <c r="Q452" s="2"/>
      <c r="R452" s="2"/>
      <c r="S452" s="2"/>
      <c r="T452" s="2"/>
      <c r="U452" s="2"/>
      <c r="V452" s="2"/>
      <c r="W452" s="2"/>
      <c r="X452" s="2"/>
      <c r="Y452" s="2"/>
      <c r="Z452" s="2"/>
    </row>
    <row r="453">
      <c r="A453" s="2" t="s">
        <v>13</v>
      </c>
      <c r="B453" s="1" t="s">
        <v>2158</v>
      </c>
      <c r="C453" s="1" t="s">
        <v>2096</v>
      </c>
      <c r="D453" s="1" t="s">
        <v>2159</v>
      </c>
      <c r="E453" s="1" t="s">
        <v>2160</v>
      </c>
      <c r="F453" s="1" t="s">
        <v>2161</v>
      </c>
      <c r="G453" s="1" t="s">
        <v>43</v>
      </c>
      <c r="H453" s="1" t="s">
        <v>2100</v>
      </c>
      <c r="I453" s="1" t="s">
        <v>2101</v>
      </c>
      <c r="J453" s="2"/>
      <c r="K453" s="2"/>
      <c r="L453" s="2"/>
      <c r="M453" s="2"/>
      <c r="N453" s="2"/>
      <c r="O453" s="2"/>
      <c r="P453" s="2"/>
      <c r="Q453" s="2"/>
      <c r="R453" s="2"/>
      <c r="S453" s="2"/>
      <c r="T453" s="2"/>
      <c r="U453" s="2"/>
      <c r="V453" s="2"/>
      <c r="W453" s="2"/>
      <c r="X453" s="2"/>
      <c r="Y453" s="2"/>
      <c r="Z453" s="2"/>
    </row>
    <row r="454">
      <c r="A454" s="2" t="s">
        <v>13</v>
      </c>
      <c r="B454" s="1" t="s">
        <v>2162</v>
      </c>
      <c r="C454" s="1" t="s">
        <v>2096</v>
      </c>
      <c r="D454" s="1" t="s">
        <v>2163</v>
      </c>
      <c r="E454" s="1" t="s">
        <v>2164</v>
      </c>
      <c r="F454" s="1" t="s">
        <v>2165</v>
      </c>
      <c r="G454" s="1" t="s">
        <v>21</v>
      </c>
      <c r="H454" s="1" t="s">
        <v>1752</v>
      </c>
      <c r="I454" s="1" t="s">
        <v>2101</v>
      </c>
      <c r="J454" s="2"/>
      <c r="K454" s="2"/>
      <c r="L454" s="2"/>
      <c r="M454" s="2"/>
      <c r="N454" s="2"/>
      <c r="O454" s="2"/>
      <c r="P454" s="2"/>
      <c r="Q454" s="2"/>
      <c r="R454" s="2"/>
      <c r="S454" s="2"/>
      <c r="T454" s="2"/>
      <c r="U454" s="2"/>
      <c r="V454" s="2"/>
      <c r="W454" s="2"/>
      <c r="X454" s="2"/>
      <c r="Y454" s="2"/>
      <c r="Z454" s="2"/>
    </row>
    <row r="455">
      <c r="A455" s="2" t="s">
        <v>13</v>
      </c>
      <c r="B455" s="1" t="s">
        <v>2166</v>
      </c>
      <c r="C455" s="1" t="s">
        <v>2096</v>
      </c>
      <c r="D455" s="1" t="s">
        <v>2167</v>
      </c>
      <c r="E455" s="1" t="s">
        <v>2168</v>
      </c>
      <c r="F455" s="1" t="s">
        <v>2169</v>
      </c>
      <c r="G455" s="1" t="s">
        <v>43</v>
      </c>
      <c r="H455" s="1" t="s">
        <v>2100</v>
      </c>
      <c r="I455" s="1" t="s">
        <v>2101</v>
      </c>
      <c r="J455" s="2"/>
      <c r="K455" s="2"/>
      <c r="L455" s="2"/>
      <c r="M455" s="2"/>
      <c r="N455" s="2"/>
      <c r="O455" s="2"/>
      <c r="P455" s="2"/>
      <c r="Q455" s="2"/>
      <c r="R455" s="2"/>
      <c r="S455" s="2"/>
      <c r="T455" s="2"/>
      <c r="U455" s="2"/>
      <c r="V455" s="2"/>
      <c r="W455" s="2"/>
      <c r="X455" s="2"/>
      <c r="Y455" s="2"/>
      <c r="Z455" s="2"/>
    </row>
    <row r="456">
      <c r="A456" s="2" t="s">
        <v>13</v>
      </c>
      <c r="B456" s="1" t="s">
        <v>2170</v>
      </c>
      <c r="C456" s="1" t="s">
        <v>2096</v>
      </c>
      <c r="D456" s="1" t="s">
        <v>2171</v>
      </c>
      <c r="E456" s="1" t="s">
        <v>2172</v>
      </c>
      <c r="F456" s="1" t="s">
        <v>2173</v>
      </c>
      <c r="G456" s="1" t="s">
        <v>43</v>
      </c>
      <c r="H456" s="1" t="s">
        <v>2100</v>
      </c>
      <c r="I456" s="1" t="s">
        <v>2101</v>
      </c>
      <c r="J456" s="2"/>
      <c r="K456" s="2"/>
      <c r="L456" s="2"/>
      <c r="M456" s="2"/>
      <c r="N456" s="2"/>
      <c r="O456" s="2"/>
      <c r="P456" s="2"/>
      <c r="Q456" s="2"/>
      <c r="R456" s="2"/>
      <c r="S456" s="2"/>
      <c r="T456" s="2"/>
      <c r="U456" s="2"/>
      <c r="V456" s="2"/>
      <c r="W456" s="2"/>
      <c r="X456" s="2"/>
      <c r="Y456" s="2"/>
      <c r="Z456" s="2"/>
    </row>
    <row r="457">
      <c r="A457" s="2" t="s">
        <v>13</v>
      </c>
      <c r="B457" s="1" t="s">
        <v>2174</v>
      </c>
      <c r="C457" s="1" t="s">
        <v>2096</v>
      </c>
      <c r="D457" s="1" t="s">
        <v>2175</v>
      </c>
      <c r="E457" s="1" t="s">
        <v>2176</v>
      </c>
      <c r="F457" s="1" t="s">
        <v>2177</v>
      </c>
      <c r="G457" s="1" t="s">
        <v>43</v>
      </c>
      <c r="H457" s="1" t="s">
        <v>2100</v>
      </c>
      <c r="I457" s="1" t="s">
        <v>2101</v>
      </c>
      <c r="J457" s="2"/>
      <c r="K457" s="2"/>
      <c r="L457" s="2"/>
      <c r="M457" s="2"/>
      <c r="N457" s="2"/>
      <c r="O457" s="2"/>
      <c r="P457" s="2"/>
      <c r="Q457" s="2"/>
      <c r="R457" s="2"/>
      <c r="S457" s="2"/>
      <c r="T457" s="2"/>
      <c r="U457" s="2"/>
      <c r="V457" s="2"/>
      <c r="W457" s="2"/>
      <c r="X457" s="2"/>
      <c r="Y457" s="2"/>
      <c r="Z457" s="2"/>
    </row>
    <row r="458">
      <c r="A458" s="2" t="s">
        <v>13</v>
      </c>
      <c r="B458" s="1" t="s">
        <v>2178</v>
      </c>
      <c r="C458" s="1" t="s">
        <v>2096</v>
      </c>
      <c r="D458" s="1" t="s">
        <v>2179</v>
      </c>
      <c r="E458" s="1" t="s">
        <v>2180</v>
      </c>
      <c r="F458" s="1" t="s">
        <v>2181</v>
      </c>
      <c r="G458" s="1" t="s">
        <v>43</v>
      </c>
      <c r="H458" s="1" t="s">
        <v>569</v>
      </c>
      <c r="I458" s="1" t="s">
        <v>2101</v>
      </c>
      <c r="J458" s="2"/>
      <c r="K458" s="2"/>
      <c r="L458" s="2"/>
      <c r="M458" s="2"/>
      <c r="N458" s="2"/>
      <c r="O458" s="2"/>
      <c r="P458" s="2"/>
      <c r="Q458" s="2"/>
      <c r="R458" s="2"/>
      <c r="S458" s="2"/>
      <c r="T458" s="2"/>
      <c r="U458" s="2"/>
      <c r="V458" s="2"/>
      <c r="W458" s="2"/>
      <c r="X458" s="2"/>
      <c r="Y458" s="2"/>
      <c r="Z458" s="2"/>
    </row>
    <row r="459">
      <c r="A459" s="2" t="s">
        <v>13</v>
      </c>
      <c r="B459" s="1" t="s">
        <v>2182</v>
      </c>
      <c r="C459" s="1" t="s">
        <v>2096</v>
      </c>
      <c r="D459" s="1" t="s">
        <v>2183</v>
      </c>
      <c r="E459" s="1" t="s">
        <v>2184</v>
      </c>
      <c r="F459" s="1" t="s">
        <v>2185</v>
      </c>
      <c r="G459" s="1" t="s">
        <v>43</v>
      </c>
      <c r="H459" s="1" t="s">
        <v>2100</v>
      </c>
      <c r="I459" s="1" t="s">
        <v>2101</v>
      </c>
      <c r="J459" s="2"/>
      <c r="K459" s="2"/>
      <c r="L459" s="2"/>
      <c r="M459" s="2"/>
      <c r="N459" s="2"/>
      <c r="O459" s="2"/>
      <c r="P459" s="2"/>
      <c r="Q459" s="2"/>
      <c r="R459" s="2"/>
      <c r="S459" s="2"/>
      <c r="T459" s="2"/>
      <c r="U459" s="2"/>
      <c r="V459" s="2"/>
      <c r="W459" s="2"/>
      <c r="X459" s="2"/>
      <c r="Y459" s="2"/>
      <c r="Z459" s="2"/>
    </row>
    <row r="460">
      <c r="A460" s="2" t="s">
        <v>13</v>
      </c>
      <c r="B460" s="1" t="s">
        <v>2186</v>
      </c>
      <c r="C460" s="1" t="s">
        <v>2096</v>
      </c>
      <c r="D460" s="1" t="s">
        <v>2187</v>
      </c>
      <c r="E460" s="1" t="s">
        <v>2188</v>
      </c>
      <c r="F460" s="1" t="s">
        <v>2189</v>
      </c>
      <c r="G460" s="1" t="s">
        <v>43</v>
      </c>
      <c r="H460" s="1" t="s">
        <v>2100</v>
      </c>
      <c r="I460" s="1" t="s">
        <v>2101</v>
      </c>
      <c r="J460" s="2"/>
      <c r="K460" s="2"/>
      <c r="L460" s="2"/>
      <c r="M460" s="2"/>
      <c r="N460" s="2"/>
      <c r="O460" s="2"/>
      <c r="P460" s="2"/>
      <c r="Q460" s="2"/>
      <c r="R460" s="2"/>
      <c r="S460" s="2"/>
      <c r="T460" s="2"/>
      <c r="U460" s="2"/>
      <c r="V460" s="2"/>
      <c r="W460" s="2"/>
      <c r="X460" s="2"/>
      <c r="Y460" s="2"/>
      <c r="Z460" s="2"/>
    </row>
    <row r="461">
      <c r="A461" s="2" t="s">
        <v>13</v>
      </c>
      <c r="B461" s="1" t="s">
        <v>2190</v>
      </c>
      <c r="C461" s="1" t="s">
        <v>2096</v>
      </c>
      <c r="D461" s="1" t="s">
        <v>2191</v>
      </c>
      <c r="E461" s="1" t="s">
        <v>2192</v>
      </c>
      <c r="F461" s="1" t="s">
        <v>2193</v>
      </c>
      <c r="G461" s="1" t="s">
        <v>21</v>
      </c>
      <c r="H461" s="1" t="s">
        <v>1752</v>
      </c>
      <c r="I461" s="1" t="s">
        <v>2101</v>
      </c>
      <c r="J461" s="2"/>
      <c r="K461" s="2"/>
      <c r="L461" s="2"/>
      <c r="M461" s="2"/>
      <c r="N461" s="2"/>
      <c r="O461" s="2"/>
      <c r="P461" s="2"/>
      <c r="Q461" s="2"/>
      <c r="R461" s="2"/>
      <c r="S461" s="2"/>
      <c r="T461" s="2"/>
      <c r="U461" s="2"/>
      <c r="V461" s="2"/>
      <c r="W461" s="2"/>
      <c r="X461" s="2"/>
      <c r="Y461" s="2"/>
      <c r="Z461" s="2"/>
    </row>
    <row r="462">
      <c r="A462" s="2" t="s">
        <v>13</v>
      </c>
      <c r="B462" s="1" t="s">
        <v>2194</v>
      </c>
      <c r="C462" s="1" t="s">
        <v>2096</v>
      </c>
      <c r="D462" s="1" t="s">
        <v>2195</v>
      </c>
      <c r="E462" s="1" t="s">
        <v>2196</v>
      </c>
      <c r="F462" s="1" t="s">
        <v>2197</v>
      </c>
      <c r="G462" s="1" t="s">
        <v>43</v>
      </c>
      <c r="H462" s="1" t="s">
        <v>2100</v>
      </c>
      <c r="I462" s="1" t="s">
        <v>2101</v>
      </c>
      <c r="J462" s="2"/>
      <c r="K462" s="2"/>
      <c r="L462" s="2"/>
      <c r="M462" s="2"/>
      <c r="N462" s="2"/>
      <c r="O462" s="2"/>
      <c r="P462" s="2"/>
      <c r="Q462" s="2"/>
      <c r="R462" s="2"/>
      <c r="S462" s="2"/>
      <c r="T462" s="2"/>
      <c r="U462" s="2"/>
      <c r="V462" s="2"/>
      <c r="W462" s="2"/>
      <c r="X462" s="2"/>
      <c r="Y462" s="2"/>
      <c r="Z462" s="2"/>
    </row>
    <row r="463">
      <c r="A463" s="2" t="s">
        <v>13</v>
      </c>
      <c r="B463" s="1" t="s">
        <v>2198</v>
      </c>
      <c r="C463" s="1" t="s">
        <v>2096</v>
      </c>
      <c r="D463" s="1" t="s">
        <v>2199</v>
      </c>
      <c r="E463" s="1" t="s">
        <v>2200</v>
      </c>
      <c r="F463" s="1" t="s">
        <v>2201</v>
      </c>
      <c r="G463" s="1" t="s">
        <v>43</v>
      </c>
      <c r="H463" s="1" t="s">
        <v>2100</v>
      </c>
      <c r="I463" s="1" t="s">
        <v>2101</v>
      </c>
      <c r="J463" s="2"/>
      <c r="K463" s="2"/>
      <c r="L463" s="2"/>
      <c r="M463" s="2"/>
      <c r="N463" s="2"/>
      <c r="O463" s="2"/>
      <c r="P463" s="2"/>
      <c r="Q463" s="2"/>
      <c r="R463" s="2"/>
      <c r="S463" s="2"/>
      <c r="T463" s="2"/>
      <c r="U463" s="2"/>
      <c r="V463" s="2"/>
      <c r="W463" s="2"/>
      <c r="X463" s="2"/>
      <c r="Y463" s="2"/>
      <c r="Z463" s="2"/>
    </row>
    <row r="464">
      <c r="A464" s="2" t="s">
        <v>13</v>
      </c>
      <c r="B464" s="1" t="s">
        <v>2202</v>
      </c>
      <c r="C464" s="1" t="s">
        <v>2203</v>
      </c>
      <c r="D464" s="1" t="s">
        <v>2204</v>
      </c>
      <c r="E464" s="1" t="s">
        <v>2205</v>
      </c>
      <c r="F464" s="1" t="s">
        <v>2206</v>
      </c>
      <c r="G464" s="1" t="s">
        <v>43</v>
      </c>
      <c r="H464" s="1" t="s">
        <v>582</v>
      </c>
      <c r="I464" s="1" t="s">
        <v>2207</v>
      </c>
      <c r="J464" s="2"/>
      <c r="K464" s="2"/>
      <c r="L464" s="2"/>
      <c r="M464" s="2"/>
      <c r="N464" s="2"/>
      <c r="O464" s="2"/>
      <c r="P464" s="2"/>
      <c r="Q464" s="2"/>
      <c r="R464" s="2"/>
      <c r="S464" s="2"/>
      <c r="T464" s="2"/>
      <c r="U464" s="2"/>
      <c r="V464" s="2"/>
      <c r="W464" s="2"/>
      <c r="X464" s="2"/>
      <c r="Y464" s="2"/>
      <c r="Z464" s="2"/>
    </row>
    <row r="465">
      <c r="A465" s="2" t="s">
        <v>13</v>
      </c>
      <c r="B465" s="1" t="s">
        <v>2208</v>
      </c>
      <c r="C465" s="1" t="s">
        <v>2203</v>
      </c>
      <c r="D465" s="1" t="s">
        <v>2209</v>
      </c>
      <c r="E465" s="1" t="s">
        <v>2210</v>
      </c>
      <c r="F465" s="1" t="s">
        <v>2211</v>
      </c>
      <c r="G465" s="1" t="s">
        <v>43</v>
      </c>
      <c r="H465" s="1" t="s">
        <v>642</v>
      </c>
      <c r="I465" s="1" t="s">
        <v>2207</v>
      </c>
      <c r="J465" s="2"/>
      <c r="K465" s="2"/>
      <c r="L465" s="2"/>
      <c r="M465" s="2"/>
      <c r="N465" s="2"/>
      <c r="O465" s="2"/>
      <c r="P465" s="2"/>
      <c r="Q465" s="2"/>
      <c r="R465" s="2"/>
      <c r="S465" s="2"/>
      <c r="T465" s="2"/>
      <c r="U465" s="2"/>
      <c r="V465" s="2"/>
      <c r="W465" s="2"/>
      <c r="X465" s="2"/>
      <c r="Y465" s="2"/>
      <c r="Z465" s="2"/>
    </row>
    <row r="466">
      <c r="A466" s="2" t="s">
        <v>13</v>
      </c>
      <c r="B466" s="1" t="s">
        <v>2212</v>
      </c>
      <c r="C466" s="1" t="s">
        <v>2203</v>
      </c>
      <c r="D466" s="1" t="s">
        <v>2213</v>
      </c>
      <c r="E466" s="1" t="s">
        <v>2214</v>
      </c>
      <c r="F466" s="1" t="s">
        <v>2215</v>
      </c>
      <c r="G466" s="1" t="s">
        <v>21</v>
      </c>
      <c r="H466" s="1" t="s">
        <v>1890</v>
      </c>
      <c r="I466" s="1" t="s">
        <v>2207</v>
      </c>
      <c r="J466" s="2"/>
      <c r="K466" s="2"/>
      <c r="L466" s="2"/>
      <c r="M466" s="2"/>
      <c r="N466" s="2"/>
      <c r="O466" s="2"/>
      <c r="P466" s="2"/>
      <c r="Q466" s="2"/>
      <c r="R466" s="2"/>
      <c r="S466" s="2"/>
      <c r="T466" s="2"/>
      <c r="U466" s="2"/>
      <c r="V466" s="2"/>
      <c r="W466" s="2"/>
      <c r="X466" s="2"/>
      <c r="Y466" s="2"/>
      <c r="Z466" s="2"/>
    </row>
    <row r="467">
      <c r="A467" s="2" t="s">
        <v>13</v>
      </c>
      <c r="B467" s="1" t="s">
        <v>2216</v>
      </c>
      <c r="C467" s="1" t="s">
        <v>2203</v>
      </c>
      <c r="D467" s="1" t="s">
        <v>2217</v>
      </c>
      <c r="E467" s="1" t="s">
        <v>2218</v>
      </c>
      <c r="F467" s="1" t="s">
        <v>2219</v>
      </c>
      <c r="G467" s="1" t="s">
        <v>43</v>
      </c>
      <c r="H467" s="1" t="s">
        <v>2220</v>
      </c>
      <c r="I467" s="1" t="s">
        <v>2207</v>
      </c>
      <c r="J467" s="2"/>
      <c r="K467" s="2"/>
      <c r="L467" s="2"/>
      <c r="M467" s="2"/>
      <c r="N467" s="2"/>
      <c r="O467" s="2"/>
      <c r="P467" s="2"/>
      <c r="Q467" s="2"/>
      <c r="R467" s="2"/>
      <c r="S467" s="2"/>
      <c r="T467" s="2"/>
      <c r="U467" s="2"/>
      <c r="V467" s="2"/>
      <c r="W467" s="2"/>
      <c r="X467" s="2"/>
      <c r="Y467" s="2"/>
      <c r="Z467" s="2"/>
    </row>
    <row r="468">
      <c r="A468" s="2" t="s">
        <v>13</v>
      </c>
      <c r="B468" s="1" t="s">
        <v>2221</v>
      </c>
      <c r="C468" s="1" t="s">
        <v>2203</v>
      </c>
      <c r="D468" s="1" t="s">
        <v>2222</v>
      </c>
      <c r="E468" s="1" t="s">
        <v>2223</v>
      </c>
      <c r="F468" s="1" t="s">
        <v>2224</v>
      </c>
      <c r="G468" s="1" t="s">
        <v>43</v>
      </c>
      <c r="H468" s="1" t="s">
        <v>2220</v>
      </c>
      <c r="I468" s="1" t="s">
        <v>2207</v>
      </c>
      <c r="J468" s="2"/>
      <c r="K468" s="2"/>
      <c r="L468" s="2"/>
      <c r="M468" s="2"/>
      <c r="N468" s="2"/>
      <c r="O468" s="2"/>
      <c r="P468" s="2"/>
      <c r="Q468" s="2"/>
      <c r="R468" s="2"/>
      <c r="S468" s="2"/>
      <c r="T468" s="2"/>
      <c r="U468" s="2"/>
      <c r="V468" s="2"/>
      <c r="W468" s="2"/>
      <c r="X468" s="2"/>
      <c r="Y468" s="2"/>
      <c r="Z468" s="2"/>
    </row>
    <row r="469">
      <c r="A469" s="2" t="s">
        <v>13</v>
      </c>
      <c r="B469" s="1" t="s">
        <v>2225</v>
      </c>
      <c r="C469" s="1" t="s">
        <v>2203</v>
      </c>
      <c r="D469" s="1" t="s">
        <v>2226</v>
      </c>
      <c r="E469" s="1" t="s">
        <v>2227</v>
      </c>
      <c r="F469" s="1" t="s">
        <v>2228</v>
      </c>
      <c r="G469" s="1" t="s">
        <v>43</v>
      </c>
      <c r="H469" s="1" t="s">
        <v>2220</v>
      </c>
      <c r="I469" s="1" t="s">
        <v>2207</v>
      </c>
      <c r="J469" s="2"/>
      <c r="K469" s="2"/>
      <c r="L469" s="2"/>
      <c r="M469" s="2"/>
      <c r="N469" s="2"/>
      <c r="O469" s="2"/>
      <c r="P469" s="2"/>
      <c r="Q469" s="2"/>
      <c r="R469" s="2"/>
      <c r="S469" s="2"/>
      <c r="T469" s="2"/>
      <c r="U469" s="2"/>
      <c r="V469" s="2"/>
      <c r="W469" s="2"/>
      <c r="X469" s="2"/>
      <c r="Y469" s="2"/>
      <c r="Z469" s="2"/>
    </row>
    <row r="470">
      <c r="A470" s="2" t="s">
        <v>13</v>
      </c>
      <c r="B470" s="1" t="s">
        <v>2229</v>
      </c>
      <c r="C470" s="1" t="s">
        <v>2203</v>
      </c>
      <c r="D470" s="1" t="s">
        <v>2230</v>
      </c>
      <c r="E470" s="1" t="s">
        <v>2231</v>
      </c>
      <c r="F470" s="1" t="s">
        <v>2232</v>
      </c>
      <c r="G470" s="1" t="s">
        <v>43</v>
      </c>
      <c r="H470" s="1" t="s">
        <v>2220</v>
      </c>
      <c r="I470" s="1" t="s">
        <v>2207</v>
      </c>
      <c r="J470" s="2"/>
      <c r="K470" s="2"/>
      <c r="L470" s="2"/>
      <c r="M470" s="2"/>
      <c r="N470" s="2"/>
      <c r="O470" s="2"/>
      <c r="P470" s="2"/>
      <c r="Q470" s="2"/>
      <c r="R470" s="2"/>
      <c r="S470" s="2"/>
      <c r="T470" s="2"/>
      <c r="U470" s="2"/>
      <c r="V470" s="2"/>
      <c r="W470" s="2"/>
      <c r="X470" s="2"/>
      <c r="Y470" s="2"/>
      <c r="Z470" s="2"/>
    </row>
    <row r="471">
      <c r="A471" s="2" t="s">
        <v>13</v>
      </c>
      <c r="B471" s="1" t="s">
        <v>2233</v>
      </c>
      <c r="C471" s="1" t="s">
        <v>2203</v>
      </c>
      <c r="D471" s="1" t="s">
        <v>2234</v>
      </c>
      <c r="E471" s="1" t="s">
        <v>2235</v>
      </c>
      <c r="F471" s="1" t="s">
        <v>2236</v>
      </c>
      <c r="G471" s="1" t="s">
        <v>43</v>
      </c>
      <c r="H471" s="1" t="s">
        <v>2220</v>
      </c>
      <c r="I471" s="1" t="s">
        <v>2207</v>
      </c>
      <c r="J471" s="2"/>
      <c r="K471" s="2"/>
      <c r="L471" s="2"/>
      <c r="M471" s="2"/>
      <c r="N471" s="2"/>
      <c r="O471" s="2"/>
      <c r="P471" s="2"/>
      <c r="Q471" s="2"/>
      <c r="R471" s="2"/>
      <c r="S471" s="2"/>
      <c r="T471" s="2"/>
      <c r="U471" s="2"/>
      <c r="V471" s="2"/>
      <c r="W471" s="2"/>
      <c r="X471" s="2"/>
      <c r="Y471" s="2"/>
      <c r="Z471" s="2"/>
    </row>
    <row r="472">
      <c r="A472" s="2" t="s">
        <v>13</v>
      </c>
      <c r="B472" s="1" t="s">
        <v>2237</v>
      </c>
      <c r="C472" s="1" t="s">
        <v>2203</v>
      </c>
      <c r="D472" s="1" t="s">
        <v>2238</v>
      </c>
      <c r="E472" s="1" t="s">
        <v>2239</v>
      </c>
      <c r="F472" s="1" t="s">
        <v>2240</v>
      </c>
      <c r="G472" s="1" t="s">
        <v>43</v>
      </c>
      <c r="H472" s="1" t="s">
        <v>2220</v>
      </c>
      <c r="I472" s="1" t="s">
        <v>2207</v>
      </c>
      <c r="J472" s="2"/>
      <c r="K472" s="2"/>
      <c r="L472" s="2"/>
      <c r="M472" s="2"/>
      <c r="N472" s="2"/>
      <c r="O472" s="2"/>
      <c r="P472" s="2"/>
      <c r="Q472" s="2"/>
      <c r="R472" s="2"/>
      <c r="S472" s="2"/>
      <c r="T472" s="2"/>
      <c r="U472" s="2"/>
      <c r="V472" s="2"/>
      <c r="W472" s="2"/>
      <c r="X472" s="2"/>
      <c r="Y472" s="2"/>
      <c r="Z472" s="2"/>
    </row>
    <row r="473">
      <c r="A473" s="2" t="s">
        <v>13</v>
      </c>
      <c r="B473" s="1" t="s">
        <v>2241</v>
      </c>
      <c r="C473" s="1" t="s">
        <v>2203</v>
      </c>
      <c r="D473" s="1" t="s">
        <v>2242</v>
      </c>
      <c r="E473" s="1" t="s">
        <v>2243</v>
      </c>
      <c r="F473" s="1" t="s">
        <v>2244</v>
      </c>
      <c r="G473" s="1" t="s">
        <v>43</v>
      </c>
      <c r="H473" s="1" t="s">
        <v>2220</v>
      </c>
      <c r="I473" s="1" t="s">
        <v>2207</v>
      </c>
      <c r="J473" s="2"/>
      <c r="K473" s="2"/>
      <c r="L473" s="2"/>
      <c r="M473" s="2"/>
      <c r="N473" s="2"/>
      <c r="O473" s="2"/>
      <c r="P473" s="2"/>
      <c r="Q473" s="2"/>
      <c r="R473" s="2"/>
      <c r="S473" s="2"/>
      <c r="T473" s="2"/>
      <c r="U473" s="2"/>
      <c r="V473" s="2"/>
      <c r="W473" s="2"/>
      <c r="X473" s="2"/>
      <c r="Y473" s="2"/>
      <c r="Z473" s="2"/>
    </row>
    <row r="474">
      <c r="A474" s="2" t="s">
        <v>13</v>
      </c>
      <c r="B474" s="1" t="s">
        <v>2245</v>
      </c>
      <c r="C474" s="1" t="s">
        <v>2203</v>
      </c>
      <c r="D474" s="1" t="s">
        <v>2246</v>
      </c>
      <c r="E474" s="1" t="s">
        <v>2247</v>
      </c>
      <c r="F474" s="1" t="s">
        <v>2248</v>
      </c>
      <c r="G474" s="1" t="s">
        <v>43</v>
      </c>
      <c r="H474" s="1" t="s">
        <v>2220</v>
      </c>
      <c r="I474" s="1" t="s">
        <v>2207</v>
      </c>
      <c r="J474" s="2"/>
      <c r="K474" s="2"/>
      <c r="L474" s="2"/>
      <c r="M474" s="2"/>
      <c r="N474" s="2"/>
      <c r="O474" s="2"/>
      <c r="P474" s="2"/>
      <c r="Q474" s="2"/>
      <c r="R474" s="2"/>
      <c r="S474" s="2"/>
      <c r="T474" s="2"/>
      <c r="U474" s="2"/>
      <c r="V474" s="2"/>
      <c r="W474" s="2"/>
      <c r="X474" s="2"/>
      <c r="Y474" s="2"/>
      <c r="Z474" s="2"/>
    </row>
    <row r="475">
      <c r="A475" s="2" t="s">
        <v>13</v>
      </c>
      <c r="B475" s="1" t="s">
        <v>2249</v>
      </c>
      <c r="C475" s="1" t="s">
        <v>2203</v>
      </c>
      <c r="D475" s="1" t="s">
        <v>2250</v>
      </c>
      <c r="E475" s="1" t="s">
        <v>2251</v>
      </c>
      <c r="F475" s="1" t="s">
        <v>2252</v>
      </c>
      <c r="G475" s="1" t="s">
        <v>43</v>
      </c>
      <c r="H475" s="1" t="s">
        <v>2220</v>
      </c>
      <c r="I475" s="1" t="s">
        <v>2207</v>
      </c>
      <c r="J475" s="2"/>
      <c r="K475" s="2"/>
      <c r="L475" s="2"/>
      <c r="M475" s="2"/>
      <c r="N475" s="2"/>
      <c r="O475" s="2"/>
      <c r="P475" s="2"/>
      <c r="Q475" s="2"/>
      <c r="R475" s="2"/>
      <c r="S475" s="2"/>
      <c r="T475" s="2"/>
      <c r="U475" s="2"/>
      <c r="V475" s="2"/>
      <c r="W475" s="2"/>
      <c r="X475" s="2"/>
      <c r="Y475" s="2"/>
      <c r="Z475" s="2"/>
    </row>
    <row r="476">
      <c r="A476" s="2" t="s">
        <v>13</v>
      </c>
      <c r="B476" s="1" t="s">
        <v>2253</v>
      </c>
      <c r="C476" s="1" t="s">
        <v>2203</v>
      </c>
      <c r="D476" s="1" t="s">
        <v>2254</v>
      </c>
      <c r="E476" s="1" t="s">
        <v>2255</v>
      </c>
      <c r="F476" s="1" t="s">
        <v>2256</v>
      </c>
      <c r="G476" s="1" t="s">
        <v>43</v>
      </c>
      <c r="H476" s="1" t="s">
        <v>2220</v>
      </c>
      <c r="I476" s="1" t="s">
        <v>2207</v>
      </c>
      <c r="J476" s="2"/>
      <c r="K476" s="2"/>
      <c r="L476" s="2"/>
      <c r="M476" s="2"/>
      <c r="N476" s="2"/>
      <c r="O476" s="2"/>
      <c r="P476" s="2"/>
      <c r="Q476" s="2"/>
      <c r="R476" s="2"/>
      <c r="S476" s="2"/>
      <c r="T476" s="2"/>
      <c r="U476" s="2"/>
      <c r="V476" s="2"/>
      <c r="W476" s="2"/>
      <c r="X476" s="2"/>
      <c r="Y476" s="2"/>
      <c r="Z476" s="2"/>
    </row>
    <row r="477">
      <c r="A477" s="2" t="s">
        <v>13</v>
      </c>
      <c r="B477" s="1" t="s">
        <v>2257</v>
      </c>
      <c r="C477" s="1" t="s">
        <v>2203</v>
      </c>
      <c r="D477" s="1" t="s">
        <v>2258</v>
      </c>
      <c r="E477" s="1" t="s">
        <v>2259</v>
      </c>
      <c r="F477" s="1" t="s">
        <v>2260</v>
      </c>
      <c r="G477" s="1" t="s">
        <v>43</v>
      </c>
      <c r="H477" s="1" t="s">
        <v>2220</v>
      </c>
      <c r="I477" s="1" t="s">
        <v>2207</v>
      </c>
      <c r="J477" s="2"/>
      <c r="K477" s="2"/>
      <c r="L477" s="2"/>
      <c r="M477" s="2"/>
      <c r="N477" s="2"/>
      <c r="O477" s="2"/>
      <c r="P477" s="2"/>
      <c r="Q477" s="2"/>
      <c r="R477" s="2"/>
      <c r="S477" s="2"/>
      <c r="T477" s="2"/>
      <c r="U477" s="2"/>
      <c r="V477" s="2"/>
      <c r="W477" s="2"/>
      <c r="X477" s="2"/>
      <c r="Y477" s="2"/>
      <c r="Z477" s="2"/>
    </row>
    <row r="478">
      <c r="A478" s="2" t="s">
        <v>13</v>
      </c>
      <c r="B478" s="1" t="s">
        <v>2261</v>
      </c>
      <c r="C478" s="1" t="s">
        <v>2203</v>
      </c>
      <c r="D478" s="1" t="s">
        <v>2262</v>
      </c>
      <c r="E478" s="1" t="s">
        <v>2263</v>
      </c>
      <c r="F478" s="1" t="s">
        <v>2264</v>
      </c>
      <c r="G478" s="1" t="s">
        <v>43</v>
      </c>
      <c r="H478" s="1" t="s">
        <v>2220</v>
      </c>
      <c r="I478" s="1" t="s">
        <v>2207</v>
      </c>
      <c r="J478" s="2"/>
      <c r="K478" s="2"/>
      <c r="L478" s="2"/>
      <c r="M478" s="2"/>
      <c r="N478" s="2"/>
      <c r="O478" s="2"/>
      <c r="P478" s="2"/>
      <c r="Q478" s="2"/>
      <c r="R478" s="2"/>
      <c r="S478" s="2"/>
      <c r="T478" s="2"/>
      <c r="U478" s="2"/>
      <c r="V478" s="2"/>
      <c r="W478" s="2"/>
      <c r="X478" s="2"/>
      <c r="Y478" s="2"/>
      <c r="Z478" s="2"/>
    </row>
    <row r="479">
      <c r="A479" s="2" t="s">
        <v>13</v>
      </c>
      <c r="B479" s="1" t="s">
        <v>2265</v>
      </c>
      <c r="C479" s="1" t="s">
        <v>2203</v>
      </c>
      <c r="D479" s="1" t="s">
        <v>2266</v>
      </c>
      <c r="E479" s="1" t="s">
        <v>2267</v>
      </c>
      <c r="F479" s="1" t="s">
        <v>2268</v>
      </c>
      <c r="G479" s="1" t="s">
        <v>43</v>
      </c>
      <c r="H479" s="1" t="s">
        <v>2220</v>
      </c>
      <c r="I479" s="1" t="s">
        <v>2207</v>
      </c>
      <c r="J479" s="2"/>
      <c r="K479" s="2"/>
      <c r="L479" s="2"/>
      <c r="M479" s="2"/>
      <c r="N479" s="2"/>
      <c r="O479" s="2"/>
      <c r="P479" s="2"/>
      <c r="Q479" s="2"/>
      <c r="R479" s="2"/>
      <c r="S479" s="2"/>
      <c r="T479" s="2"/>
      <c r="U479" s="2"/>
      <c r="V479" s="2"/>
      <c r="W479" s="2"/>
      <c r="X479" s="2"/>
      <c r="Y479" s="2"/>
      <c r="Z479" s="2"/>
    </row>
    <row r="480">
      <c r="A480" s="2" t="s">
        <v>13</v>
      </c>
      <c r="B480" s="1" t="s">
        <v>2269</v>
      </c>
      <c r="C480" s="1" t="s">
        <v>2203</v>
      </c>
      <c r="D480" s="1" t="s">
        <v>2270</v>
      </c>
      <c r="E480" s="1" t="s">
        <v>2271</v>
      </c>
      <c r="F480" s="1" t="s">
        <v>2272</v>
      </c>
      <c r="G480" s="1" t="s">
        <v>43</v>
      </c>
      <c r="H480" s="1" t="s">
        <v>2220</v>
      </c>
      <c r="I480" s="1" t="s">
        <v>2207</v>
      </c>
      <c r="J480" s="2"/>
      <c r="K480" s="2"/>
      <c r="L480" s="2"/>
      <c r="M480" s="2"/>
      <c r="N480" s="2"/>
      <c r="O480" s="2"/>
      <c r="P480" s="2"/>
      <c r="Q480" s="2"/>
      <c r="R480" s="2"/>
      <c r="S480" s="2"/>
      <c r="T480" s="2"/>
      <c r="U480" s="2"/>
      <c r="V480" s="2"/>
      <c r="W480" s="2"/>
      <c r="X480" s="2"/>
      <c r="Y480" s="2"/>
      <c r="Z480" s="2"/>
    </row>
    <row r="481">
      <c r="A481" s="2" t="s">
        <v>13</v>
      </c>
      <c r="B481" s="1" t="s">
        <v>2273</v>
      </c>
      <c r="C481" s="1" t="s">
        <v>2203</v>
      </c>
      <c r="D481" s="1" t="s">
        <v>2274</v>
      </c>
      <c r="E481" s="1" t="s">
        <v>2275</v>
      </c>
      <c r="F481" s="1" t="s">
        <v>2276</v>
      </c>
      <c r="G481" s="1" t="s">
        <v>43</v>
      </c>
      <c r="H481" s="1" t="s">
        <v>2220</v>
      </c>
      <c r="I481" s="1" t="s">
        <v>2207</v>
      </c>
      <c r="J481" s="2"/>
      <c r="K481" s="2"/>
      <c r="L481" s="2"/>
      <c r="M481" s="2"/>
      <c r="N481" s="2"/>
      <c r="O481" s="2"/>
      <c r="P481" s="2"/>
      <c r="Q481" s="2"/>
      <c r="R481" s="2"/>
      <c r="S481" s="2"/>
      <c r="T481" s="2"/>
      <c r="U481" s="2"/>
      <c r="V481" s="2"/>
      <c r="W481" s="2"/>
      <c r="X481" s="2"/>
      <c r="Y481" s="2"/>
      <c r="Z481" s="2"/>
    </row>
    <row r="482">
      <c r="A482" s="2" t="s">
        <v>13</v>
      </c>
      <c r="B482" s="1" t="s">
        <v>2277</v>
      </c>
      <c r="C482" s="1" t="s">
        <v>2203</v>
      </c>
      <c r="D482" s="1" t="s">
        <v>2278</v>
      </c>
      <c r="E482" s="1" t="s">
        <v>2279</v>
      </c>
      <c r="F482" s="1" t="s">
        <v>2280</v>
      </c>
      <c r="G482" s="1" t="s">
        <v>21</v>
      </c>
      <c r="H482" s="1" t="s">
        <v>247</v>
      </c>
      <c r="I482" s="1" t="s">
        <v>2207</v>
      </c>
      <c r="J482" s="2"/>
      <c r="K482" s="2"/>
      <c r="L482" s="2"/>
      <c r="M482" s="2"/>
      <c r="N482" s="2"/>
      <c r="O482" s="2"/>
      <c r="P482" s="2"/>
      <c r="Q482" s="2"/>
      <c r="R482" s="2"/>
      <c r="S482" s="2"/>
      <c r="T482" s="2"/>
      <c r="U482" s="2"/>
      <c r="V482" s="2"/>
      <c r="W482" s="2"/>
      <c r="X482" s="2"/>
      <c r="Y482" s="2"/>
      <c r="Z482" s="2"/>
    </row>
    <row r="483">
      <c r="A483" s="2" t="s">
        <v>13</v>
      </c>
      <c r="B483" s="1" t="s">
        <v>2281</v>
      </c>
      <c r="C483" s="1" t="s">
        <v>2203</v>
      </c>
      <c r="D483" s="1" t="s">
        <v>2282</v>
      </c>
      <c r="E483" s="1" t="s">
        <v>2283</v>
      </c>
      <c r="F483" s="1" t="s">
        <v>2284</v>
      </c>
      <c r="G483" s="1" t="s">
        <v>21</v>
      </c>
      <c r="H483" s="1" t="s">
        <v>2220</v>
      </c>
      <c r="I483" s="1" t="s">
        <v>2207</v>
      </c>
      <c r="J483" s="2"/>
      <c r="K483" s="2"/>
      <c r="L483" s="2"/>
      <c r="M483" s="2"/>
      <c r="N483" s="2"/>
      <c r="O483" s="2"/>
      <c r="P483" s="2"/>
      <c r="Q483" s="2"/>
      <c r="R483" s="2"/>
      <c r="S483" s="2"/>
      <c r="T483" s="2"/>
      <c r="U483" s="2"/>
      <c r="V483" s="2"/>
      <c r="W483" s="2"/>
      <c r="X483" s="2"/>
      <c r="Y483" s="2"/>
      <c r="Z483" s="2"/>
    </row>
    <row r="484">
      <c r="A484" s="2" t="s">
        <v>13</v>
      </c>
      <c r="B484" s="1" t="s">
        <v>2285</v>
      </c>
      <c r="C484" s="1" t="s">
        <v>2203</v>
      </c>
      <c r="D484" s="1" t="s">
        <v>2286</v>
      </c>
      <c r="E484" s="1" t="s">
        <v>2287</v>
      </c>
      <c r="F484" s="1" t="s">
        <v>2288</v>
      </c>
      <c r="G484" s="1" t="s">
        <v>43</v>
      </c>
      <c r="H484" s="1" t="s">
        <v>2220</v>
      </c>
      <c r="I484" s="1" t="s">
        <v>2207</v>
      </c>
      <c r="J484" s="2"/>
      <c r="K484" s="2"/>
      <c r="L484" s="2"/>
      <c r="M484" s="2"/>
      <c r="N484" s="2"/>
      <c r="O484" s="2"/>
      <c r="P484" s="2"/>
      <c r="Q484" s="2"/>
      <c r="R484" s="2"/>
      <c r="S484" s="2"/>
      <c r="T484" s="2"/>
      <c r="U484" s="2"/>
      <c r="V484" s="2"/>
      <c r="W484" s="2"/>
      <c r="X484" s="2"/>
      <c r="Y484" s="2"/>
      <c r="Z484" s="2"/>
    </row>
    <row r="485">
      <c r="A485" s="2" t="s">
        <v>13</v>
      </c>
      <c r="B485" s="1" t="s">
        <v>2289</v>
      </c>
      <c r="C485" s="1" t="s">
        <v>2203</v>
      </c>
      <c r="D485" s="1" t="s">
        <v>2290</v>
      </c>
      <c r="E485" s="1" t="s">
        <v>2291</v>
      </c>
      <c r="F485" s="1" t="s">
        <v>2292</v>
      </c>
      <c r="G485" s="1" t="s">
        <v>21</v>
      </c>
      <c r="H485" s="1" t="s">
        <v>2220</v>
      </c>
      <c r="I485" s="1" t="s">
        <v>2207</v>
      </c>
      <c r="J485" s="2"/>
      <c r="K485" s="2"/>
      <c r="L485" s="2"/>
      <c r="M485" s="2"/>
      <c r="N485" s="2"/>
      <c r="O485" s="2"/>
      <c r="P485" s="2"/>
      <c r="Q485" s="2"/>
      <c r="R485" s="2"/>
      <c r="S485" s="2"/>
      <c r="T485" s="2"/>
      <c r="U485" s="2"/>
      <c r="V485" s="2"/>
      <c r="W485" s="2"/>
      <c r="X485" s="2"/>
      <c r="Y485" s="2"/>
      <c r="Z485" s="2"/>
    </row>
    <row r="486">
      <c r="A486" s="2" t="s">
        <v>13</v>
      </c>
      <c r="B486" s="1" t="s">
        <v>2293</v>
      </c>
      <c r="C486" s="1" t="s">
        <v>2203</v>
      </c>
      <c r="D486" s="1" t="s">
        <v>2294</v>
      </c>
      <c r="E486" s="1" t="s">
        <v>2295</v>
      </c>
      <c r="F486" s="1" t="s">
        <v>2296</v>
      </c>
      <c r="G486" s="1" t="s">
        <v>43</v>
      </c>
      <c r="H486" s="1" t="s">
        <v>2220</v>
      </c>
      <c r="I486" s="1" t="s">
        <v>2207</v>
      </c>
      <c r="J486" s="2"/>
      <c r="K486" s="2"/>
      <c r="L486" s="2"/>
      <c r="M486" s="2"/>
      <c r="N486" s="2"/>
      <c r="O486" s="2"/>
      <c r="P486" s="2"/>
      <c r="Q486" s="2"/>
      <c r="R486" s="2"/>
      <c r="S486" s="2"/>
      <c r="T486" s="2"/>
      <c r="U486" s="2"/>
      <c r="V486" s="2"/>
      <c r="W486" s="2"/>
      <c r="X486" s="2"/>
      <c r="Y486" s="2"/>
      <c r="Z486" s="2"/>
    </row>
    <row r="487">
      <c r="A487" s="2" t="s">
        <v>13</v>
      </c>
      <c r="B487" s="1" t="s">
        <v>2297</v>
      </c>
      <c r="C487" s="1" t="s">
        <v>2203</v>
      </c>
      <c r="D487" s="1" t="s">
        <v>2298</v>
      </c>
      <c r="E487" s="1" t="s">
        <v>2299</v>
      </c>
      <c r="F487" s="1" t="s">
        <v>2300</v>
      </c>
      <c r="G487" s="1" t="s">
        <v>43</v>
      </c>
      <c r="H487" s="1" t="s">
        <v>582</v>
      </c>
      <c r="I487" s="1" t="s">
        <v>2207</v>
      </c>
      <c r="J487" s="2"/>
      <c r="K487" s="2"/>
      <c r="L487" s="2"/>
      <c r="M487" s="2"/>
      <c r="N487" s="2"/>
      <c r="O487" s="2"/>
      <c r="P487" s="2"/>
      <c r="Q487" s="2"/>
      <c r="R487" s="2"/>
      <c r="S487" s="2"/>
      <c r="T487" s="2"/>
      <c r="U487" s="2"/>
      <c r="V487" s="2"/>
      <c r="W487" s="2"/>
      <c r="X487" s="2"/>
      <c r="Y487" s="2"/>
      <c r="Z487" s="2"/>
    </row>
    <row r="488">
      <c r="A488" s="2" t="s">
        <v>13</v>
      </c>
      <c r="B488" s="1" t="s">
        <v>2301</v>
      </c>
      <c r="C488" s="1" t="s">
        <v>2203</v>
      </c>
      <c r="D488" s="1" t="s">
        <v>2302</v>
      </c>
      <c r="E488" s="1" t="s">
        <v>2303</v>
      </c>
      <c r="F488" s="1" t="s">
        <v>2304</v>
      </c>
      <c r="G488" s="1" t="s">
        <v>43</v>
      </c>
      <c r="H488" s="1" t="s">
        <v>642</v>
      </c>
      <c r="I488" s="1" t="s">
        <v>2207</v>
      </c>
      <c r="J488" s="2"/>
      <c r="K488" s="2"/>
      <c r="L488" s="2"/>
      <c r="M488" s="2"/>
      <c r="N488" s="2"/>
      <c r="O488" s="2"/>
      <c r="P488" s="2"/>
      <c r="Q488" s="2"/>
      <c r="R488" s="2"/>
      <c r="S488" s="2"/>
      <c r="T488" s="2"/>
      <c r="U488" s="2"/>
      <c r="V488" s="2"/>
      <c r="W488" s="2"/>
      <c r="X488" s="2"/>
      <c r="Y488" s="2"/>
      <c r="Z488" s="2"/>
    </row>
    <row r="489">
      <c r="A489" s="2" t="s">
        <v>13</v>
      </c>
      <c r="B489" s="1" t="s">
        <v>2305</v>
      </c>
      <c r="C489" s="1" t="s">
        <v>2203</v>
      </c>
      <c r="D489" s="1" t="s">
        <v>2306</v>
      </c>
      <c r="E489" s="1" t="s">
        <v>2307</v>
      </c>
      <c r="F489" s="1" t="s">
        <v>2308</v>
      </c>
      <c r="G489" s="1" t="s">
        <v>43</v>
      </c>
      <c r="H489" s="1" t="s">
        <v>2220</v>
      </c>
      <c r="I489" s="1" t="s">
        <v>2207</v>
      </c>
      <c r="J489" s="2"/>
      <c r="K489" s="2"/>
      <c r="L489" s="2"/>
      <c r="M489" s="2"/>
      <c r="N489" s="2"/>
      <c r="O489" s="2"/>
      <c r="P489" s="2"/>
      <c r="Q489" s="2"/>
      <c r="R489" s="2"/>
      <c r="S489" s="2"/>
      <c r="T489" s="2"/>
      <c r="U489" s="2"/>
      <c r="V489" s="2"/>
      <c r="W489" s="2"/>
      <c r="X489" s="2"/>
      <c r="Y489" s="2"/>
      <c r="Z489" s="2"/>
    </row>
    <row r="490">
      <c r="A490" s="2" t="s">
        <v>13</v>
      </c>
      <c r="B490" s="1" t="s">
        <v>2309</v>
      </c>
      <c r="C490" s="1" t="s">
        <v>2203</v>
      </c>
      <c r="D490" s="1" t="s">
        <v>2310</v>
      </c>
      <c r="E490" s="1" t="s">
        <v>2311</v>
      </c>
      <c r="F490" s="1" t="s">
        <v>2312</v>
      </c>
      <c r="G490" s="1" t="s">
        <v>21</v>
      </c>
      <c r="H490" s="1" t="s">
        <v>2220</v>
      </c>
      <c r="I490" s="1" t="s">
        <v>2207</v>
      </c>
      <c r="J490" s="2"/>
      <c r="K490" s="2"/>
      <c r="L490" s="2"/>
      <c r="M490" s="2"/>
      <c r="N490" s="2"/>
      <c r="O490" s="2"/>
      <c r="P490" s="2"/>
      <c r="Q490" s="2"/>
      <c r="R490" s="2"/>
      <c r="S490" s="2"/>
      <c r="T490" s="2"/>
      <c r="U490" s="2"/>
      <c r="V490" s="2"/>
      <c r="W490" s="2"/>
      <c r="X490" s="2"/>
      <c r="Y490" s="2"/>
      <c r="Z490" s="2"/>
    </row>
    <row r="491">
      <c r="A491" s="2" t="s">
        <v>13</v>
      </c>
      <c r="B491" s="1" t="s">
        <v>2313</v>
      </c>
      <c r="C491" s="1" t="s">
        <v>2203</v>
      </c>
      <c r="D491" s="1" t="s">
        <v>2314</v>
      </c>
      <c r="E491" s="1" t="s">
        <v>2315</v>
      </c>
      <c r="F491" s="1" t="s">
        <v>2316</v>
      </c>
      <c r="G491" s="1" t="s">
        <v>43</v>
      </c>
      <c r="H491" s="1" t="s">
        <v>2220</v>
      </c>
      <c r="I491" s="1" t="s">
        <v>2207</v>
      </c>
      <c r="J491" s="2"/>
      <c r="K491" s="2"/>
      <c r="L491" s="2"/>
      <c r="M491" s="2"/>
      <c r="N491" s="2"/>
      <c r="O491" s="2"/>
      <c r="P491" s="2"/>
      <c r="Q491" s="2"/>
      <c r="R491" s="2"/>
      <c r="S491" s="2"/>
      <c r="T491" s="2"/>
      <c r="U491" s="2"/>
      <c r="V491" s="2"/>
      <c r="W491" s="2"/>
      <c r="X491" s="2"/>
      <c r="Y491" s="2"/>
      <c r="Z491" s="2"/>
    </row>
    <row r="492">
      <c r="A492" s="2" t="s">
        <v>13</v>
      </c>
      <c r="B492" s="1" t="s">
        <v>2317</v>
      </c>
      <c r="C492" s="1" t="s">
        <v>2203</v>
      </c>
      <c r="D492" s="1" t="s">
        <v>2318</v>
      </c>
      <c r="E492" s="1" t="s">
        <v>2319</v>
      </c>
      <c r="F492" s="1" t="s">
        <v>2320</v>
      </c>
      <c r="G492" s="1" t="s">
        <v>43</v>
      </c>
      <c r="H492" s="1" t="s">
        <v>2220</v>
      </c>
      <c r="I492" s="1" t="s">
        <v>2207</v>
      </c>
      <c r="J492" s="2"/>
      <c r="K492" s="2"/>
      <c r="L492" s="2"/>
      <c r="M492" s="2"/>
      <c r="N492" s="2"/>
      <c r="O492" s="2"/>
      <c r="P492" s="2"/>
      <c r="Q492" s="2"/>
      <c r="R492" s="2"/>
      <c r="S492" s="2"/>
      <c r="T492" s="2"/>
      <c r="U492" s="2"/>
      <c r="V492" s="2"/>
      <c r="W492" s="2"/>
      <c r="X492" s="2"/>
      <c r="Y492" s="2"/>
      <c r="Z492" s="2"/>
    </row>
    <row r="493">
      <c r="A493" s="2" t="s">
        <v>13</v>
      </c>
      <c r="B493" s="1" t="s">
        <v>2321</v>
      </c>
      <c r="C493" s="1" t="s">
        <v>2203</v>
      </c>
      <c r="D493" s="1" t="s">
        <v>2322</v>
      </c>
      <c r="E493" s="1" t="s">
        <v>2323</v>
      </c>
      <c r="F493" s="1" t="s">
        <v>2324</v>
      </c>
      <c r="G493" s="1" t="s">
        <v>21</v>
      </c>
      <c r="H493" s="1" t="s">
        <v>247</v>
      </c>
      <c r="I493" s="1" t="s">
        <v>2207</v>
      </c>
      <c r="J493" s="2"/>
      <c r="K493" s="2"/>
      <c r="L493" s="2"/>
      <c r="M493" s="2"/>
      <c r="N493" s="2"/>
      <c r="O493" s="2"/>
      <c r="P493" s="2"/>
      <c r="Q493" s="2"/>
      <c r="R493" s="2"/>
      <c r="S493" s="2"/>
      <c r="T493" s="2"/>
      <c r="U493" s="2"/>
      <c r="V493" s="2"/>
      <c r="W493" s="2"/>
      <c r="X493" s="2"/>
      <c r="Y493" s="2"/>
      <c r="Z493" s="2"/>
    </row>
    <row r="494">
      <c r="A494" s="2" t="s">
        <v>13</v>
      </c>
      <c r="B494" s="1" t="s">
        <v>2325</v>
      </c>
      <c r="C494" s="1" t="s">
        <v>2203</v>
      </c>
      <c r="D494" s="1" t="s">
        <v>2326</v>
      </c>
      <c r="E494" s="1" t="s">
        <v>2327</v>
      </c>
      <c r="F494" s="1" t="s">
        <v>2328</v>
      </c>
      <c r="G494" s="1" t="s">
        <v>43</v>
      </c>
      <c r="H494" s="1" t="s">
        <v>2220</v>
      </c>
      <c r="I494" s="1" t="s">
        <v>2207</v>
      </c>
      <c r="J494" s="2"/>
      <c r="K494" s="2"/>
      <c r="L494" s="2"/>
      <c r="M494" s="2"/>
      <c r="N494" s="2"/>
      <c r="O494" s="2"/>
      <c r="P494" s="2"/>
      <c r="Q494" s="2"/>
      <c r="R494" s="2"/>
      <c r="S494" s="2"/>
      <c r="T494" s="2"/>
      <c r="U494" s="2"/>
      <c r="V494" s="2"/>
      <c r="W494" s="2"/>
      <c r="X494" s="2"/>
      <c r="Y494" s="2"/>
      <c r="Z494" s="2"/>
    </row>
    <row r="495">
      <c r="A495" s="2" t="s">
        <v>13</v>
      </c>
      <c r="B495" s="1" t="s">
        <v>2329</v>
      </c>
      <c r="C495" s="1" t="s">
        <v>2330</v>
      </c>
      <c r="D495" s="1" t="s">
        <v>2331</v>
      </c>
      <c r="E495" s="1" t="s">
        <v>2332</v>
      </c>
      <c r="F495" s="1" t="s">
        <v>2333</v>
      </c>
      <c r="G495" s="1" t="s">
        <v>43</v>
      </c>
      <c r="H495" s="1" t="s">
        <v>2334</v>
      </c>
      <c r="I495" s="1" t="s">
        <v>2335</v>
      </c>
      <c r="J495" s="2"/>
      <c r="K495" s="2"/>
      <c r="L495" s="2"/>
      <c r="M495" s="2"/>
      <c r="N495" s="2"/>
      <c r="O495" s="2"/>
      <c r="P495" s="2"/>
      <c r="Q495" s="2"/>
      <c r="R495" s="2"/>
      <c r="S495" s="2"/>
      <c r="T495" s="2"/>
      <c r="U495" s="2"/>
      <c r="V495" s="2"/>
      <c r="W495" s="2"/>
      <c r="X495" s="2"/>
      <c r="Y495" s="2"/>
      <c r="Z495" s="2"/>
    </row>
    <row r="496">
      <c r="A496" s="2" t="s">
        <v>13</v>
      </c>
      <c r="B496" s="1" t="s">
        <v>2336</v>
      </c>
      <c r="C496" s="1" t="s">
        <v>2330</v>
      </c>
      <c r="D496" s="1" t="s">
        <v>2337</v>
      </c>
      <c r="E496" s="1" t="s">
        <v>2338</v>
      </c>
      <c r="F496" s="1" t="s">
        <v>2339</v>
      </c>
      <c r="G496" s="1" t="s">
        <v>43</v>
      </c>
      <c r="H496" s="1" t="s">
        <v>2334</v>
      </c>
      <c r="I496" s="1" t="s">
        <v>2335</v>
      </c>
      <c r="J496" s="2"/>
      <c r="K496" s="2"/>
      <c r="L496" s="2"/>
      <c r="M496" s="2"/>
      <c r="N496" s="2"/>
      <c r="O496" s="2"/>
      <c r="P496" s="2"/>
      <c r="Q496" s="2"/>
      <c r="R496" s="2"/>
      <c r="S496" s="2"/>
      <c r="T496" s="2"/>
      <c r="U496" s="2"/>
      <c r="V496" s="2"/>
      <c r="W496" s="2"/>
      <c r="X496" s="2"/>
      <c r="Y496" s="2"/>
      <c r="Z496" s="2"/>
    </row>
    <row r="497">
      <c r="A497" s="2" t="s">
        <v>13</v>
      </c>
      <c r="B497" s="1" t="s">
        <v>2340</v>
      </c>
      <c r="C497" s="1" t="s">
        <v>2330</v>
      </c>
      <c r="D497" s="1" t="s">
        <v>2341</v>
      </c>
      <c r="E497" s="1" t="s">
        <v>2342</v>
      </c>
      <c r="F497" s="1" t="s">
        <v>2343</v>
      </c>
      <c r="G497" s="1" t="s">
        <v>43</v>
      </c>
      <c r="H497" s="1" t="s">
        <v>2334</v>
      </c>
      <c r="I497" s="1" t="s">
        <v>2335</v>
      </c>
      <c r="J497" s="2"/>
      <c r="K497" s="2"/>
      <c r="L497" s="2"/>
      <c r="M497" s="2"/>
      <c r="N497" s="2"/>
      <c r="O497" s="2"/>
      <c r="P497" s="2"/>
      <c r="Q497" s="2"/>
      <c r="R497" s="2"/>
      <c r="S497" s="2"/>
      <c r="T497" s="2"/>
      <c r="U497" s="2"/>
      <c r="V497" s="2"/>
      <c r="W497" s="2"/>
      <c r="X497" s="2"/>
      <c r="Y497" s="2"/>
      <c r="Z497" s="2"/>
    </row>
    <row r="498">
      <c r="A498" s="2" t="s">
        <v>13</v>
      </c>
      <c r="B498" s="1" t="s">
        <v>2344</v>
      </c>
      <c r="C498" s="1" t="s">
        <v>2330</v>
      </c>
      <c r="D498" s="1" t="s">
        <v>2345</v>
      </c>
      <c r="E498" s="1" t="s">
        <v>2346</v>
      </c>
      <c r="F498" s="1" t="s">
        <v>2347</v>
      </c>
      <c r="G498" s="1" t="s">
        <v>73</v>
      </c>
      <c r="H498" s="1" t="s">
        <v>2334</v>
      </c>
      <c r="I498" s="1" t="s">
        <v>2335</v>
      </c>
      <c r="J498" s="2"/>
      <c r="K498" s="2"/>
      <c r="L498" s="2"/>
      <c r="M498" s="2"/>
      <c r="N498" s="2"/>
      <c r="O498" s="2"/>
      <c r="P498" s="2"/>
      <c r="Q498" s="2"/>
      <c r="R498" s="2"/>
      <c r="S498" s="2"/>
      <c r="T498" s="2"/>
      <c r="U498" s="2"/>
      <c r="V498" s="2"/>
      <c r="W498" s="2"/>
      <c r="X498" s="2"/>
      <c r="Y498" s="2"/>
      <c r="Z498" s="2"/>
    </row>
    <row r="499">
      <c r="A499" s="2" t="s">
        <v>13</v>
      </c>
      <c r="B499" s="1" t="s">
        <v>2348</v>
      </c>
      <c r="C499" s="1" t="s">
        <v>2330</v>
      </c>
      <c r="D499" s="1" t="s">
        <v>2349</v>
      </c>
      <c r="E499" s="1" t="s">
        <v>2350</v>
      </c>
      <c r="F499" s="1" t="s">
        <v>2351</v>
      </c>
      <c r="G499" s="1" t="s">
        <v>43</v>
      </c>
      <c r="H499" s="1" t="s">
        <v>2334</v>
      </c>
      <c r="I499" s="1" t="s">
        <v>2335</v>
      </c>
      <c r="J499" s="2"/>
      <c r="K499" s="2"/>
      <c r="L499" s="2"/>
      <c r="M499" s="2"/>
      <c r="N499" s="2"/>
      <c r="O499" s="2"/>
      <c r="P499" s="2"/>
      <c r="Q499" s="2"/>
      <c r="R499" s="2"/>
      <c r="S499" s="2"/>
      <c r="T499" s="2"/>
      <c r="U499" s="2"/>
      <c r="V499" s="2"/>
      <c r="W499" s="2"/>
      <c r="X499" s="2"/>
      <c r="Y499" s="2"/>
      <c r="Z499" s="2"/>
    </row>
    <row r="500">
      <c r="A500" s="2" t="s">
        <v>13</v>
      </c>
      <c r="B500" s="1" t="s">
        <v>2352</v>
      </c>
      <c r="C500" s="1" t="s">
        <v>2330</v>
      </c>
      <c r="D500" s="1" t="s">
        <v>2353</v>
      </c>
      <c r="E500" s="1" t="s">
        <v>2354</v>
      </c>
      <c r="F500" s="1" t="s">
        <v>2355</v>
      </c>
      <c r="G500" s="1" t="s">
        <v>73</v>
      </c>
      <c r="H500" s="1" t="s">
        <v>2334</v>
      </c>
      <c r="I500" s="1" t="s">
        <v>2335</v>
      </c>
      <c r="J500" s="2"/>
      <c r="K500" s="2"/>
      <c r="L500" s="2"/>
      <c r="M500" s="2"/>
      <c r="N500" s="2"/>
      <c r="O500" s="2"/>
      <c r="P500" s="2"/>
      <c r="Q500" s="2"/>
      <c r="R500" s="2"/>
      <c r="S500" s="2"/>
      <c r="T500" s="2"/>
      <c r="U500" s="2"/>
      <c r="V500" s="2"/>
      <c r="W500" s="2"/>
      <c r="X500" s="2"/>
      <c r="Y500" s="2"/>
      <c r="Z500" s="2"/>
    </row>
    <row r="501">
      <c r="A501" s="2" t="s">
        <v>13</v>
      </c>
      <c r="B501" s="1" t="s">
        <v>2356</v>
      </c>
      <c r="C501" s="1" t="s">
        <v>2330</v>
      </c>
      <c r="D501" s="1" t="s">
        <v>2357</v>
      </c>
      <c r="E501" s="1" t="s">
        <v>2358</v>
      </c>
      <c r="F501" s="1" t="s">
        <v>2359</v>
      </c>
      <c r="G501" s="1" t="s">
        <v>73</v>
      </c>
      <c r="H501" s="1" t="s">
        <v>2334</v>
      </c>
      <c r="I501" s="1" t="s">
        <v>2335</v>
      </c>
      <c r="J501" s="2"/>
      <c r="K501" s="2"/>
      <c r="L501" s="2"/>
      <c r="M501" s="2"/>
      <c r="N501" s="2"/>
      <c r="O501" s="2"/>
      <c r="P501" s="2"/>
      <c r="Q501" s="2"/>
      <c r="R501" s="2"/>
      <c r="S501" s="2"/>
      <c r="T501" s="2"/>
      <c r="U501" s="2"/>
      <c r="V501" s="2"/>
      <c r="W501" s="2"/>
      <c r="X501" s="2"/>
      <c r="Y501" s="2"/>
      <c r="Z501" s="2"/>
    </row>
    <row r="502">
      <c r="A502" s="2" t="s">
        <v>13</v>
      </c>
      <c r="B502" s="1" t="s">
        <v>2360</v>
      </c>
      <c r="C502" s="1" t="s">
        <v>2330</v>
      </c>
      <c r="D502" s="1" t="s">
        <v>2361</v>
      </c>
      <c r="E502" s="1" t="s">
        <v>2362</v>
      </c>
      <c r="F502" s="1" t="s">
        <v>2363</v>
      </c>
      <c r="G502" s="1" t="s">
        <v>43</v>
      </c>
      <c r="H502" s="1" t="s">
        <v>2334</v>
      </c>
      <c r="I502" s="1" t="s">
        <v>2335</v>
      </c>
      <c r="J502" s="2"/>
      <c r="K502" s="2"/>
      <c r="L502" s="2"/>
      <c r="M502" s="2"/>
      <c r="N502" s="2"/>
      <c r="O502" s="2"/>
      <c r="P502" s="2"/>
      <c r="Q502" s="2"/>
      <c r="R502" s="2"/>
      <c r="S502" s="2"/>
      <c r="T502" s="2"/>
      <c r="U502" s="2"/>
      <c r="V502" s="2"/>
      <c r="W502" s="2"/>
      <c r="X502" s="2"/>
      <c r="Y502" s="2"/>
      <c r="Z502" s="2"/>
    </row>
    <row r="503">
      <c r="A503" s="2" t="s">
        <v>13</v>
      </c>
      <c r="B503" s="1" t="s">
        <v>2364</v>
      </c>
      <c r="C503" s="1" t="s">
        <v>2330</v>
      </c>
      <c r="D503" s="1" t="s">
        <v>2365</v>
      </c>
      <c r="E503" s="1" t="s">
        <v>2366</v>
      </c>
      <c r="F503" s="1" t="s">
        <v>2367</v>
      </c>
      <c r="G503" s="1" t="s">
        <v>43</v>
      </c>
      <c r="H503" s="1" t="s">
        <v>2334</v>
      </c>
      <c r="I503" s="1" t="s">
        <v>2335</v>
      </c>
      <c r="J503" s="2"/>
      <c r="K503" s="2"/>
      <c r="L503" s="2"/>
      <c r="M503" s="2"/>
      <c r="N503" s="2"/>
      <c r="O503" s="2"/>
      <c r="P503" s="2"/>
      <c r="Q503" s="2"/>
      <c r="R503" s="2"/>
      <c r="S503" s="2"/>
      <c r="T503" s="2"/>
      <c r="U503" s="2"/>
      <c r="V503" s="2"/>
      <c r="W503" s="2"/>
      <c r="X503" s="2"/>
      <c r="Y503" s="2"/>
      <c r="Z503" s="2"/>
    </row>
    <row r="504">
      <c r="A504" s="2" t="s">
        <v>13</v>
      </c>
      <c r="B504" s="1" t="s">
        <v>2368</v>
      </c>
      <c r="C504" s="1" t="s">
        <v>2330</v>
      </c>
      <c r="D504" s="1" t="s">
        <v>2369</v>
      </c>
      <c r="E504" s="1" t="s">
        <v>2370</v>
      </c>
      <c r="F504" s="1" t="s">
        <v>2371</v>
      </c>
      <c r="G504" s="1" t="s">
        <v>43</v>
      </c>
      <c r="H504" s="1" t="s">
        <v>2334</v>
      </c>
      <c r="I504" s="1" t="s">
        <v>2335</v>
      </c>
      <c r="J504" s="2"/>
      <c r="K504" s="2"/>
      <c r="L504" s="2"/>
      <c r="M504" s="2"/>
      <c r="N504" s="2"/>
      <c r="O504" s="2"/>
      <c r="P504" s="2"/>
      <c r="Q504" s="2"/>
      <c r="R504" s="2"/>
      <c r="S504" s="2"/>
      <c r="T504" s="2"/>
      <c r="U504" s="2"/>
      <c r="V504" s="2"/>
      <c r="W504" s="2"/>
      <c r="X504" s="2"/>
      <c r="Y504" s="2"/>
      <c r="Z504" s="2"/>
    </row>
    <row r="505">
      <c r="A505" s="2" t="s">
        <v>13</v>
      </c>
      <c r="B505" s="1" t="s">
        <v>2372</v>
      </c>
      <c r="C505" s="1" t="s">
        <v>2330</v>
      </c>
      <c r="D505" s="1" t="s">
        <v>2373</v>
      </c>
      <c r="E505" s="1" t="s">
        <v>2374</v>
      </c>
      <c r="F505" s="1" t="s">
        <v>2375</v>
      </c>
      <c r="G505" s="1" t="s">
        <v>43</v>
      </c>
      <c r="H505" s="1" t="s">
        <v>2334</v>
      </c>
      <c r="I505" s="1" t="s">
        <v>2335</v>
      </c>
      <c r="J505" s="2"/>
      <c r="K505" s="2"/>
      <c r="L505" s="2"/>
      <c r="M505" s="2"/>
      <c r="N505" s="2"/>
      <c r="O505" s="2"/>
      <c r="P505" s="2"/>
      <c r="Q505" s="2"/>
      <c r="R505" s="2"/>
      <c r="S505" s="2"/>
      <c r="T505" s="2"/>
      <c r="U505" s="2"/>
      <c r="V505" s="2"/>
      <c r="W505" s="2"/>
      <c r="X505" s="2"/>
      <c r="Y505" s="2"/>
      <c r="Z505" s="2"/>
    </row>
    <row r="506">
      <c r="A506" s="2" t="s">
        <v>13</v>
      </c>
      <c r="B506" s="1" t="s">
        <v>2376</v>
      </c>
      <c r="C506" s="1" t="s">
        <v>2330</v>
      </c>
      <c r="D506" s="1" t="s">
        <v>2377</v>
      </c>
      <c r="E506" s="1" t="s">
        <v>2378</v>
      </c>
      <c r="F506" s="1" t="s">
        <v>2379</v>
      </c>
      <c r="G506" s="1" t="s">
        <v>43</v>
      </c>
      <c r="H506" s="1" t="s">
        <v>2334</v>
      </c>
      <c r="I506" s="1" t="s">
        <v>2335</v>
      </c>
      <c r="J506" s="2"/>
      <c r="K506" s="2"/>
      <c r="L506" s="2"/>
      <c r="M506" s="2"/>
      <c r="N506" s="2"/>
      <c r="O506" s="2"/>
      <c r="P506" s="2"/>
      <c r="Q506" s="2"/>
      <c r="R506" s="2"/>
      <c r="S506" s="2"/>
      <c r="T506" s="2"/>
      <c r="U506" s="2"/>
      <c r="V506" s="2"/>
      <c r="W506" s="2"/>
      <c r="X506" s="2"/>
      <c r="Y506" s="2"/>
      <c r="Z506" s="2"/>
    </row>
    <row r="507">
      <c r="A507" s="2" t="s">
        <v>13</v>
      </c>
      <c r="B507" s="1" t="s">
        <v>2380</v>
      </c>
      <c r="C507" s="1" t="s">
        <v>2330</v>
      </c>
      <c r="D507" s="1" t="s">
        <v>2381</v>
      </c>
      <c r="E507" s="1" t="s">
        <v>2382</v>
      </c>
      <c r="F507" s="1" t="s">
        <v>2383</v>
      </c>
      <c r="G507" s="1" t="s">
        <v>21</v>
      </c>
      <c r="H507" s="1" t="s">
        <v>247</v>
      </c>
      <c r="I507" s="1" t="s">
        <v>2335</v>
      </c>
      <c r="J507" s="2"/>
      <c r="K507" s="2"/>
      <c r="L507" s="2"/>
      <c r="M507" s="2"/>
      <c r="N507" s="2"/>
      <c r="O507" s="2"/>
      <c r="P507" s="2"/>
      <c r="Q507" s="2"/>
      <c r="R507" s="2"/>
      <c r="S507" s="2"/>
      <c r="T507" s="2"/>
      <c r="U507" s="2"/>
      <c r="V507" s="2"/>
      <c r="W507" s="2"/>
      <c r="X507" s="2"/>
      <c r="Y507" s="2"/>
      <c r="Z507" s="2"/>
    </row>
    <row r="508">
      <c r="A508" s="2" t="s">
        <v>13</v>
      </c>
      <c r="B508" s="1" t="s">
        <v>2384</v>
      </c>
      <c r="C508" s="1" t="s">
        <v>2330</v>
      </c>
      <c r="D508" s="1" t="s">
        <v>2385</v>
      </c>
      <c r="E508" s="1" t="s">
        <v>2386</v>
      </c>
      <c r="F508" s="1" t="s">
        <v>2387</v>
      </c>
      <c r="G508" s="1" t="s">
        <v>43</v>
      </c>
      <c r="H508" s="1" t="s">
        <v>2334</v>
      </c>
      <c r="I508" s="1" t="s">
        <v>2335</v>
      </c>
      <c r="J508" s="2"/>
      <c r="K508" s="2"/>
      <c r="L508" s="2"/>
      <c r="M508" s="2"/>
      <c r="N508" s="2"/>
      <c r="O508" s="2"/>
      <c r="P508" s="2"/>
      <c r="Q508" s="2"/>
      <c r="R508" s="2"/>
      <c r="S508" s="2"/>
      <c r="T508" s="2"/>
      <c r="U508" s="2"/>
      <c r="V508" s="2"/>
      <c r="W508" s="2"/>
      <c r="X508" s="2"/>
      <c r="Y508" s="2"/>
      <c r="Z508" s="2"/>
    </row>
    <row r="509">
      <c r="A509" s="2" t="s">
        <v>13</v>
      </c>
      <c r="B509" s="1" t="s">
        <v>2388</v>
      </c>
      <c r="C509" s="1" t="s">
        <v>2330</v>
      </c>
      <c r="D509" s="1" t="s">
        <v>2389</v>
      </c>
      <c r="E509" s="1" t="s">
        <v>2390</v>
      </c>
      <c r="F509" s="1" t="s">
        <v>2391</v>
      </c>
      <c r="G509" s="1" t="s">
        <v>73</v>
      </c>
      <c r="H509" s="1" t="s">
        <v>2334</v>
      </c>
      <c r="I509" s="1" t="s">
        <v>2335</v>
      </c>
      <c r="J509" s="2"/>
      <c r="K509" s="2"/>
      <c r="L509" s="2"/>
      <c r="M509" s="2"/>
      <c r="N509" s="2"/>
      <c r="O509" s="2"/>
      <c r="P509" s="2"/>
      <c r="Q509" s="2"/>
      <c r="R509" s="2"/>
      <c r="S509" s="2"/>
      <c r="T509" s="2"/>
      <c r="U509" s="2"/>
      <c r="V509" s="2"/>
      <c r="W509" s="2"/>
      <c r="X509" s="2"/>
      <c r="Y509" s="2"/>
      <c r="Z509" s="2"/>
    </row>
    <row r="510">
      <c r="A510" s="2" t="s">
        <v>13</v>
      </c>
      <c r="B510" s="1" t="s">
        <v>2392</v>
      </c>
      <c r="C510" s="1" t="s">
        <v>2330</v>
      </c>
      <c r="D510" s="1" t="s">
        <v>2393</v>
      </c>
      <c r="E510" s="1" t="s">
        <v>2394</v>
      </c>
      <c r="F510" s="1" t="s">
        <v>2395</v>
      </c>
      <c r="G510" s="1" t="s">
        <v>73</v>
      </c>
      <c r="H510" s="1" t="s">
        <v>569</v>
      </c>
      <c r="I510" s="1" t="s">
        <v>2335</v>
      </c>
      <c r="J510" s="2"/>
      <c r="K510" s="2"/>
      <c r="L510" s="2"/>
      <c r="M510" s="2"/>
      <c r="N510" s="2"/>
      <c r="O510" s="2"/>
      <c r="P510" s="2"/>
      <c r="Q510" s="2"/>
      <c r="R510" s="2"/>
      <c r="S510" s="2"/>
      <c r="T510" s="2"/>
      <c r="U510" s="2"/>
      <c r="V510" s="2"/>
      <c r="W510" s="2"/>
      <c r="X510" s="2"/>
      <c r="Y510" s="2"/>
      <c r="Z510" s="2"/>
    </row>
    <row r="511">
      <c r="A511" s="2" t="s">
        <v>13</v>
      </c>
      <c r="B511" s="1" t="s">
        <v>2396</v>
      </c>
      <c r="C511" s="1" t="s">
        <v>2330</v>
      </c>
      <c r="D511" s="1" t="s">
        <v>2397</v>
      </c>
      <c r="E511" s="1" t="s">
        <v>2398</v>
      </c>
      <c r="F511" s="1" t="s">
        <v>2399</v>
      </c>
      <c r="G511" s="1" t="s">
        <v>73</v>
      </c>
      <c r="H511" s="1" t="s">
        <v>2334</v>
      </c>
      <c r="I511" s="1" t="s">
        <v>2335</v>
      </c>
      <c r="J511" s="2"/>
      <c r="K511" s="2"/>
      <c r="L511" s="2"/>
      <c r="M511" s="2"/>
      <c r="N511" s="2"/>
      <c r="O511" s="2"/>
      <c r="P511" s="2"/>
      <c r="Q511" s="2"/>
      <c r="R511" s="2"/>
      <c r="S511" s="2"/>
      <c r="T511" s="2"/>
      <c r="U511" s="2"/>
      <c r="V511" s="2"/>
      <c r="W511" s="2"/>
      <c r="X511" s="2"/>
      <c r="Y511" s="2"/>
      <c r="Z511" s="2"/>
    </row>
    <row r="512">
      <c r="A512" s="2" t="s">
        <v>13</v>
      </c>
      <c r="B512" s="1" t="s">
        <v>2400</v>
      </c>
      <c r="C512" s="1" t="s">
        <v>2330</v>
      </c>
      <c r="D512" s="1" t="s">
        <v>2401</v>
      </c>
      <c r="E512" s="1" t="s">
        <v>2402</v>
      </c>
      <c r="F512" s="1" t="s">
        <v>2403</v>
      </c>
      <c r="G512" s="1" t="s">
        <v>73</v>
      </c>
      <c r="H512" s="1" t="s">
        <v>2334</v>
      </c>
      <c r="I512" s="1" t="s">
        <v>2335</v>
      </c>
      <c r="J512" s="2"/>
      <c r="K512" s="2"/>
      <c r="L512" s="2"/>
      <c r="M512" s="2"/>
      <c r="N512" s="2"/>
      <c r="O512" s="2"/>
      <c r="P512" s="2"/>
      <c r="Q512" s="2"/>
      <c r="R512" s="2"/>
      <c r="S512" s="2"/>
      <c r="T512" s="2"/>
      <c r="U512" s="2"/>
      <c r="V512" s="2"/>
      <c r="W512" s="2"/>
      <c r="X512" s="2"/>
      <c r="Y512" s="2"/>
      <c r="Z512" s="2"/>
    </row>
    <row r="513">
      <c r="A513" s="2" t="s">
        <v>13</v>
      </c>
      <c r="B513" s="1" t="s">
        <v>2404</v>
      </c>
      <c r="C513" s="1" t="s">
        <v>2330</v>
      </c>
      <c r="D513" s="1" t="s">
        <v>2405</v>
      </c>
      <c r="E513" s="1" t="s">
        <v>2406</v>
      </c>
      <c r="F513" s="1" t="s">
        <v>2407</v>
      </c>
      <c r="G513" s="1" t="s">
        <v>73</v>
      </c>
      <c r="H513" s="1" t="s">
        <v>2334</v>
      </c>
      <c r="I513" s="1" t="s">
        <v>2335</v>
      </c>
      <c r="J513" s="2"/>
      <c r="K513" s="2"/>
      <c r="L513" s="2"/>
      <c r="M513" s="2"/>
      <c r="N513" s="2"/>
      <c r="O513" s="2"/>
      <c r="P513" s="2"/>
      <c r="Q513" s="2"/>
      <c r="R513" s="2"/>
      <c r="S513" s="2"/>
      <c r="T513" s="2"/>
      <c r="U513" s="2"/>
      <c r="V513" s="2"/>
      <c r="W513" s="2"/>
      <c r="X513" s="2"/>
      <c r="Y513" s="2"/>
      <c r="Z513" s="2"/>
    </row>
    <row r="514">
      <c r="A514" s="2" t="s">
        <v>13</v>
      </c>
      <c r="B514" s="1" t="s">
        <v>2408</v>
      </c>
      <c r="C514" s="1" t="s">
        <v>2330</v>
      </c>
      <c r="D514" s="1" t="s">
        <v>2409</v>
      </c>
      <c r="E514" s="1" t="s">
        <v>2410</v>
      </c>
      <c r="F514" s="1" t="s">
        <v>2411</v>
      </c>
      <c r="G514" s="1" t="s">
        <v>21</v>
      </c>
      <c r="H514" s="1" t="s">
        <v>247</v>
      </c>
      <c r="I514" s="1" t="s">
        <v>2335</v>
      </c>
      <c r="J514" s="2"/>
      <c r="K514" s="2"/>
      <c r="L514" s="2"/>
      <c r="M514" s="2"/>
      <c r="N514" s="2"/>
      <c r="O514" s="2"/>
      <c r="P514" s="2"/>
      <c r="Q514" s="2"/>
      <c r="R514" s="2"/>
      <c r="S514" s="2"/>
      <c r="T514" s="2"/>
      <c r="U514" s="2"/>
      <c r="V514" s="2"/>
      <c r="W514" s="2"/>
      <c r="X514" s="2"/>
      <c r="Y514" s="2"/>
      <c r="Z514" s="2"/>
    </row>
    <row r="515">
      <c r="A515" s="2" t="s">
        <v>13</v>
      </c>
      <c r="B515" s="1" t="s">
        <v>2412</v>
      </c>
      <c r="C515" s="1" t="s">
        <v>2330</v>
      </c>
      <c r="D515" s="1" t="s">
        <v>2413</v>
      </c>
      <c r="E515" s="1" t="s">
        <v>2414</v>
      </c>
      <c r="F515" s="1" t="s">
        <v>2415</v>
      </c>
      <c r="G515" s="1" t="s">
        <v>43</v>
      </c>
      <c r="H515" s="1" t="s">
        <v>2334</v>
      </c>
      <c r="I515" s="1" t="s">
        <v>2335</v>
      </c>
      <c r="J515" s="2"/>
      <c r="K515" s="2"/>
      <c r="L515" s="2"/>
      <c r="M515" s="2"/>
      <c r="N515" s="2"/>
      <c r="O515" s="2"/>
      <c r="P515" s="2"/>
      <c r="Q515" s="2"/>
      <c r="R515" s="2"/>
      <c r="S515" s="2"/>
      <c r="T515" s="2"/>
      <c r="U515" s="2"/>
      <c r="V515" s="2"/>
      <c r="W515" s="2"/>
      <c r="X515" s="2"/>
      <c r="Y515" s="2"/>
      <c r="Z515" s="2"/>
    </row>
    <row r="516">
      <c r="A516" s="2" t="s">
        <v>13</v>
      </c>
      <c r="B516" s="1" t="s">
        <v>2416</v>
      </c>
      <c r="C516" s="1" t="s">
        <v>2330</v>
      </c>
      <c r="D516" s="1" t="s">
        <v>2417</v>
      </c>
      <c r="E516" s="1" t="s">
        <v>2418</v>
      </c>
      <c r="F516" s="1" t="s">
        <v>2419</v>
      </c>
      <c r="G516" s="1" t="s">
        <v>43</v>
      </c>
      <c r="H516" s="1" t="s">
        <v>2334</v>
      </c>
      <c r="I516" s="1" t="s">
        <v>2335</v>
      </c>
      <c r="J516" s="2"/>
      <c r="K516" s="2"/>
      <c r="L516" s="2"/>
      <c r="M516" s="2"/>
      <c r="N516" s="2"/>
      <c r="O516" s="2"/>
      <c r="P516" s="2"/>
      <c r="Q516" s="2"/>
      <c r="R516" s="2"/>
      <c r="S516" s="2"/>
      <c r="T516" s="2"/>
      <c r="U516" s="2"/>
      <c r="V516" s="2"/>
      <c r="W516" s="2"/>
      <c r="X516" s="2"/>
      <c r="Y516" s="2"/>
      <c r="Z516" s="2"/>
    </row>
    <row r="517">
      <c r="A517" s="2" t="s">
        <v>13</v>
      </c>
      <c r="B517" s="1" t="s">
        <v>2420</v>
      </c>
      <c r="C517" s="1" t="s">
        <v>2330</v>
      </c>
      <c r="D517" s="1" t="s">
        <v>2421</v>
      </c>
      <c r="E517" s="1" t="s">
        <v>2422</v>
      </c>
      <c r="F517" s="1" t="s">
        <v>2423</v>
      </c>
      <c r="G517" s="1" t="s">
        <v>43</v>
      </c>
      <c r="H517" s="1" t="s">
        <v>2334</v>
      </c>
      <c r="I517" s="1" t="s">
        <v>2335</v>
      </c>
      <c r="J517" s="2"/>
      <c r="K517" s="2"/>
      <c r="L517" s="2"/>
      <c r="M517" s="2"/>
      <c r="N517" s="2"/>
      <c r="O517" s="2"/>
      <c r="P517" s="2"/>
      <c r="Q517" s="2"/>
      <c r="R517" s="2"/>
      <c r="S517" s="2"/>
      <c r="T517" s="2"/>
      <c r="U517" s="2"/>
      <c r="V517" s="2"/>
      <c r="W517" s="2"/>
      <c r="X517" s="2"/>
      <c r="Y517" s="2"/>
      <c r="Z517" s="2"/>
    </row>
    <row r="518">
      <c r="A518" s="2" t="s">
        <v>13</v>
      </c>
      <c r="B518" s="1" t="s">
        <v>2424</v>
      </c>
      <c r="C518" s="1" t="s">
        <v>2330</v>
      </c>
      <c r="D518" s="1" t="s">
        <v>2425</v>
      </c>
      <c r="E518" s="1" t="s">
        <v>2426</v>
      </c>
      <c r="F518" s="1" t="s">
        <v>2427</v>
      </c>
      <c r="G518" s="1" t="s">
        <v>43</v>
      </c>
      <c r="H518" s="1" t="s">
        <v>2334</v>
      </c>
      <c r="I518" s="1" t="s">
        <v>2335</v>
      </c>
      <c r="J518" s="2"/>
      <c r="K518" s="2"/>
      <c r="L518" s="2"/>
      <c r="M518" s="2"/>
      <c r="N518" s="2"/>
      <c r="O518" s="2"/>
      <c r="P518" s="2"/>
      <c r="Q518" s="2"/>
      <c r="R518" s="2"/>
      <c r="S518" s="2"/>
      <c r="T518" s="2"/>
      <c r="U518" s="2"/>
      <c r="V518" s="2"/>
      <c r="W518" s="2"/>
      <c r="X518" s="2"/>
      <c r="Y518" s="2"/>
      <c r="Z518" s="2"/>
    </row>
    <row r="519">
      <c r="A519" s="2" t="s">
        <v>13</v>
      </c>
      <c r="B519" s="1" t="s">
        <v>2428</v>
      </c>
      <c r="C519" s="1" t="s">
        <v>2330</v>
      </c>
      <c r="D519" s="1" t="s">
        <v>2429</v>
      </c>
      <c r="E519" s="1" t="s">
        <v>2430</v>
      </c>
      <c r="F519" s="1" t="s">
        <v>2431</v>
      </c>
      <c r="G519" s="1" t="s">
        <v>43</v>
      </c>
      <c r="H519" s="1" t="s">
        <v>2334</v>
      </c>
      <c r="I519" s="1" t="s">
        <v>2335</v>
      </c>
      <c r="J519" s="2"/>
      <c r="K519" s="2"/>
      <c r="L519" s="2"/>
      <c r="M519" s="2"/>
      <c r="N519" s="2"/>
      <c r="O519" s="2"/>
      <c r="P519" s="2"/>
      <c r="Q519" s="2"/>
      <c r="R519" s="2"/>
      <c r="S519" s="2"/>
      <c r="T519" s="2"/>
      <c r="U519" s="2"/>
      <c r="V519" s="2"/>
      <c r="W519" s="2"/>
      <c r="X519" s="2"/>
      <c r="Y519" s="2"/>
      <c r="Z519" s="2"/>
    </row>
    <row r="520">
      <c r="A520" s="2" t="s">
        <v>13</v>
      </c>
      <c r="B520" s="1" t="s">
        <v>2432</v>
      </c>
      <c r="C520" s="1" t="s">
        <v>2330</v>
      </c>
      <c r="D520" s="1" t="s">
        <v>2433</v>
      </c>
      <c r="E520" s="1" t="s">
        <v>2434</v>
      </c>
      <c r="F520" s="1" t="s">
        <v>2435</v>
      </c>
      <c r="G520" s="1" t="s">
        <v>43</v>
      </c>
      <c r="H520" s="1" t="s">
        <v>2334</v>
      </c>
      <c r="I520" s="1" t="s">
        <v>2335</v>
      </c>
      <c r="J520" s="2"/>
      <c r="K520" s="2"/>
      <c r="L520" s="2"/>
      <c r="M520" s="2"/>
      <c r="N520" s="2"/>
      <c r="O520" s="2"/>
      <c r="P520" s="2"/>
      <c r="Q520" s="2"/>
      <c r="R520" s="2"/>
      <c r="S520" s="2"/>
      <c r="T520" s="2"/>
      <c r="U520" s="2"/>
      <c r="V520" s="2"/>
      <c r="W520" s="2"/>
      <c r="X520" s="2"/>
      <c r="Y520" s="2"/>
      <c r="Z520" s="2"/>
    </row>
    <row r="521">
      <c r="A521" s="2" t="s">
        <v>13</v>
      </c>
      <c r="B521" s="1" t="s">
        <v>2436</v>
      </c>
      <c r="C521" s="1" t="s">
        <v>2330</v>
      </c>
      <c r="D521" s="1" t="s">
        <v>2437</v>
      </c>
      <c r="E521" s="1" t="s">
        <v>2438</v>
      </c>
      <c r="F521" s="1" t="s">
        <v>2439</v>
      </c>
      <c r="G521" s="1" t="s">
        <v>73</v>
      </c>
      <c r="H521" s="1" t="s">
        <v>2334</v>
      </c>
      <c r="I521" s="1" t="s">
        <v>2335</v>
      </c>
      <c r="J521" s="2"/>
      <c r="K521" s="2"/>
      <c r="L521" s="2"/>
      <c r="M521" s="2"/>
      <c r="N521" s="2"/>
      <c r="O521" s="2"/>
      <c r="P521" s="2"/>
      <c r="Q521" s="2"/>
      <c r="R521" s="2"/>
      <c r="S521" s="2"/>
      <c r="T521" s="2"/>
      <c r="U521" s="2"/>
      <c r="V521" s="2"/>
      <c r="W521" s="2"/>
      <c r="X521" s="2"/>
      <c r="Y521" s="2"/>
      <c r="Z521" s="2"/>
    </row>
    <row r="522">
      <c r="A522" s="2" t="s">
        <v>13</v>
      </c>
      <c r="B522" s="1" t="s">
        <v>2440</v>
      </c>
      <c r="C522" s="1" t="s">
        <v>2330</v>
      </c>
      <c r="D522" s="1" t="s">
        <v>2441</v>
      </c>
      <c r="E522" s="1" t="s">
        <v>2442</v>
      </c>
      <c r="F522" s="1" t="s">
        <v>2443</v>
      </c>
      <c r="G522" s="1" t="s">
        <v>43</v>
      </c>
      <c r="H522" s="1" t="s">
        <v>2334</v>
      </c>
      <c r="I522" s="1" t="s">
        <v>2335</v>
      </c>
      <c r="J522" s="2"/>
      <c r="K522" s="2"/>
      <c r="L522" s="2"/>
      <c r="M522" s="2"/>
      <c r="N522" s="2"/>
      <c r="O522" s="2"/>
      <c r="P522" s="2"/>
      <c r="Q522" s="2"/>
      <c r="R522" s="2"/>
      <c r="S522" s="2"/>
      <c r="T522" s="2"/>
      <c r="U522" s="2"/>
      <c r="V522" s="2"/>
      <c r="W522" s="2"/>
      <c r="X522" s="2"/>
      <c r="Y522" s="2"/>
      <c r="Z522" s="2"/>
    </row>
    <row r="523">
      <c r="A523" s="2" t="s">
        <v>13</v>
      </c>
      <c r="B523" s="1" t="s">
        <v>2444</v>
      </c>
      <c r="C523" s="1" t="s">
        <v>2330</v>
      </c>
      <c r="D523" s="1" t="s">
        <v>2445</v>
      </c>
      <c r="E523" s="1" t="s">
        <v>2446</v>
      </c>
      <c r="F523" s="1" t="s">
        <v>2447</v>
      </c>
      <c r="G523" s="1" t="s">
        <v>43</v>
      </c>
      <c r="H523" s="1" t="s">
        <v>2334</v>
      </c>
      <c r="I523" s="1" t="s">
        <v>2335</v>
      </c>
      <c r="J523" s="2"/>
      <c r="K523" s="2"/>
      <c r="L523" s="2"/>
      <c r="M523" s="2"/>
      <c r="N523" s="2"/>
      <c r="O523" s="2"/>
      <c r="P523" s="2"/>
      <c r="Q523" s="2"/>
      <c r="R523" s="2"/>
      <c r="S523" s="2"/>
      <c r="T523" s="2"/>
      <c r="U523" s="2"/>
      <c r="V523" s="2"/>
      <c r="W523" s="2"/>
      <c r="X523" s="2"/>
      <c r="Y523" s="2"/>
      <c r="Z523" s="2"/>
    </row>
    <row r="524">
      <c r="A524" s="2" t="s">
        <v>13</v>
      </c>
      <c r="B524" s="1" t="s">
        <v>2448</v>
      </c>
      <c r="C524" s="1" t="s">
        <v>2330</v>
      </c>
      <c r="D524" s="1" t="s">
        <v>2449</v>
      </c>
      <c r="E524" s="1" t="s">
        <v>2450</v>
      </c>
      <c r="F524" s="1" t="s">
        <v>2451</v>
      </c>
      <c r="G524" s="1" t="s">
        <v>73</v>
      </c>
      <c r="H524" s="1" t="s">
        <v>2334</v>
      </c>
      <c r="I524" s="1" t="s">
        <v>2335</v>
      </c>
      <c r="J524" s="2"/>
      <c r="K524" s="2"/>
      <c r="L524" s="2"/>
      <c r="M524" s="2"/>
      <c r="N524" s="2"/>
      <c r="O524" s="2"/>
      <c r="P524" s="2"/>
      <c r="Q524" s="2"/>
      <c r="R524" s="2"/>
      <c r="S524" s="2"/>
      <c r="T524" s="2"/>
      <c r="U524" s="2"/>
      <c r="V524" s="2"/>
      <c r="W524" s="2"/>
      <c r="X524" s="2"/>
      <c r="Y524" s="2"/>
      <c r="Z524" s="2"/>
    </row>
    <row r="525">
      <c r="A525" s="2" t="s">
        <v>13</v>
      </c>
      <c r="B525" s="1" t="s">
        <v>2452</v>
      </c>
      <c r="C525" s="1" t="s">
        <v>2330</v>
      </c>
      <c r="D525" s="1" t="s">
        <v>2453</v>
      </c>
      <c r="E525" s="1" t="s">
        <v>2454</v>
      </c>
      <c r="F525" s="1" t="s">
        <v>2455</v>
      </c>
      <c r="G525" s="1" t="s">
        <v>43</v>
      </c>
      <c r="H525" s="1" t="s">
        <v>2334</v>
      </c>
      <c r="I525" s="1" t="s">
        <v>2335</v>
      </c>
      <c r="J525" s="2"/>
      <c r="K525" s="2"/>
      <c r="L525" s="2"/>
      <c r="M525" s="2"/>
      <c r="N525" s="2"/>
      <c r="O525" s="2"/>
      <c r="P525" s="2"/>
      <c r="Q525" s="2"/>
      <c r="R525" s="2"/>
      <c r="S525" s="2"/>
      <c r="T525" s="2"/>
      <c r="U525" s="2"/>
      <c r="V525" s="2"/>
      <c r="W525" s="2"/>
      <c r="X525" s="2"/>
      <c r="Y525" s="2"/>
      <c r="Z525" s="2"/>
    </row>
    <row r="526">
      <c r="A526" s="2" t="s">
        <v>13</v>
      </c>
      <c r="B526" s="1" t="s">
        <v>2456</v>
      </c>
      <c r="C526" s="1" t="s">
        <v>2330</v>
      </c>
      <c r="D526" s="1" t="s">
        <v>2457</v>
      </c>
      <c r="E526" s="1" t="s">
        <v>2458</v>
      </c>
      <c r="F526" s="1" t="s">
        <v>2459</v>
      </c>
      <c r="G526" s="1" t="s">
        <v>43</v>
      </c>
      <c r="H526" s="1" t="s">
        <v>2334</v>
      </c>
      <c r="I526" s="1" t="s">
        <v>2335</v>
      </c>
      <c r="J526" s="2"/>
      <c r="K526" s="2"/>
      <c r="L526" s="2"/>
      <c r="M526" s="2"/>
      <c r="N526" s="2"/>
      <c r="O526" s="2"/>
      <c r="P526" s="2"/>
      <c r="Q526" s="2"/>
      <c r="R526" s="2"/>
      <c r="S526" s="2"/>
      <c r="T526" s="2"/>
      <c r="U526" s="2"/>
      <c r="V526" s="2"/>
      <c r="W526" s="2"/>
      <c r="X526" s="2"/>
      <c r="Y526" s="2"/>
      <c r="Z526" s="2"/>
    </row>
    <row r="527">
      <c r="A527" s="2" t="s">
        <v>13</v>
      </c>
      <c r="B527" s="1" t="s">
        <v>2460</v>
      </c>
      <c r="C527" s="1" t="s">
        <v>2330</v>
      </c>
      <c r="D527" s="1" t="s">
        <v>2461</v>
      </c>
      <c r="E527" s="1" t="s">
        <v>2462</v>
      </c>
      <c r="F527" s="1" t="s">
        <v>2463</v>
      </c>
      <c r="G527" s="1" t="s">
        <v>43</v>
      </c>
      <c r="H527" s="1" t="s">
        <v>2334</v>
      </c>
      <c r="I527" s="1" t="s">
        <v>2335</v>
      </c>
      <c r="J527" s="2"/>
      <c r="K527" s="2"/>
      <c r="L527" s="2"/>
      <c r="M527" s="2"/>
      <c r="N527" s="2"/>
      <c r="O527" s="2"/>
      <c r="P527" s="2"/>
      <c r="Q527" s="2"/>
      <c r="R527" s="2"/>
      <c r="S527" s="2"/>
      <c r="T527" s="2"/>
      <c r="U527" s="2"/>
      <c r="V527" s="2"/>
      <c r="W527" s="2"/>
      <c r="X527" s="2"/>
      <c r="Y527" s="2"/>
      <c r="Z527" s="2"/>
    </row>
    <row r="528">
      <c r="A528" s="2" t="s">
        <v>13</v>
      </c>
      <c r="B528" s="1" t="s">
        <v>2464</v>
      </c>
      <c r="C528" s="1" t="s">
        <v>2330</v>
      </c>
      <c r="D528" s="1" t="s">
        <v>2465</v>
      </c>
      <c r="E528" s="1" t="s">
        <v>2466</v>
      </c>
      <c r="F528" s="1" t="s">
        <v>2467</v>
      </c>
      <c r="G528" s="1" t="s">
        <v>43</v>
      </c>
      <c r="H528" s="1" t="s">
        <v>2334</v>
      </c>
      <c r="I528" s="1" t="s">
        <v>2335</v>
      </c>
      <c r="J528" s="2"/>
      <c r="K528" s="2"/>
      <c r="L528" s="2"/>
      <c r="M528" s="2"/>
      <c r="N528" s="2"/>
      <c r="O528" s="2"/>
      <c r="P528" s="2"/>
      <c r="Q528" s="2"/>
      <c r="R528" s="2"/>
      <c r="S528" s="2"/>
      <c r="T528" s="2"/>
      <c r="U528" s="2"/>
      <c r="V528" s="2"/>
      <c r="W528" s="2"/>
      <c r="X528" s="2"/>
      <c r="Y528" s="2"/>
      <c r="Z528" s="2"/>
    </row>
    <row r="529">
      <c r="A529" s="2" t="s">
        <v>13</v>
      </c>
      <c r="B529" s="1" t="s">
        <v>2468</v>
      </c>
      <c r="C529" s="1" t="s">
        <v>2330</v>
      </c>
      <c r="D529" s="1" t="s">
        <v>2469</v>
      </c>
      <c r="E529" s="1" t="s">
        <v>2470</v>
      </c>
      <c r="F529" s="1" t="s">
        <v>2471</v>
      </c>
      <c r="G529" s="1" t="s">
        <v>43</v>
      </c>
      <c r="H529" s="1" t="s">
        <v>2334</v>
      </c>
      <c r="I529" s="1" t="s">
        <v>2335</v>
      </c>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autoFilter ref="$A$1:$Z$529"/>
  <dataValidations>
    <dataValidation type="list" allowBlank="1" showErrorMessage="1" sqref="A2:A1000">
      <formula1>"Not Run,Pass,Fail,Blocked,Retest,N/A"</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0"/>
    <col customWidth="1" min="2" max="2" width="11.13"/>
    <col customWidth="1" min="3" max="3" width="17.0"/>
    <col customWidth="1" min="4" max="5" width="48.25"/>
    <col customWidth="1" min="6" max="6" width="30.5"/>
    <col customWidth="1" min="7" max="7" width="12.75"/>
    <col customWidth="1" min="8" max="8" width="19.38"/>
    <col customWidth="1" min="9" max="9" width="48.5"/>
    <col customWidth="1" min="11" max="11" width="10.88"/>
    <col customWidth="1" min="12" max="12" width="5.38"/>
    <col customWidth="1" min="13" max="13" width="11.38"/>
    <col customWidth="1" min="14" max="14" width="8.0"/>
  </cols>
  <sheetData>
    <row r="1">
      <c r="A1" s="1" t="s">
        <v>0</v>
      </c>
      <c r="B1" s="1" t="s">
        <v>1</v>
      </c>
      <c r="C1" s="1" t="s">
        <v>2</v>
      </c>
      <c r="D1" s="1" t="s">
        <v>3</v>
      </c>
      <c r="E1" s="1" t="s">
        <v>4</v>
      </c>
      <c r="F1" s="1" t="s">
        <v>5</v>
      </c>
      <c r="G1" s="1" t="s">
        <v>6</v>
      </c>
      <c r="H1" s="1" t="s">
        <v>7</v>
      </c>
      <c r="I1" s="1" t="s">
        <v>8</v>
      </c>
      <c r="J1" s="2"/>
      <c r="K1" s="1" t="s">
        <v>9</v>
      </c>
      <c r="L1" s="1" t="s">
        <v>10</v>
      </c>
      <c r="M1" s="1" t="s">
        <v>11</v>
      </c>
      <c r="N1" s="1" t="s">
        <v>12</v>
      </c>
      <c r="O1" s="2"/>
      <c r="P1" s="2"/>
      <c r="Q1" s="2"/>
      <c r="R1" s="2"/>
      <c r="S1" s="2"/>
      <c r="T1" s="2"/>
      <c r="U1" s="2"/>
      <c r="V1" s="2"/>
      <c r="W1" s="2"/>
      <c r="X1" s="2"/>
      <c r="Y1" s="2"/>
      <c r="Z1" s="2"/>
      <c r="AA1" s="2"/>
    </row>
    <row r="2">
      <c r="A2" s="3" t="s">
        <v>13</v>
      </c>
      <c r="B2" s="3" t="s">
        <v>14</v>
      </c>
      <c r="C2" s="3" t="s">
        <v>15</v>
      </c>
      <c r="D2" s="1" t="s">
        <v>17</v>
      </c>
      <c r="E2" s="1" t="s">
        <v>18</v>
      </c>
      <c r="F2" s="3" t="s">
        <v>19</v>
      </c>
      <c r="G2" s="3" t="s">
        <v>21</v>
      </c>
      <c r="H2" s="3" t="s">
        <v>22</v>
      </c>
      <c r="I2" s="3" t="s">
        <v>23</v>
      </c>
      <c r="K2" s="3" t="s">
        <v>24</v>
      </c>
      <c r="L2" s="3" t="s">
        <v>25</v>
      </c>
    </row>
    <row r="3">
      <c r="A3" s="3" t="s">
        <v>13</v>
      </c>
      <c r="B3" s="3" t="s">
        <v>26</v>
      </c>
      <c r="C3" s="3" t="s">
        <v>15</v>
      </c>
      <c r="D3" s="1" t="s">
        <v>27</v>
      </c>
      <c r="E3" s="1" t="s">
        <v>28</v>
      </c>
      <c r="F3" s="3" t="s">
        <v>29</v>
      </c>
      <c r="G3" s="3" t="s">
        <v>21</v>
      </c>
      <c r="H3" s="3" t="s">
        <v>22</v>
      </c>
      <c r="I3" s="3" t="s">
        <v>30</v>
      </c>
    </row>
    <row r="4">
      <c r="A4" s="3" t="s">
        <v>13</v>
      </c>
      <c r="B4" s="3" t="s">
        <v>31</v>
      </c>
      <c r="C4" s="3" t="s">
        <v>15</v>
      </c>
      <c r="D4" s="1" t="s">
        <v>33</v>
      </c>
      <c r="E4" s="1" t="s">
        <v>34</v>
      </c>
      <c r="F4" s="3" t="s">
        <v>32</v>
      </c>
      <c r="G4" s="3" t="s">
        <v>21</v>
      </c>
      <c r="H4" s="3" t="s">
        <v>22</v>
      </c>
      <c r="I4" s="3" t="s">
        <v>35</v>
      </c>
    </row>
    <row r="5">
      <c r="A5" s="3" t="s">
        <v>13</v>
      </c>
      <c r="B5" s="3" t="s">
        <v>36</v>
      </c>
      <c r="C5" s="3" t="s">
        <v>15</v>
      </c>
      <c r="D5" s="1" t="s">
        <v>39</v>
      </c>
      <c r="E5" s="1" t="s">
        <v>40</v>
      </c>
      <c r="F5" s="3" t="s">
        <v>37</v>
      </c>
      <c r="G5" s="3" t="s">
        <v>21</v>
      </c>
      <c r="H5" s="3" t="s">
        <v>22</v>
      </c>
      <c r="I5" s="3" t="s">
        <v>38</v>
      </c>
    </row>
    <row r="6">
      <c r="A6" s="3" t="s">
        <v>13</v>
      </c>
      <c r="B6" s="1" t="s">
        <v>41</v>
      </c>
      <c r="C6" s="1" t="s">
        <v>15</v>
      </c>
      <c r="D6" s="1" t="s">
        <v>44</v>
      </c>
      <c r="E6" s="1" t="s">
        <v>46</v>
      </c>
      <c r="F6" s="1" t="s">
        <v>42</v>
      </c>
      <c r="G6" s="1" t="s">
        <v>43</v>
      </c>
      <c r="H6" s="1" t="s">
        <v>22</v>
      </c>
      <c r="I6" s="1" t="s">
        <v>45</v>
      </c>
      <c r="J6" s="2"/>
      <c r="K6" s="2"/>
      <c r="L6" s="2"/>
      <c r="M6" s="2"/>
      <c r="N6" s="2"/>
      <c r="O6" s="2"/>
      <c r="P6" s="2"/>
      <c r="Q6" s="2"/>
      <c r="R6" s="2"/>
      <c r="S6" s="2"/>
      <c r="T6" s="2"/>
      <c r="U6" s="2"/>
      <c r="V6" s="2"/>
      <c r="W6" s="2"/>
      <c r="X6" s="2"/>
      <c r="Y6" s="2"/>
      <c r="Z6" s="2"/>
      <c r="AA6" s="2"/>
    </row>
    <row r="7">
      <c r="A7" s="3" t="s">
        <v>13</v>
      </c>
      <c r="B7" s="1" t="s">
        <v>47</v>
      </c>
      <c r="C7" s="1" t="s">
        <v>15</v>
      </c>
      <c r="D7" s="1" t="s">
        <v>49</v>
      </c>
      <c r="E7" s="1" t="s">
        <v>50</v>
      </c>
      <c r="F7" s="1" t="s">
        <v>48</v>
      </c>
      <c r="G7" s="1" t="s">
        <v>43</v>
      </c>
      <c r="H7" s="1" t="s">
        <v>22</v>
      </c>
      <c r="I7" s="1" t="s">
        <v>38</v>
      </c>
      <c r="J7" s="2"/>
      <c r="K7" s="2"/>
      <c r="L7" s="2"/>
      <c r="M7" s="2"/>
      <c r="N7" s="2"/>
      <c r="O7" s="2"/>
      <c r="P7" s="2"/>
      <c r="Q7" s="2"/>
      <c r="R7" s="2"/>
      <c r="S7" s="2"/>
      <c r="T7" s="2"/>
      <c r="U7" s="2"/>
      <c r="V7" s="2"/>
      <c r="W7" s="2"/>
      <c r="X7" s="2"/>
      <c r="Y7" s="2"/>
      <c r="Z7" s="2"/>
      <c r="AA7" s="2"/>
    </row>
    <row r="8">
      <c r="A8" s="1" t="s">
        <v>20</v>
      </c>
      <c r="B8" s="1" t="s">
        <v>51</v>
      </c>
      <c r="C8" s="1" t="s">
        <v>15</v>
      </c>
      <c r="D8" s="1" t="s">
        <v>54</v>
      </c>
      <c r="E8" s="1" t="s">
        <v>55</v>
      </c>
      <c r="F8" s="1" t="s">
        <v>52</v>
      </c>
      <c r="G8" s="1" t="s">
        <v>43</v>
      </c>
      <c r="H8" s="1" t="s">
        <v>22</v>
      </c>
      <c r="I8" s="1" t="s">
        <v>53</v>
      </c>
      <c r="J8" s="2"/>
      <c r="K8" s="1" t="s">
        <v>68</v>
      </c>
      <c r="L8" s="2"/>
      <c r="M8" s="2"/>
      <c r="N8" s="2"/>
      <c r="O8" s="2"/>
      <c r="P8" s="2"/>
      <c r="Q8" s="2"/>
      <c r="R8" s="2"/>
      <c r="S8" s="2"/>
      <c r="T8" s="2"/>
      <c r="U8" s="2"/>
      <c r="V8" s="2"/>
      <c r="W8" s="2"/>
      <c r="X8" s="2"/>
      <c r="Y8" s="2"/>
      <c r="Z8" s="2"/>
      <c r="AA8" s="2"/>
    </row>
    <row r="9">
      <c r="A9" s="1" t="s">
        <v>20</v>
      </c>
      <c r="B9" s="1" t="s">
        <v>57</v>
      </c>
      <c r="C9" s="1" t="s">
        <v>15</v>
      </c>
      <c r="D9" s="1" t="s">
        <v>61</v>
      </c>
      <c r="E9" s="1" t="s">
        <v>62</v>
      </c>
      <c r="F9" s="1" t="s">
        <v>58</v>
      </c>
      <c r="G9" s="1" t="s">
        <v>43</v>
      </c>
      <c r="H9" s="1" t="s">
        <v>22</v>
      </c>
      <c r="I9" s="1" t="s">
        <v>59</v>
      </c>
      <c r="J9" s="2"/>
      <c r="K9" s="1" t="s">
        <v>78</v>
      </c>
      <c r="L9" s="2"/>
      <c r="M9" s="2"/>
      <c r="N9" s="2"/>
      <c r="O9" s="2"/>
      <c r="P9" s="2"/>
      <c r="Q9" s="2"/>
      <c r="R9" s="2"/>
      <c r="S9" s="2"/>
      <c r="T9" s="2"/>
      <c r="U9" s="2"/>
      <c r="V9" s="2"/>
      <c r="W9" s="2"/>
      <c r="X9" s="2"/>
      <c r="Y9" s="2"/>
      <c r="Z9" s="2"/>
      <c r="AA9" s="2"/>
    </row>
    <row r="10">
      <c r="A10" s="3" t="s">
        <v>13</v>
      </c>
      <c r="B10" s="3" t="s">
        <v>64</v>
      </c>
      <c r="C10" s="3" t="s">
        <v>15</v>
      </c>
      <c r="D10" s="1" t="s">
        <v>67</v>
      </c>
      <c r="E10" s="1" t="s">
        <v>69</v>
      </c>
      <c r="F10" s="3" t="s">
        <v>65</v>
      </c>
      <c r="G10" s="3" t="s">
        <v>21</v>
      </c>
      <c r="H10" s="3" t="s">
        <v>22</v>
      </c>
      <c r="I10" s="3" t="s">
        <v>66</v>
      </c>
      <c r="K10" s="3" t="s">
        <v>70</v>
      </c>
    </row>
    <row r="11">
      <c r="A11" s="3" t="s">
        <v>13</v>
      </c>
      <c r="B11" s="3" t="s">
        <v>71</v>
      </c>
      <c r="C11" s="3" t="s">
        <v>15</v>
      </c>
      <c r="D11" s="3" t="s">
        <v>74</v>
      </c>
      <c r="E11" s="3" t="s">
        <v>75</v>
      </c>
      <c r="F11" s="3" t="s">
        <v>72</v>
      </c>
      <c r="G11" s="3" t="s">
        <v>73</v>
      </c>
      <c r="H11" s="3" t="s">
        <v>22</v>
      </c>
      <c r="I11" s="3" t="s">
        <v>38</v>
      </c>
    </row>
    <row r="12">
      <c r="A12" s="3" t="s">
        <v>13</v>
      </c>
      <c r="B12" s="3" t="s">
        <v>76</v>
      </c>
      <c r="C12" s="3" t="s">
        <v>77</v>
      </c>
      <c r="D12" s="1" t="s">
        <v>81</v>
      </c>
      <c r="E12" s="1" t="s">
        <v>82</v>
      </c>
      <c r="F12" s="3" t="s">
        <v>79</v>
      </c>
      <c r="G12" s="3" t="s">
        <v>21</v>
      </c>
      <c r="H12" s="3" t="s">
        <v>22</v>
      </c>
      <c r="I12" s="3" t="s">
        <v>80</v>
      </c>
    </row>
    <row r="13">
      <c r="A13" s="3" t="s">
        <v>13</v>
      </c>
      <c r="B13" s="3" t="s">
        <v>83</v>
      </c>
      <c r="C13" s="3" t="s">
        <v>77</v>
      </c>
      <c r="D13" s="1" t="s">
        <v>87</v>
      </c>
      <c r="E13" s="1" t="s">
        <v>88</v>
      </c>
      <c r="F13" s="3" t="s">
        <v>84</v>
      </c>
      <c r="G13" s="3" t="s">
        <v>21</v>
      </c>
      <c r="H13" s="3" t="s">
        <v>85</v>
      </c>
      <c r="I13" s="3" t="s">
        <v>86</v>
      </c>
    </row>
    <row r="14">
      <c r="A14" s="3" t="s">
        <v>13</v>
      </c>
      <c r="B14" s="1" t="s">
        <v>89</v>
      </c>
      <c r="C14" s="1" t="s">
        <v>77</v>
      </c>
      <c r="D14" s="1" t="s">
        <v>92</v>
      </c>
      <c r="E14" s="1" t="s">
        <v>93</v>
      </c>
      <c r="F14" s="1" t="s">
        <v>90</v>
      </c>
      <c r="G14" s="1" t="s">
        <v>43</v>
      </c>
      <c r="H14" s="1" t="s">
        <v>22</v>
      </c>
      <c r="I14" s="1" t="s">
        <v>91</v>
      </c>
      <c r="J14" s="2"/>
      <c r="K14" s="2"/>
      <c r="L14" s="2"/>
      <c r="M14" s="2"/>
      <c r="N14" s="2"/>
      <c r="O14" s="2"/>
      <c r="P14" s="2"/>
      <c r="Q14" s="2"/>
      <c r="R14" s="2"/>
      <c r="S14" s="2"/>
      <c r="T14" s="2"/>
      <c r="U14" s="2"/>
      <c r="V14" s="2"/>
      <c r="W14" s="2"/>
      <c r="X14" s="2"/>
      <c r="Y14" s="2"/>
      <c r="Z14" s="2"/>
      <c r="AA14" s="2"/>
    </row>
    <row r="15">
      <c r="A15" s="3" t="s">
        <v>13</v>
      </c>
      <c r="B15" s="3" t="s">
        <v>94</v>
      </c>
      <c r="C15" s="3" t="s">
        <v>77</v>
      </c>
      <c r="D15" s="1" t="s">
        <v>98</v>
      </c>
      <c r="E15" s="1" t="s">
        <v>99</v>
      </c>
      <c r="F15" s="3" t="s">
        <v>95</v>
      </c>
      <c r="G15" s="3" t="s">
        <v>21</v>
      </c>
      <c r="H15" s="3" t="s">
        <v>96</v>
      </c>
      <c r="I15" s="3" t="s">
        <v>97</v>
      </c>
    </row>
    <row r="16">
      <c r="A16" s="1" t="s">
        <v>20</v>
      </c>
      <c r="B16" s="1" t="s">
        <v>100</v>
      </c>
      <c r="C16" s="1" t="s">
        <v>77</v>
      </c>
      <c r="D16" s="1" t="s">
        <v>103</v>
      </c>
      <c r="E16" s="1" t="s">
        <v>104</v>
      </c>
      <c r="F16" s="1" t="s">
        <v>101</v>
      </c>
      <c r="G16" s="1" t="s">
        <v>43</v>
      </c>
      <c r="H16" s="1" t="s">
        <v>22</v>
      </c>
      <c r="I16" s="1" t="s">
        <v>102</v>
      </c>
      <c r="J16" s="2"/>
      <c r="K16" s="1" t="s">
        <v>131</v>
      </c>
      <c r="L16" s="2"/>
      <c r="M16" s="2"/>
      <c r="N16" s="2"/>
      <c r="O16" s="2"/>
      <c r="P16" s="2"/>
      <c r="Q16" s="2"/>
      <c r="R16" s="2"/>
      <c r="S16" s="2"/>
      <c r="T16" s="2"/>
      <c r="U16" s="2"/>
      <c r="V16" s="2"/>
      <c r="W16" s="2"/>
      <c r="X16" s="2"/>
      <c r="Y16" s="2"/>
      <c r="Z16" s="2"/>
      <c r="AA16" s="2"/>
    </row>
    <row r="17">
      <c r="A17" s="3" t="s">
        <v>13</v>
      </c>
      <c r="B17" s="3" t="s">
        <v>105</v>
      </c>
      <c r="C17" s="3" t="s">
        <v>77</v>
      </c>
      <c r="D17" s="1" t="s">
        <v>108</v>
      </c>
      <c r="E17" s="1" t="s">
        <v>109</v>
      </c>
      <c r="F17" s="3" t="s">
        <v>106</v>
      </c>
      <c r="G17" s="3" t="s">
        <v>21</v>
      </c>
      <c r="H17" s="3" t="s">
        <v>22</v>
      </c>
      <c r="I17" s="3" t="s">
        <v>107</v>
      </c>
    </row>
    <row r="18">
      <c r="A18" s="3" t="s">
        <v>13</v>
      </c>
      <c r="B18" s="1" t="s">
        <v>110</v>
      </c>
      <c r="C18" s="1" t="s">
        <v>77</v>
      </c>
      <c r="D18" s="1" t="s">
        <v>112</v>
      </c>
      <c r="E18" s="1" t="s">
        <v>113</v>
      </c>
      <c r="F18" s="1" t="s">
        <v>111</v>
      </c>
      <c r="G18" s="1" t="s">
        <v>43</v>
      </c>
      <c r="H18" s="1" t="s">
        <v>96</v>
      </c>
      <c r="I18" s="1" t="s">
        <v>97</v>
      </c>
      <c r="J18" s="2"/>
      <c r="K18" s="2"/>
      <c r="L18" s="2"/>
      <c r="M18" s="2"/>
      <c r="N18" s="2"/>
      <c r="O18" s="2"/>
      <c r="P18" s="2"/>
      <c r="Q18" s="2"/>
      <c r="R18" s="2"/>
      <c r="S18" s="2"/>
      <c r="T18" s="2"/>
      <c r="U18" s="2"/>
      <c r="V18" s="2"/>
      <c r="W18" s="2"/>
      <c r="X18" s="2"/>
      <c r="Y18" s="2"/>
      <c r="Z18" s="2"/>
      <c r="AA18" s="2"/>
    </row>
    <row r="19">
      <c r="A19" s="3" t="s">
        <v>13</v>
      </c>
      <c r="B19" s="3" t="s">
        <v>114</v>
      </c>
      <c r="C19" s="3" t="s">
        <v>115</v>
      </c>
      <c r="D19" s="1" t="s">
        <v>118</v>
      </c>
      <c r="E19" s="1" t="s">
        <v>119</v>
      </c>
      <c r="F19" s="3" t="s">
        <v>116</v>
      </c>
      <c r="G19" s="3" t="s">
        <v>21</v>
      </c>
      <c r="H19" s="3" t="s">
        <v>96</v>
      </c>
      <c r="I19" s="3" t="s">
        <v>117</v>
      </c>
    </row>
    <row r="20">
      <c r="A20" s="3" t="s">
        <v>13</v>
      </c>
      <c r="B20" s="3" t="s">
        <v>120</v>
      </c>
      <c r="C20" s="3" t="s">
        <v>115</v>
      </c>
      <c r="D20" s="1" t="s">
        <v>123</v>
      </c>
      <c r="E20" s="1" t="s">
        <v>124</v>
      </c>
      <c r="F20" s="3" t="s">
        <v>121</v>
      </c>
      <c r="G20" s="3" t="s">
        <v>21</v>
      </c>
      <c r="H20" s="3" t="s">
        <v>96</v>
      </c>
      <c r="I20" s="3" t="s">
        <v>122</v>
      </c>
    </row>
    <row r="21">
      <c r="A21" s="3" t="s">
        <v>13</v>
      </c>
      <c r="B21" s="1" t="s">
        <v>125</v>
      </c>
      <c r="C21" s="1" t="s">
        <v>115</v>
      </c>
      <c r="D21" s="1" t="s">
        <v>127</v>
      </c>
      <c r="E21" s="1" t="s">
        <v>128</v>
      </c>
      <c r="F21" s="1" t="s">
        <v>126</v>
      </c>
      <c r="G21" s="1" t="s">
        <v>43</v>
      </c>
      <c r="H21" s="1" t="s">
        <v>96</v>
      </c>
      <c r="I21" s="1" t="s">
        <v>122</v>
      </c>
      <c r="J21" s="2"/>
      <c r="K21" s="2"/>
      <c r="L21" s="2"/>
      <c r="M21" s="2"/>
      <c r="N21" s="2"/>
      <c r="O21" s="2"/>
      <c r="P21" s="2"/>
      <c r="Q21" s="2"/>
      <c r="R21" s="2"/>
      <c r="S21" s="2"/>
      <c r="T21" s="2"/>
      <c r="U21" s="2"/>
      <c r="V21" s="2"/>
      <c r="W21" s="2"/>
      <c r="X21" s="2"/>
      <c r="Y21" s="2"/>
      <c r="Z21" s="2"/>
      <c r="AA21" s="2"/>
    </row>
    <row r="22">
      <c r="A22" s="3" t="s">
        <v>13</v>
      </c>
      <c r="B22" s="1" t="s">
        <v>129</v>
      </c>
      <c r="C22" s="1" t="s">
        <v>115</v>
      </c>
      <c r="D22" s="1" t="s">
        <v>133</v>
      </c>
      <c r="E22" s="1" t="s">
        <v>134</v>
      </c>
      <c r="F22" s="1" t="s">
        <v>130</v>
      </c>
      <c r="G22" s="1" t="s">
        <v>43</v>
      </c>
      <c r="H22" s="1" t="s">
        <v>96</v>
      </c>
      <c r="I22" s="1" t="s">
        <v>132</v>
      </c>
      <c r="J22" s="2"/>
      <c r="K22" s="2"/>
      <c r="L22" s="2"/>
      <c r="M22" s="2"/>
      <c r="N22" s="2"/>
      <c r="O22" s="2"/>
      <c r="P22" s="2"/>
      <c r="Q22" s="2"/>
      <c r="R22" s="2"/>
      <c r="S22" s="2"/>
      <c r="T22" s="2"/>
      <c r="U22" s="2"/>
      <c r="V22" s="2"/>
      <c r="W22" s="2"/>
      <c r="X22" s="2"/>
      <c r="Y22" s="2"/>
      <c r="Z22" s="2"/>
      <c r="AA22" s="2"/>
    </row>
    <row r="23">
      <c r="A23" s="3" t="s">
        <v>13</v>
      </c>
      <c r="B23" s="1" t="s">
        <v>135</v>
      </c>
      <c r="C23" s="1" t="s">
        <v>115</v>
      </c>
      <c r="D23" s="1" t="s">
        <v>138</v>
      </c>
      <c r="E23" s="1" t="s">
        <v>139</v>
      </c>
      <c r="F23" s="1" t="s">
        <v>136</v>
      </c>
      <c r="G23" s="1" t="s">
        <v>43</v>
      </c>
      <c r="H23" s="1" t="s">
        <v>96</v>
      </c>
      <c r="I23" s="1" t="s">
        <v>137</v>
      </c>
      <c r="J23" s="2"/>
      <c r="K23" s="2"/>
      <c r="L23" s="2"/>
      <c r="M23" s="2"/>
      <c r="N23" s="2"/>
      <c r="O23" s="2"/>
      <c r="P23" s="2"/>
      <c r="Q23" s="2"/>
      <c r="R23" s="2"/>
      <c r="S23" s="2"/>
      <c r="T23" s="2"/>
      <c r="U23" s="2"/>
      <c r="V23" s="2"/>
      <c r="W23" s="2"/>
      <c r="X23" s="2"/>
      <c r="Y23" s="2"/>
      <c r="Z23" s="2"/>
      <c r="AA23" s="2"/>
    </row>
    <row r="24">
      <c r="A24" s="3" t="s">
        <v>13</v>
      </c>
      <c r="B24" s="3" t="s">
        <v>140</v>
      </c>
      <c r="C24" s="3" t="s">
        <v>141</v>
      </c>
      <c r="D24" s="1" t="s">
        <v>144</v>
      </c>
      <c r="E24" s="1" t="s">
        <v>145</v>
      </c>
      <c r="F24" s="3" t="s">
        <v>142</v>
      </c>
      <c r="G24" s="3" t="s">
        <v>21</v>
      </c>
      <c r="H24" s="3" t="s">
        <v>96</v>
      </c>
      <c r="I24" s="3" t="s">
        <v>143</v>
      </c>
    </row>
    <row r="25">
      <c r="A25" s="3" t="s">
        <v>13</v>
      </c>
      <c r="B25" s="3" t="s">
        <v>147</v>
      </c>
      <c r="C25" s="3" t="s">
        <v>141</v>
      </c>
      <c r="D25" s="1" t="s">
        <v>150</v>
      </c>
      <c r="E25" s="1" t="s">
        <v>151</v>
      </c>
      <c r="F25" s="3" t="s">
        <v>148</v>
      </c>
      <c r="G25" s="3" t="s">
        <v>21</v>
      </c>
      <c r="H25" s="3" t="s">
        <v>96</v>
      </c>
      <c r="I25" s="3" t="s">
        <v>149</v>
      </c>
    </row>
    <row r="26">
      <c r="A26" s="3" t="s">
        <v>13</v>
      </c>
      <c r="B26" s="1" t="s">
        <v>152</v>
      </c>
      <c r="C26" s="1" t="s">
        <v>141</v>
      </c>
      <c r="D26" s="1" t="s">
        <v>155</v>
      </c>
      <c r="E26" s="1" t="s">
        <v>156</v>
      </c>
      <c r="F26" s="1" t="s">
        <v>153</v>
      </c>
      <c r="G26" s="1" t="s">
        <v>43</v>
      </c>
      <c r="H26" s="1" t="s">
        <v>96</v>
      </c>
      <c r="I26" s="1" t="s">
        <v>154</v>
      </c>
      <c r="J26" s="2"/>
      <c r="K26" s="2"/>
      <c r="L26" s="2"/>
      <c r="M26" s="2"/>
      <c r="N26" s="2"/>
      <c r="O26" s="2"/>
      <c r="P26" s="2"/>
      <c r="Q26" s="2"/>
      <c r="R26" s="2"/>
      <c r="S26" s="2"/>
      <c r="T26" s="2"/>
      <c r="U26" s="2"/>
      <c r="V26" s="2"/>
      <c r="W26" s="2"/>
      <c r="X26" s="2"/>
      <c r="Y26" s="2"/>
      <c r="Z26" s="2"/>
      <c r="AA26" s="2"/>
    </row>
    <row r="27">
      <c r="A27" s="3" t="s">
        <v>13</v>
      </c>
      <c r="B27" s="1" t="s">
        <v>157</v>
      </c>
      <c r="C27" s="1" t="s">
        <v>141</v>
      </c>
      <c r="D27" s="1" t="s">
        <v>159</v>
      </c>
      <c r="E27" s="1" t="s">
        <v>160</v>
      </c>
      <c r="F27" s="1" t="s">
        <v>158</v>
      </c>
      <c r="G27" s="1" t="s">
        <v>43</v>
      </c>
      <c r="H27" s="1" t="s">
        <v>96</v>
      </c>
      <c r="I27" s="1" t="s">
        <v>154</v>
      </c>
      <c r="J27" s="2"/>
      <c r="K27" s="2"/>
      <c r="L27" s="2"/>
      <c r="M27" s="2"/>
      <c r="N27" s="2"/>
      <c r="O27" s="2"/>
      <c r="P27" s="2"/>
      <c r="Q27" s="2"/>
      <c r="R27" s="2"/>
      <c r="S27" s="2"/>
      <c r="T27" s="2"/>
      <c r="U27" s="2"/>
      <c r="V27" s="2"/>
      <c r="W27" s="2"/>
      <c r="X27" s="2"/>
      <c r="Y27" s="2"/>
      <c r="Z27" s="2"/>
      <c r="AA27" s="2"/>
    </row>
    <row r="28">
      <c r="A28" s="3" t="s">
        <v>13</v>
      </c>
      <c r="B28" s="3" t="s">
        <v>161</v>
      </c>
      <c r="C28" s="3" t="s">
        <v>162</v>
      </c>
      <c r="D28" s="1" t="s">
        <v>165</v>
      </c>
      <c r="E28" s="1" t="s">
        <v>166</v>
      </c>
      <c r="F28" s="3" t="s">
        <v>163</v>
      </c>
      <c r="G28" s="3" t="s">
        <v>21</v>
      </c>
      <c r="H28" s="3" t="s">
        <v>96</v>
      </c>
      <c r="I28" s="3" t="s">
        <v>164</v>
      </c>
    </row>
    <row r="29">
      <c r="A29" s="1" t="s">
        <v>20</v>
      </c>
      <c r="B29" s="1" t="s">
        <v>167</v>
      </c>
      <c r="C29" s="1" t="s">
        <v>162</v>
      </c>
      <c r="D29" s="1" t="s">
        <v>170</v>
      </c>
      <c r="E29" s="1" t="s">
        <v>171</v>
      </c>
      <c r="F29" s="1" t="s">
        <v>168</v>
      </c>
      <c r="G29" s="1" t="s">
        <v>43</v>
      </c>
      <c r="H29" s="1" t="s">
        <v>96</v>
      </c>
      <c r="I29" s="1" t="s">
        <v>169</v>
      </c>
      <c r="J29" s="2"/>
      <c r="K29" s="1" t="s">
        <v>198</v>
      </c>
      <c r="L29" s="2"/>
      <c r="M29" s="2"/>
      <c r="N29" s="2"/>
      <c r="O29" s="2"/>
      <c r="P29" s="2"/>
      <c r="Q29" s="2"/>
      <c r="R29" s="2"/>
      <c r="S29" s="2"/>
      <c r="T29" s="2"/>
      <c r="U29" s="2"/>
      <c r="V29" s="2"/>
      <c r="W29" s="2"/>
      <c r="X29" s="2"/>
      <c r="Y29" s="2"/>
      <c r="Z29" s="2"/>
      <c r="AA29" s="2"/>
    </row>
    <row r="30">
      <c r="A30" s="3" t="s">
        <v>13</v>
      </c>
      <c r="B30" s="3" t="s">
        <v>172</v>
      </c>
      <c r="C30" s="3" t="s">
        <v>162</v>
      </c>
      <c r="D30" s="1" t="s">
        <v>175</v>
      </c>
      <c r="E30" s="1" t="s">
        <v>176</v>
      </c>
      <c r="F30" s="3" t="s">
        <v>173</v>
      </c>
      <c r="G30" s="3" t="s">
        <v>21</v>
      </c>
      <c r="H30" s="3" t="s">
        <v>96</v>
      </c>
      <c r="I30" s="3" t="s">
        <v>174</v>
      </c>
    </row>
    <row r="31">
      <c r="A31" s="3" t="s">
        <v>13</v>
      </c>
      <c r="B31" s="3" t="s">
        <v>177</v>
      </c>
      <c r="C31" s="3" t="s">
        <v>162</v>
      </c>
      <c r="D31" s="1" t="s">
        <v>180</v>
      </c>
      <c r="E31" s="1" t="s">
        <v>181</v>
      </c>
      <c r="F31" s="3" t="s">
        <v>178</v>
      </c>
      <c r="G31" s="3" t="s">
        <v>21</v>
      </c>
      <c r="H31" s="3" t="s">
        <v>96</v>
      </c>
      <c r="I31" s="3" t="s">
        <v>179</v>
      </c>
    </row>
    <row r="32">
      <c r="A32" s="3" t="s">
        <v>13</v>
      </c>
      <c r="B32" s="1" t="s">
        <v>182</v>
      </c>
      <c r="C32" s="1" t="s">
        <v>162</v>
      </c>
      <c r="D32" s="1" t="s">
        <v>185</v>
      </c>
      <c r="E32" s="1" t="s">
        <v>186</v>
      </c>
      <c r="F32" s="1" t="s">
        <v>183</v>
      </c>
      <c r="G32" s="1" t="s">
        <v>43</v>
      </c>
      <c r="H32" s="1" t="s">
        <v>96</v>
      </c>
      <c r="I32" s="1" t="s">
        <v>184</v>
      </c>
      <c r="J32" s="2"/>
      <c r="K32" s="2"/>
      <c r="L32" s="2"/>
      <c r="M32" s="2"/>
      <c r="N32" s="2"/>
      <c r="O32" s="2"/>
      <c r="P32" s="2"/>
      <c r="Q32" s="2"/>
      <c r="R32" s="2"/>
      <c r="S32" s="2"/>
      <c r="T32" s="2"/>
      <c r="U32" s="2"/>
      <c r="V32" s="2"/>
      <c r="W32" s="2"/>
      <c r="X32" s="2"/>
      <c r="Y32" s="2"/>
      <c r="Z32" s="2"/>
      <c r="AA32" s="2"/>
    </row>
    <row r="33">
      <c r="A33" s="3" t="s">
        <v>13</v>
      </c>
      <c r="B33" s="1" t="s">
        <v>187</v>
      </c>
      <c r="C33" s="1" t="s">
        <v>162</v>
      </c>
      <c r="D33" s="1" t="s">
        <v>189</v>
      </c>
      <c r="E33" s="1" t="s">
        <v>190</v>
      </c>
      <c r="F33" s="1" t="s">
        <v>188</v>
      </c>
      <c r="G33" s="1" t="s">
        <v>43</v>
      </c>
      <c r="H33" s="1" t="s">
        <v>96</v>
      </c>
      <c r="I33" s="1" t="s">
        <v>137</v>
      </c>
      <c r="J33" s="2"/>
      <c r="K33" s="2"/>
      <c r="L33" s="2"/>
      <c r="M33" s="2"/>
      <c r="N33" s="2"/>
      <c r="O33" s="2"/>
      <c r="P33" s="2"/>
      <c r="Q33" s="2"/>
      <c r="R33" s="2"/>
      <c r="S33" s="2"/>
      <c r="T33" s="2"/>
      <c r="U33" s="2"/>
      <c r="V33" s="2"/>
      <c r="W33" s="2"/>
      <c r="X33" s="2"/>
      <c r="Y33" s="2"/>
      <c r="Z33" s="2"/>
      <c r="AA33" s="2"/>
    </row>
    <row r="34">
      <c r="A34" s="3" t="s">
        <v>13</v>
      </c>
      <c r="B34" s="3" t="s">
        <v>191</v>
      </c>
      <c r="C34" s="3" t="s">
        <v>192</v>
      </c>
      <c r="D34" s="1" t="s">
        <v>195</v>
      </c>
      <c r="E34" s="1" t="s">
        <v>196</v>
      </c>
      <c r="F34" s="3" t="s">
        <v>193</v>
      </c>
      <c r="G34" s="3" t="s">
        <v>21</v>
      </c>
      <c r="H34" s="3" t="s">
        <v>22</v>
      </c>
      <c r="I34" s="3" t="s">
        <v>194</v>
      </c>
    </row>
    <row r="35">
      <c r="A35" s="3" t="s">
        <v>13</v>
      </c>
      <c r="B35" s="3" t="s">
        <v>197</v>
      </c>
      <c r="C35" s="3" t="s">
        <v>192</v>
      </c>
      <c r="D35" s="1" t="s">
        <v>201</v>
      </c>
      <c r="E35" s="1" t="s">
        <v>202</v>
      </c>
      <c r="F35" s="3" t="s">
        <v>199</v>
      </c>
      <c r="G35" s="3" t="s">
        <v>21</v>
      </c>
      <c r="H35" s="3" t="s">
        <v>22</v>
      </c>
      <c r="I35" s="3" t="s">
        <v>200</v>
      </c>
    </row>
    <row r="36">
      <c r="A36" s="3" t="s">
        <v>13</v>
      </c>
      <c r="B36" s="3" t="s">
        <v>203</v>
      </c>
      <c r="C36" s="3" t="s">
        <v>192</v>
      </c>
      <c r="D36" s="1" t="s">
        <v>207</v>
      </c>
      <c r="E36" s="1" t="s">
        <v>208</v>
      </c>
      <c r="F36" s="3" t="s">
        <v>204</v>
      </c>
      <c r="G36" s="3" t="s">
        <v>21</v>
      </c>
      <c r="H36" s="3" t="s">
        <v>205</v>
      </c>
      <c r="I36" s="3" t="s">
        <v>206</v>
      </c>
    </row>
    <row r="37">
      <c r="A37" s="3" t="s">
        <v>13</v>
      </c>
      <c r="B37" s="3" t="s">
        <v>209</v>
      </c>
      <c r="C37" s="3" t="s">
        <v>192</v>
      </c>
      <c r="D37" s="1" t="s">
        <v>212</v>
      </c>
      <c r="E37" s="1" t="s">
        <v>213</v>
      </c>
      <c r="F37" s="3" t="s">
        <v>210</v>
      </c>
      <c r="G37" s="3" t="s">
        <v>21</v>
      </c>
      <c r="H37" s="3" t="s">
        <v>85</v>
      </c>
      <c r="I37" s="3" t="s">
        <v>211</v>
      </c>
    </row>
    <row r="38">
      <c r="A38" s="3" t="s">
        <v>13</v>
      </c>
      <c r="B38" s="3" t="s">
        <v>214</v>
      </c>
      <c r="C38" s="3" t="s">
        <v>192</v>
      </c>
      <c r="D38" s="1" t="s">
        <v>212</v>
      </c>
      <c r="E38" s="1" t="s">
        <v>218</v>
      </c>
      <c r="F38" s="3" t="s">
        <v>215</v>
      </c>
      <c r="G38" s="3" t="s">
        <v>21</v>
      </c>
      <c r="H38" s="3" t="s">
        <v>216</v>
      </c>
      <c r="I38" s="3" t="s">
        <v>217</v>
      </c>
    </row>
    <row r="39">
      <c r="A39" s="3" t="s">
        <v>20</v>
      </c>
      <c r="B39" s="3" t="s">
        <v>219</v>
      </c>
      <c r="C39" s="3" t="s">
        <v>192</v>
      </c>
      <c r="D39" s="1" t="s">
        <v>223</v>
      </c>
      <c r="E39" s="1" t="s">
        <v>224</v>
      </c>
      <c r="F39" s="3" t="s">
        <v>220</v>
      </c>
      <c r="G39" s="3" t="s">
        <v>21</v>
      </c>
      <c r="H39" s="3" t="s">
        <v>221</v>
      </c>
      <c r="I39" s="3" t="s">
        <v>222</v>
      </c>
      <c r="K39" s="3" t="s">
        <v>268</v>
      </c>
    </row>
    <row r="40">
      <c r="A40" s="3" t="s">
        <v>13</v>
      </c>
      <c r="B40" s="1" t="s">
        <v>225</v>
      </c>
      <c r="C40" s="1" t="s">
        <v>192</v>
      </c>
      <c r="D40" s="1" t="s">
        <v>228</v>
      </c>
      <c r="E40" s="1" t="s">
        <v>229</v>
      </c>
      <c r="F40" s="1" t="s">
        <v>226</v>
      </c>
      <c r="G40" s="1" t="s">
        <v>43</v>
      </c>
      <c r="H40" s="1" t="s">
        <v>221</v>
      </c>
      <c r="I40" s="1" t="s">
        <v>227</v>
      </c>
      <c r="J40" s="2"/>
      <c r="K40" s="2"/>
      <c r="L40" s="2"/>
      <c r="M40" s="2"/>
      <c r="N40" s="2"/>
      <c r="O40" s="2"/>
      <c r="P40" s="2"/>
      <c r="Q40" s="2"/>
      <c r="R40" s="2"/>
      <c r="S40" s="2"/>
      <c r="T40" s="2"/>
      <c r="U40" s="2"/>
      <c r="V40" s="2"/>
      <c r="W40" s="2"/>
      <c r="X40" s="2"/>
      <c r="Y40" s="2"/>
      <c r="Z40" s="2"/>
      <c r="AA40" s="2"/>
    </row>
    <row r="41">
      <c r="A41" s="3" t="s">
        <v>13</v>
      </c>
      <c r="B41" s="3" t="s">
        <v>230</v>
      </c>
      <c r="C41" s="3" t="s">
        <v>192</v>
      </c>
      <c r="D41" s="1" t="s">
        <v>233</v>
      </c>
      <c r="E41" s="1" t="s">
        <v>234</v>
      </c>
      <c r="F41" s="3" t="s">
        <v>231</v>
      </c>
      <c r="G41" s="3" t="s">
        <v>21</v>
      </c>
      <c r="H41" s="3" t="s">
        <v>221</v>
      </c>
      <c r="I41" s="3" t="s">
        <v>232</v>
      </c>
    </row>
    <row r="42">
      <c r="A42" s="3" t="s">
        <v>13</v>
      </c>
      <c r="B42" s="3" t="s">
        <v>235</v>
      </c>
      <c r="C42" s="3" t="s">
        <v>192</v>
      </c>
      <c r="D42" s="1" t="s">
        <v>239</v>
      </c>
      <c r="E42" s="1" t="s">
        <v>240</v>
      </c>
      <c r="F42" s="3" t="s">
        <v>236</v>
      </c>
      <c r="G42" s="3" t="s">
        <v>21</v>
      </c>
      <c r="H42" s="3" t="s">
        <v>237</v>
      </c>
      <c r="I42" s="3" t="s">
        <v>238</v>
      </c>
    </row>
    <row r="43">
      <c r="A43" s="3" t="s">
        <v>20</v>
      </c>
      <c r="B43" s="3" t="s">
        <v>241</v>
      </c>
      <c r="C43" s="3" t="s">
        <v>192</v>
      </c>
      <c r="D43" s="1" t="s">
        <v>243</v>
      </c>
      <c r="E43" s="1" t="s">
        <v>244</v>
      </c>
      <c r="F43" s="3" t="s">
        <v>242</v>
      </c>
      <c r="G43" s="3" t="s">
        <v>21</v>
      </c>
      <c r="H43" s="3" t="s">
        <v>237</v>
      </c>
      <c r="I43" s="3" t="s">
        <v>238</v>
      </c>
      <c r="K43" s="3" t="s">
        <v>288</v>
      </c>
    </row>
    <row r="44">
      <c r="A44" s="3" t="s">
        <v>13</v>
      </c>
      <c r="B44" s="3" t="s">
        <v>245</v>
      </c>
      <c r="C44" s="3" t="s">
        <v>192</v>
      </c>
      <c r="D44" s="1" t="s">
        <v>249</v>
      </c>
      <c r="E44" s="1" t="s">
        <v>250</v>
      </c>
      <c r="F44" s="3" t="s">
        <v>246</v>
      </c>
      <c r="G44" s="3" t="s">
        <v>21</v>
      </c>
      <c r="H44" s="3" t="s">
        <v>247</v>
      </c>
      <c r="I44" s="3" t="s">
        <v>248</v>
      </c>
    </row>
    <row r="45">
      <c r="A45" s="1" t="s">
        <v>20</v>
      </c>
      <c r="B45" s="1" t="s">
        <v>251</v>
      </c>
      <c r="C45" s="1" t="s">
        <v>192</v>
      </c>
      <c r="D45" s="1" t="s">
        <v>254</v>
      </c>
      <c r="E45" s="1" t="s">
        <v>255</v>
      </c>
      <c r="F45" s="1" t="s">
        <v>252</v>
      </c>
      <c r="G45" s="1" t="s">
        <v>43</v>
      </c>
      <c r="H45" s="1" t="s">
        <v>247</v>
      </c>
      <c r="I45" s="1" t="s">
        <v>253</v>
      </c>
      <c r="J45" s="2"/>
      <c r="K45" s="1" t="s">
        <v>289</v>
      </c>
      <c r="L45" s="2"/>
      <c r="M45" s="2"/>
      <c r="N45" s="2"/>
      <c r="O45" s="2"/>
      <c r="P45" s="2"/>
      <c r="Q45" s="2"/>
      <c r="R45" s="2"/>
      <c r="S45" s="2"/>
      <c r="T45" s="2"/>
      <c r="U45" s="2"/>
      <c r="V45" s="2"/>
      <c r="W45" s="2"/>
      <c r="X45" s="2"/>
      <c r="Y45" s="2"/>
      <c r="Z45" s="2"/>
      <c r="AA45" s="2"/>
    </row>
    <row r="46">
      <c r="A46" s="3" t="s">
        <v>13</v>
      </c>
      <c r="B46" s="1" t="s">
        <v>256</v>
      </c>
      <c r="C46" s="1" t="s">
        <v>192</v>
      </c>
      <c r="D46" s="1" t="s">
        <v>259</v>
      </c>
      <c r="E46" s="1" t="s">
        <v>260</v>
      </c>
      <c r="F46" s="1" t="s">
        <v>257</v>
      </c>
      <c r="G46" s="1" t="s">
        <v>43</v>
      </c>
      <c r="H46" s="1" t="s">
        <v>258</v>
      </c>
      <c r="I46" s="1" t="s">
        <v>253</v>
      </c>
      <c r="J46" s="2"/>
      <c r="K46" s="2"/>
      <c r="L46" s="2"/>
      <c r="M46" s="2"/>
      <c r="N46" s="2"/>
      <c r="O46" s="2"/>
      <c r="P46" s="2"/>
      <c r="Q46" s="2"/>
      <c r="R46" s="2"/>
      <c r="S46" s="2"/>
      <c r="T46" s="2"/>
      <c r="U46" s="2"/>
      <c r="V46" s="2"/>
      <c r="W46" s="2"/>
      <c r="X46" s="2"/>
      <c r="Y46" s="2"/>
      <c r="Z46" s="2"/>
      <c r="AA46" s="2"/>
    </row>
    <row r="47">
      <c r="A47" s="3" t="s">
        <v>13</v>
      </c>
      <c r="B47" s="1" t="s">
        <v>261</v>
      </c>
      <c r="C47" s="1" t="s">
        <v>192</v>
      </c>
      <c r="D47" s="1" t="s">
        <v>264</v>
      </c>
      <c r="E47" s="1" t="s">
        <v>265</v>
      </c>
      <c r="F47" s="1" t="s">
        <v>262</v>
      </c>
      <c r="G47" s="1" t="s">
        <v>43</v>
      </c>
      <c r="H47" s="1" t="s">
        <v>258</v>
      </c>
      <c r="I47" s="1" t="s">
        <v>263</v>
      </c>
      <c r="J47" s="2"/>
      <c r="K47" s="2"/>
      <c r="L47" s="2"/>
      <c r="M47" s="2"/>
      <c r="N47" s="2"/>
      <c r="O47" s="2"/>
      <c r="P47" s="2"/>
      <c r="Q47" s="2"/>
      <c r="R47" s="2"/>
      <c r="S47" s="2"/>
      <c r="T47" s="2"/>
      <c r="U47" s="2"/>
      <c r="V47" s="2"/>
      <c r="W47" s="2"/>
      <c r="X47" s="2"/>
      <c r="Y47" s="2"/>
      <c r="Z47" s="2"/>
      <c r="AA47" s="2"/>
    </row>
    <row r="48">
      <c r="A48" s="3" t="s">
        <v>13</v>
      </c>
      <c r="B48" s="3" t="s">
        <v>266</v>
      </c>
      <c r="C48" s="3" t="s">
        <v>192</v>
      </c>
      <c r="D48" s="1" t="s">
        <v>270</v>
      </c>
      <c r="E48" s="1" t="s">
        <v>271</v>
      </c>
      <c r="F48" s="3" t="s">
        <v>267</v>
      </c>
      <c r="G48" s="3" t="s">
        <v>21</v>
      </c>
      <c r="H48" s="3" t="s">
        <v>237</v>
      </c>
      <c r="I48" s="3" t="s">
        <v>269</v>
      </c>
    </row>
    <row r="49">
      <c r="A49" s="3" t="s">
        <v>20</v>
      </c>
      <c r="B49" s="3" t="s">
        <v>272</v>
      </c>
      <c r="C49" s="3" t="s">
        <v>192</v>
      </c>
      <c r="D49" s="1" t="s">
        <v>275</v>
      </c>
      <c r="E49" s="1" t="s">
        <v>276</v>
      </c>
      <c r="F49" s="3" t="s">
        <v>273</v>
      </c>
      <c r="G49" s="3" t="s">
        <v>21</v>
      </c>
      <c r="H49" s="3" t="s">
        <v>247</v>
      </c>
      <c r="I49" s="3" t="s">
        <v>274</v>
      </c>
      <c r="K49" s="3" t="s">
        <v>319</v>
      </c>
    </row>
    <row r="50">
      <c r="A50" s="3" t="s">
        <v>13</v>
      </c>
      <c r="B50" s="3" t="s">
        <v>277</v>
      </c>
      <c r="C50" s="3" t="s">
        <v>192</v>
      </c>
      <c r="D50" s="1" t="s">
        <v>280</v>
      </c>
      <c r="E50" s="1" t="s">
        <v>281</v>
      </c>
      <c r="F50" s="3" t="s">
        <v>278</v>
      </c>
      <c r="G50" s="3" t="s">
        <v>21</v>
      </c>
      <c r="H50" s="3" t="s">
        <v>279</v>
      </c>
      <c r="I50" s="3" t="s">
        <v>274</v>
      </c>
    </row>
    <row r="51">
      <c r="A51" s="3" t="s">
        <v>13</v>
      </c>
      <c r="B51" s="3" t="s">
        <v>282</v>
      </c>
      <c r="C51" s="3" t="s">
        <v>283</v>
      </c>
      <c r="D51" s="1" t="s">
        <v>286</v>
      </c>
      <c r="E51" s="1" t="s">
        <v>287</v>
      </c>
      <c r="F51" s="3" t="s">
        <v>284</v>
      </c>
      <c r="G51" s="3" t="s">
        <v>21</v>
      </c>
      <c r="H51" s="3" t="s">
        <v>85</v>
      </c>
      <c r="I51" s="3" t="s">
        <v>285</v>
      </c>
    </row>
    <row r="52">
      <c r="A52" s="3" t="s">
        <v>13</v>
      </c>
      <c r="B52" s="3" t="s">
        <v>290</v>
      </c>
      <c r="C52" s="3" t="s">
        <v>283</v>
      </c>
      <c r="D52" s="1" t="s">
        <v>291</v>
      </c>
      <c r="E52" s="1" t="s">
        <v>292</v>
      </c>
      <c r="F52" s="3" t="s">
        <v>293</v>
      </c>
      <c r="G52" s="3" t="s">
        <v>21</v>
      </c>
      <c r="H52" s="3" t="s">
        <v>216</v>
      </c>
      <c r="I52" s="3" t="s">
        <v>294</v>
      </c>
    </row>
    <row r="53">
      <c r="A53" s="3" t="s">
        <v>20</v>
      </c>
      <c r="B53" s="3" t="s">
        <v>295</v>
      </c>
      <c r="C53" s="3" t="s">
        <v>283</v>
      </c>
      <c r="D53" s="1" t="s">
        <v>296</v>
      </c>
      <c r="E53" s="1" t="s">
        <v>297</v>
      </c>
      <c r="F53" s="3" t="s">
        <v>298</v>
      </c>
      <c r="G53" s="3" t="s">
        <v>21</v>
      </c>
      <c r="H53" s="3" t="s">
        <v>216</v>
      </c>
      <c r="I53" s="3" t="s">
        <v>299</v>
      </c>
      <c r="K53" s="3" t="s">
        <v>339</v>
      </c>
    </row>
    <row r="54">
      <c r="A54" s="3" t="s">
        <v>13</v>
      </c>
      <c r="B54" s="3" t="s">
        <v>300</v>
      </c>
      <c r="C54" s="3" t="s">
        <v>283</v>
      </c>
      <c r="D54" s="1" t="s">
        <v>301</v>
      </c>
      <c r="E54" s="1" t="s">
        <v>302</v>
      </c>
      <c r="F54" s="3" t="s">
        <v>303</v>
      </c>
      <c r="G54" s="3" t="s">
        <v>21</v>
      </c>
      <c r="H54" s="3" t="s">
        <v>216</v>
      </c>
      <c r="I54" s="3" t="s">
        <v>304</v>
      </c>
    </row>
    <row r="55">
      <c r="A55" s="3" t="s">
        <v>13</v>
      </c>
      <c r="B55" s="1" t="s">
        <v>305</v>
      </c>
      <c r="C55" s="1" t="s">
        <v>283</v>
      </c>
      <c r="D55" s="1" t="s">
        <v>306</v>
      </c>
      <c r="E55" s="1" t="s">
        <v>307</v>
      </c>
      <c r="F55" s="1" t="s">
        <v>308</v>
      </c>
      <c r="G55" s="1" t="s">
        <v>43</v>
      </c>
      <c r="H55" s="1" t="s">
        <v>309</v>
      </c>
      <c r="I55" s="1" t="s">
        <v>310</v>
      </c>
      <c r="J55" s="2"/>
      <c r="K55" s="2"/>
      <c r="L55" s="2"/>
      <c r="M55" s="2"/>
      <c r="N55" s="2"/>
      <c r="O55" s="2"/>
      <c r="P55" s="2"/>
      <c r="Q55" s="2"/>
      <c r="R55" s="2"/>
      <c r="S55" s="2"/>
      <c r="T55" s="2"/>
      <c r="U55" s="2"/>
      <c r="V55" s="2"/>
      <c r="W55" s="2"/>
      <c r="X55" s="2"/>
      <c r="Y55" s="2"/>
      <c r="Z55" s="2"/>
      <c r="AA55" s="2"/>
    </row>
    <row r="56">
      <c r="A56" s="3" t="s">
        <v>13</v>
      </c>
      <c r="B56" s="3" t="s">
        <v>311</v>
      </c>
      <c r="C56" s="3" t="s">
        <v>283</v>
      </c>
      <c r="D56" s="1" t="s">
        <v>312</v>
      </c>
      <c r="E56" s="1" t="s">
        <v>313</v>
      </c>
      <c r="F56" s="3" t="s">
        <v>314</v>
      </c>
      <c r="G56" s="3" t="s">
        <v>21</v>
      </c>
      <c r="H56" s="3" t="s">
        <v>216</v>
      </c>
      <c r="I56" s="3" t="s">
        <v>315</v>
      </c>
    </row>
    <row r="57">
      <c r="A57" s="3" t="s">
        <v>13</v>
      </c>
      <c r="B57" s="3" t="s">
        <v>316</v>
      </c>
      <c r="C57" s="3" t="s">
        <v>283</v>
      </c>
      <c r="D57" s="1" t="s">
        <v>317</v>
      </c>
      <c r="E57" s="1" t="s">
        <v>318</v>
      </c>
      <c r="F57" s="3" t="s">
        <v>320</v>
      </c>
      <c r="G57" s="3" t="s">
        <v>21</v>
      </c>
      <c r="H57" s="3" t="s">
        <v>237</v>
      </c>
      <c r="I57" s="3" t="s">
        <v>321</v>
      </c>
    </row>
    <row r="58">
      <c r="A58" s="3" t="s">
        <v>13</v>
      </c>
      <c r="B58" s="3" t="s">
        <v>322</v>
      </c>
      <c r="C58" s="3" t="s">
        <v>283</v>
      </c>
      <c r="D58" s="1" t="s">
        <v>323</v>
      </c>
      <c r="E58" s="1" t="s">
        <v>324</v>
      </c>
      <c r="F58" s="3" t="s">
        <v>325</v>
      </c>
      <c r="G58" s="3" t="s">
        <v>21</v>
      </c>
      <c r="H58" s="3" t="s">
        <v>279</v>
      </c>
      <c r="I58" s="3" t="s">
        <v>321</v>
      </c>
    </row>
    <row r="59">
      <c r="A59" s="3" t="s">
        <v>13</v>
      </c>
      <c r="B59" s="3" t="s">
        <v>326</v>
      </c>
      <c r="C59" s="3" t="s">
        <v>283</v>
      </c>
      <c r="D59" s="1" t="s">
        <v>327</v>
      </c>
      <c r="E59" s="1" t="s">
        <v>328</v>
      </c>
      <c r="F59" s="3" t="s">
        <v>329</v>
      </c>
      <c r="G59" s="3" t="s">
        <v>21</v>
      </c>
      <c r="H59" s="3" t="s">
        <v>237</v>
      </c>
      <c r="I59" s="3" t="s">
        <v>330</v>
      </c>
    </row>
    <row r="60">
      <c r="A60" s="3" t="s">
        <v>13</v>
      </c>
      <c r="B60" s="1" t="s">
        <v>331</v>
      </c>
      <c r="C60" s="1" t="s">
        <v>283</v>
      </c>
      <c r="D60" s="1" t="s">
        <v>332</v>
      </c>
      <c r="E60" s="1" t="s">
        <v>333</v>
      </c>
      <c r="F60" s="1" t="s">
        <v>334</v>
      </c>
      <c r="G60" s="1" t="s">
        <v>43</v>
      </c>
      <c r="H60" s="1" t="s">
        <v>237</v>
      </c>
      <c r="I60" s="1" t="s">
        <v>330</v>
      </c>
      <c r="J60" s="2"/>
      <c r="K60" s="2"/>
      <c r="L60" s="2"/>
      <c r="M60" s="2"/>
      <c r="N60" s="2"/>
      <c r="O60" s="2"/>
      <c r="P60" s="2"/>
      <c r="Q60" s="2"/>
      <c r="R60" s="2"/>
      <c r="S60" s="2"/>
      <c r="T60" s="2"/>
      <c r="U60" s="2"/>
      <c r="V60" s="2"/>
      <c r="W60" s="2"/>
      <c r="X60" s="2"/>
      <c r="Y60" s="2"/>
      <c r="Z60" s="2"/>
      <c r="AA60" s="2"/>
    </row>
    <row r="61">
      <c r="A61" s="3" t="s">
        <v>13</v>
      </c>
      <c r="B61" s="1" t="s">
        <v>335</v>
      </c>
      <c r="C61" s="1" t="s">
        <v>283</v>
      </c>
      <c r="D61" s="1" t="s">
        <v>336</v>
      </c>
      <c r="E61" s="1" t="s">
        <v>337</v>
      </c>
      <c r="F61" s="1" t="s">
        <v>338</v>
      </c>
      <c r="G61" s="1" t="s">
        <v>43</v>
      </c>
      <c r="H61" s="1" t="s">
        <v>216</v>
      </c>
      <c r="I61" s="1" t="s">
        <v>340</v>
      </c>
      <c r="J61" s="2"/>
      <c r="K61" s="2"/>
      <c r="L61" s="2"/>
      <c r="M61" s="2"/>
      <c r="N61" s="2"/>
      <c r="O61" s="2"/>
      <c r="P61" s="2"/>
      <c r="Q61" s="2"/>
      <c r="R61" s="2"/>
      <c r="S61" s="2"/>
      <c r="T61" s="2"/>
      <c r="U61" s="2"/>
      <c r="V61" s="2"/>
      <c r="W61" s="2"/>
      <c r="X61" s="2"/>
      <c r="Y61" s="2"/>
      <c r="Z61" s="2"/>
      <c r="AA61" s="2"/>
    </row>
    <row r="62">
      <c r="A62" s="3" t="s">
        <v>13</v>
      </c>
      <c r="B62" s="3" t="s">
        <v>341</v>
      </c>
      <c r="C62" s="3" t="s">
        <v>342</v>
      </c>
      <c r="D62" s="1" t="s">
        <v>343</v>
      </c>
      <c r="E62" s="1" t="s">
        <v>344</v>
      </c>
      <c r="F62" s="3" t="s">
        <v>345</v>
      </c>
      <c r="G62" s="3" t="s">
        <v>21</v>
      </c>
      <c r="H62" s="3" t="s">
        <v>346</v>
      </c>
      <c r="I62" s="3" t="s">
        <v>347</v>
      </c>
    </row>
    <row r="63">
      <c r="A63" s="3" t="s">
        <v>13</v>
      </c>
      <c r="B63" s="3" t="s">
        <v>348</v>
      </c>
      <c r="C63" s="3" t="s">
        <v>342</v>
      </c>
      <c r="D63" s="1" t="s">
        <v>349</v>
      </c>
      <c r="E63" s="1" t="s">
        <v>350</v>
      </c>
      <c r="F63" s="3" t="s">
        <v>351</v>
      </c>
      <c r="G63" s="3" t="s">
        <v>21</v>
      </c>
      <c r="H63" s="3" t="s">
        <v>247</v>
      </c>
      <c r="I63" s="3" t="s">
        <v>352</v>
      </c>
    </row>
    <row r="64">
      <c r="A64" s="3" t="s">
        <v>13</v>
      </c>
      <c r="B64" s="1" t="s">
        <v>353</v>
      </c>
      <c r="C64" s="1" t="s">
        <v>342</v>
      </c>
      <c r="D64" s="1" t="s">
        <v>354</v>
      </c>
      <c r="E64" s="1" t="s">
        <v>355</v>
      </c>
      <c r="F64" s="1" t="s">
        <v>356</v>
      </c>
      <c r="G64" s="1" t="s">
        <v>43</v>
      </c>
      <c r="H64" s="1" t="s">
        <v>247</v>
      </c>
      <c r="I64" s="1" t="s">
        <v>357</v>
      </c>
      <c r="J64" s="2"/>
      <c r="K64" s="2"/>
      <c r="L64" s="2"/>
      <c r="M64" s="2"/>
      <c r="N64" s="2"/>
      <c r="O64" s="2"/>
      <c r="P64" s="2"/>
      <c r="Q64" s="2"/>
      <c r="R64" s="2"/>
      <c r="S64" s="2"/>
      <c r="T64" s="2"/>
      <c r="U64" s="2"/>
      <c r="V64" s="2"/>
      <c r="W64" s="2"/>
      <c r="X64" s="2"/>
      <c r="Y64" s="2"/>
      <c r="Z64" s="2"/>
      <c r="AA64" s="2"/>
    </row>
    <row r="65">
      <c r="A65" s="3" t="s">
        <v>13</v>
      </c>
      <c r="B65" s="3" t="s">
        <v>358</v>
      </c>
      <c r="C65" s="3" t="s">
        <v>342</v>
      </c>
      <c r="D65" s="1" t="s">
        <v>359</v>
      </c>
      <c r="E65" s="1" t="s">
        <v>360</v>
      </c>
      <c r="F65" s="3" t="s">
        <v>361</v>
      </c>
      <c r="G65" s="3" t="s">
        <v>21</v>
      </c>
      <c r="H65" s="3" t="s">
        <v>247</v>
      </c>
      <c r="I65" s="3" t="s">
        <v>362</v>
      </c>
    </row>
    <row r="66">
      <c r="A66" s="3" t="s">
        <v>13</v>
      </c>
      <c r="B66" s="3" t="s">
        <v>363</v>
      </c>
      <c r="C66" s="3" t="s">
        <v>342</v>
      </c>
      <c r="D66" s="1" t="s">
        <v>364</v>
      </c>
      <c r="E66" s="1" t="s">
        <v>365</v>
      </c>
      <c r="F66" s="3" t="s">
        <v>366</v>
      </c>
      <c r="G66" s="3" t="s">
        <v>21</v>
      </c>
      <c r="H66" s="3" t="s">
        <v>247</v>
      </c>
      <c r="I66" s="3" t="s">
        <v>367</v>
      </c>
    </row>
    <row r="67">
      <c r="A67" s="3" t="s">
        <v>368</v>
      </c>
      <c r="B67" s="3" t="s">
        <v>369</v>
      </c>
      <c r="C67" s="3" t="s">
        <v>342</v>
      </c>
      <c r="D67" s="1" t="s">
        <v>370</v>
      </c>
      <c r="E67" s="1" t="s">
        <v>371</v>
      </c>
      <c r="F67" s="3" t="s">
        <v>372</v>
      </c>
      <c r="G67" s="3" t="s">
        <v>21</v>
      </c>
      <c r="H67" s="3" t="s">
        <v>373</v>
      </c>
      <c r="I67" s="3" t="s">
        <v>374</v>
      </c>
    </row>
    <row r="68">
      <c r="A68" s="3" t="s">
        <v>13</v>
      </c>
      <c r="B68" s="3" t="s">
        <v>375</v>
      </c>
      <c r="C68" s="3" t="s">
        <v>376</v>
      </c>
      <c r="D68" s="1" t="s">
        <v>377</v>
      </c>
      <c r="E68" s="1" t="s">
        <v>378</v>
      </c>
      <c r="F68" s="3" t="s">
        <v>379</v>
      </c>
      <c r="G68" s="3" t="s">
        <v>21</v>
      </c>
      <c r="H68" s="3" t="s">
        <v>380</v>
      </c>
      <c r="I68" s="3" t="s">
        <v>381</v>
      </c>
    </row>
    <row r="69">
      <c r="A69" s="3" t="s">
        <v>13</v>
      </c>
      <c r="B69" s="3" t="s">
        <v>382</v>
      </c>
      <c r="C69" s="3" t="s">
        <v>376</v>
      </c>
      <c r="D69" s="1" t="s">
        <v>383</v>
      </c>
      <c r="E69" s="1" t="s">
        <v>384</v>
      </c>
      <c r="F69" s="3" t="s">
        <v>385</v>
      </c>
      <c r="G69" s="3" t="s">
        <v>21</v>
      </c>
      <c r="H69" s="3" t="s">
        <v>96</v>
      </c>
      <c r="I69" s="3" t="s">
        <v>386</v>
      </c>
    </row>
    <row r="70">
      <c r="A70" s="3" t="s">
        <v>13</v>
      </c>
      <c r="B70" s="3" t="s">
        <v>387</v>
      </c>
      <c r="C70" s="3" t="s">
        <v>376</v>
      </c>
      <c r="D70" s="1" t="s">
        <v>388</v>
      </c>
      <c r="E70" s="1" t="s">
        <v>389</v>
      </c>
      <c r="F70" s="3" t="s">
        <v>390</v>
      </c>
      <c r="G70" s="3" t="s">
        <v>21</v>
      </c>
      <c r="H70" s="3" t="s">
        <v>96</v>
      </c>
      <c r="I70" s="3" t="s">
        <v>386</v>
      </c>
    </row>
    <row r="71">
      <c r="A71" s="3" t="s">
        <v>13</v>
      </c>
      <c r="B71" s="3" t="s">
        <v>391</v>
      </c>
      <c r="C71" s="3" t="s">
        <v>376</v>
      </c>
      <c r="D71" s="1" t="s">
        <v>392</v>
      </c>
      <c r="E71" s="1" t="s">
        <v>393</v>
      </c>
      <c r="F71" s="3" t="s">
        <v>394</v>
      </c>
      <c r="G71" s="3" t="s">
        <v>21</v>
      </c>
      <c r="H71" s="3" t="s">
        <v>96</v>
      </c>
      <c r="I71" s="3" t="s">
        <v>386</v>
      </c>
    </row>
    <row r="72">
      <c r="A72" s="3" t="s">
        <v>13</v>
      </c>
      <c r="B72" s="3" t="s">
        <v>395</v>
      </c>
      <c r="C72" s="3" t="s">
        <v>376</v>
      </c>
      <c r="D72" s="1" t="s">
        <v>396</v>
      </c>
      <c r="E72" s="1" t="s">
        <v>397</v>
      </c>
      <c r="F72" s="3" t="s">
        <v>398</v>
      </c>
      <c r="G72" s="3" t="s">
        <v>21</v>
      </c>
      <c r="H72" s="3" t="s">
        <v>96</v>
      </c>
      <c r="I72" s="3" t="s">
        <v>386</v>
      </c>
    </row>
    <row r="73">
      <c r="A73" s="3" t="s">
        <v>13</v>
      </c>
      <c r="B73" s="3" t="s">
        <v>399</v>
      </c>
      <c r="C73" s="3" t="s">
        <v>376</v>
      </c>
      <c r="D73" s="1" t="s">
        <v>400</v>
      </c>
      <c r="E73" s="1" t="s">
        <v>401</v>
      </c>
      <c r="F73" s="3" t="s">
        <v>402</v>
      </c>
      <c r="G73" s="3" t="s">
        <v>21</v>
      </c>
      <c r="H73" s="3" t="s">
        <v>96</v>
      </c>
      <c r="I73" s="3" t="s">
        <v>403</v>
      </c>
    </row>
    <row r="74">
      <c r="A74" s="3" t="s">
        <v>13</v>
      </c>
      <c r="B74" s="3" t="s">
        <v>404</v>
      </c>
      <c r="C74" s="3" t="s">
        <v>376</v>
      </c>
      <c r="D74" s="1" t="s">
        <v>405</v>
      </c>
      <c r="E74" s="1" t="s">
        <v>406</v>
      </c>
      <c r="F74" s="3" t="s">
        <v>407</v>
      </c>
      <c r="G74" s="3" t="s">
        <v>21</v>
      </c>
      <c r="H74" s="3" t="s">
        <v>96</v>
      </c>
      <c r="I74" s="3" t="s">
        <v>403</v>
      </c>
    </row>
    <row r="75">
      <c r="A75" s="3" t="s">
        <v>13</v>
      </c>
      <c r="B75" s="3" t="s">
        <v>408</v>
      </c>
      <c r="C75" s="3" t="s">
        <v>376</v>
      </c>
      <c r="D75" s="1" t="s">
        <v>409</v>
      </c>
      <c r="E75" s="1" t="s">
        <v>410</v>
      </c>
      <c r="F75" s="3" t="s">
        <v>411</v>
      </c>
      <c r="G75" s="3" t="s">
        <v>21</v>
      </c>
      <c r="H75" s="3" t="s">
        <v>412</v>
      </c>
      <c r="I75" s="3" t="s">
        <v>413</v>
      </c>
      <c r="L75" s="3" t="s">
        <v>459</v>
      </c>
    </row>
    <row r="76">
      <c r="A76" s="3" t="s">
        <v>20</v>
      </c>
      <c r="B76" s="3" t="s">
        <v>414</v>
      </c>
      <c r="C76" s="3" t="s">
        <v>376</v>
      </c>
      <c r="D76" s="1" t="s">
        <v>415</v>
      </c>
      <c r="E76" s="1" t="s">
        <v>416</v>
      </c>
      <c r="F76" s="3" t="s">
        <v>417</v>
      </c>
      <c r="G76" s="3" t="s">
        <v>21</v>
      </c>
      <c r="H76" s="3" t="s">
        <v>412</v>
      </c>
      <c r="I76" s="3" t="s">
        <v>418</v>
      </c>
      <c r="K76" s="3" t="s">
        <v>471</v>
      </c>
    </row>
    <row r="77">
      <c r="A77" s="3" t="s">
        <v>13</v>
      </c>
      <c r="B77" s="3" t="s">
        <v>419</v>
      </c>
      <c r="C77" s="3" t="s">
        <v>376</v>
      </c>
      <c r="D77" s="1" t="s">
        <v>420</v>
      </c>
      <c r="E77" s="1" t="s">
        <v>421</v>
      </c>
      <c r="F77" s="3" t="s">
        <v>422</v>
      </c>
      <c r="G77" s="3" t="s">
        <v>21</v>
      </c>
      <c r="H77" s="3" t="s">
        <v>412</v>
      </c>
      <c r="I77" s="3" t="s">
        <v>423</v>
      </c>
    </row>
    <row r="78">
      <c r="A78" s="3" t="s">
        <v>20</v>
      </c>
      <c r="B78" s="3" t="s">
        <v>424</v>
      </c>
      <c r="C78" s="3" t="s">
        <v>376</v>
      </c>
      <c r="D78" s="1" t="s">
        <v>425</v>
      </c>
      <c r="E78" s="1" t="s">
        <v>426</v>
      </c>
      <c r="F78" s="3" t="s">
        <v>427</v>
      </c>
      <c r="G78" s="3" t="s">
        <v>21</v>
      </c>
      <c r="H78" s="3" t="s">
        <v>412</v>
      </c>
      <c r="I78" s="3" t="s">
        <v>428</v>
      </c>
      <c r="K78" s="4" t="s">
        <v>488</v>
      </c>
    </row>
    <row r="79">
      <c r="A79" s="3" t="s">
        <v>13</v>
      </c>
      <c r="B79" s="3" t="s">
        <v>429</v>
      </c>
      <c r="C79" s="3" t="s">
        <v>376</v>
      </c>
      <c r="D79" s="1" t="s">
        <v>430</v>
      </c>
      <c r="E79" s="1" t="s">
        <v>431</v>
      </c>
      <c r="F79" s="3" t="s">
        <v>432</v>
      </c>
      <c r="G79" s="3" t="s">
        <v>21</v>
      </c>
      <c r="H79" s="3" t="s">
        <v>412</v>
      </c>
      <c r="I79" s="3" t="s">
        <v>433</v>
      </c>
    </row>
    <row r="80">
      <c r="A80" s="3" t="s">
        <v>146</v>
      </c>
      <c r="B80" s="3" t="s">
        <v>434</v>
      </c>
      <c r="C80" s="3" t="s">
        <v>376</v>
      </c>
      <c r="D80" s="1" t="s">
        <v>435</v>
      </c>
      <c r="E80" s="1" t="s">
        <v>436</v>
      </c>
      <c r="F80" s="3" t="s">
        <v>437</v>
      </c>
      <c r="G80" s="3" t="s">
        <v>21</v>
      </c>
      <c r="H80" s="3" t="s">
        <v>438</v>
      </c>
      <c r="I80" s="3" t="s">
        <v>439</v>
      </c>
      <c r="K80" s="3" t="s">
        <v>556</v>
      </c>
    </row>
    <row r="81">
      <c r="A81" s="3" t="s">
        <v>146</v>
      </c>
      <c r="B81" s="3" t="s">
        <v>440</v>
      </c>
      <c r="C81" s="3" t="s">
        <v>376</v>
      </c>
      <c r="D81" s="1" t="s">
        <v>441</v>
      </c>
      <c r="E81" s="1" t="s">
        <v>442</v>
      </c>
      <c r="F81" s="3" t="s">
        <v>443</v>
      </c>
      <c r="G81" s="3" t="s">
        <v>21</v>
      </c>
      <c r="H81" s="3" t="s">
        <v>438</v>
      </c>
      <c r="I81" s="3" t="s">
        <v>444</v>
      </c>
      <c r="K81" s="3" t="s">
        <v>556</v>
      </c>
    </row>
    <row r="82">
      <c r="A82" s="3" t="s">
        <v>146</v>
      </c>
      <c r="B82" s="3" t="s">
        <v>445</v>
      </c>
      <c r="C82" s="3" t="s">
        <v>376</v>
      </c>
      <c r="D82" s="1" t="s">
        <v>446</v>
      </c>
      <c r="E82" s="1" t="s">
        <v>447</v>
      </c>
      <c r="F82" s="3" t="s">
        <v>448</v>
      </c>
      <c r="G82" s="3" t="s">
        <v>21</v>
      </c>
      <c r="H82" s="3" t="s">
        <v>438</v>
      </c>
      <c r="I82" s="3" t="s">
        <v>449</v>
      </c>
      <c r="K82" s="3" t="s">
        <v>556</v>
      </c>
    </row>
    <row r="83">
      <c r="A83" s="1" t="s">
        <v>146</v>
      </c>
      <c r="B83" s="1" t="s">
        <v>450</v>
      </c>
      <c r="C83" s="1" t="s">
        <v>376</v>
      </c>
      <c r="D83" s="1" t="s">
        <v>451</v>
      </c>
      <c r="E83" s="1" t="s">
        <v>452</v>
      </c>
      <c r="F83" s="1" t="s">
        <v>453</v>
      </c>
      <c r="G83" s="1" t="s">
        <v>43</v>
      </c>
      <c r="H83" s="1" t="s">
        <v>438</v>
      </c>
      <c r="I83" s="1" t="s">
        <v>449</v>
      </c>
      <c r="J83" s="2"/>
      <c r="K83" s="1" t="s">
        <v>556</v>
      </c>
      <c r="L83" s="2"/>
      <c r="M83" s="2"/>
      <c r="N83" s="2"/>
      <c r="O83" s="2"/>
      <c r="P83" s="2"/>
      <c r="Q83" s="2"/>
      <c r="R83" s="2"/>
      <c r="S83" s="2"/>
      <c r="T83" s="2"/>
      <c r="U83" s="2"/>
      <c r="V83" s="2"/>
      <c r="W83" s="2"/>
      <c r="X83" s="2"/>
      <c r="Y83" s="2"/>
      <c r="Z83" s="2"/>
      <c r="AA83" s="2"/>
    </row>
    <row r="84">
      <c r="A84" s="1" t="s">
        <v>146</v>
      </c>
      <c r="B84" s="1" t="s">
        <v>454</v>
      </c>
      <c r="C84" s="1" t="s">
        <v>376</v>
      </c>
      <c r="D84" s="1" t="s">
        <v>455</v>
      </c>
      <c r="E84" s="1" t="s">
        <v>456</v>
      </c>
      <c r="F84" s="1" t="s">
        <v>457</v>
      </c>
      <c r="G84" s="1" t="s">
        <v>43</v>
      </c>
      <c r="H84" s="1" t="s">
        <v>438</v>
      </c>
      <c r="I84" s="1" t="s">
        <v>458</v>
      </c>
      <c r="J84" s="2"/>
      <c r="K84" s="1" t="s">
        <v>556</v>
      </c>
      <c r="L84" s="2"/>
      <c r="M84" s="2"/>
      <c r="N84" s="2"/>
      <c r="O84" s="2"/>
      <c r="P84" s="2"/>
      <c r="Q84" s="2"/>
      <c r="R84" s="2"/>
      <c r="S84" s="2"/>
      <c r="T84" s="2"/>
      <c r="U84" s="2"/>
      <c r="V84" s="2"/>
      <c r="W84" s="2"/>
      <c r="X84" s="2"/>
      <c r="Y84" s="2"/>
      <c r="Z84" s="2"/>
      <c r="AA84" s="2"/>
    </row>
    <row r="85">
      <c r="A85" s="3" t="s">
        <v>146</v>
      </c>
      <c r="B85" s="3" t="s">
        <v>460</v>
      </c>
      <c r="C85" s="3" t="s">
        <v>461</v>
      </c>
      <c r="D85" s="1" t="s">
        <v>462</v>
      </c>
      <c r="E85" s="1" t="s">
        <v>463</v>
      </c>
      <c r="F85" s="3" t="s">
        <v>464</v>
      </c>
      <c r="G85" s="3" t="s">
        <v>21</v>
      </c>
      <c r="H85" s="3" t="s">
        <v>465</v>
      </c>
      <c r="I85" s="3" t="s">
        <v>466</v>
      </c>
    </row>
    <row r="86">
      <c r="A86" s="3" t="s">
        <v>146</v>
      </c>
      <c r="B86" s="3" t="s">
        <v>467</v>
      </c>
      <c r="C86" s="3" t="s">
        <v>461</v>
      </c>
      <c r="D86" s="1" t="s">
        <v>468</v>
      </c>
      <c r="E86" s="1" t="s">
        <v>469</v>
      </c>
      <c r="F86" s="3" t="s">
        <v>470</v>
      </c>
      <c r="G86" s="3" t="s">
        <v>21</v>
      </c>
      <c r="H86" s="3" t="s">
        <v>465</v>
      </c>
      <c r="I86" s="3" t="s">
        <v>466</v>
      </c>
    </row>
    <row r="87">
      <c r="A87" s="3" t="s">
        <v>146</v>
      </c>
      <c r="B87" s="3" t="s">
        <v>472</v>
      </c>
      <c r="C87" s="3" t="s">
        <v>461</v>
      </c>
      <c r="D87" s="1" t="s">
        <v>473</v>
      </c>
      <c r="E87" s="1" t="s">
        <v>474</v>
      </c>
      <c r="F87" s="3" t="s">
        <v>475</v>
      </c>
      <c r="G87" s="3" t="s">
        <v>21</v>
      </c>
      <c r="H87" s="3" t="s">
        <v>465</v>
      </c>
      <c r="I87" s="3" t="s">
        <v>466</v>
      </c>
    </row>
    <row r="88">
      <c r="A88" s="3" t="s">
        <v>146</v>
      </c>
      <c r="B88" s="3" t="s">
        <v>476</v>
      </c>
      <c r="C88" s="3" t="s">
        <v>461</v>
      </c>
      <c r="D88" s="1" t="s">
        <v>477</v>
      </c>
      <c r="E88" s="1" t="s">
        <v>478</v>
      </c>
      <c r="F88" s="3" t="s">
        <v>479</v>
      </c>
      <c r="G88" s="3" t="s">
        <v>21</v>
      </c>
      <c r="H88" s="3" t="s">
        <v>465</v>
      </c>
      <c r="I88" s="3" t="s">
        <v>466</v>
      </c>
    </row>
    <row r="89">
      <c r="A89" s="3" t="s">
        <v>146</v>
      </c>
      <c r="B89" s="3" t="s">
        <v>480</v>
      </c>
      <c r="C89" s="3" t="s">
        <v>461</v>
      </c>
      <c r="D89" s="1" t="s">
        <v>481</v>
      </c>
      <c r="E89" s="1" t="s">
        <v>482</v>
      </c>
      <c r="F89" s="3" t="s">
        <v>483</v>
      </c>
      <c r="G89" s="3" t="s">
        <v>21</v>
      </c>
      <c r="H89" s="3" t="s">
        <v>465</v>
      </c>
      <c r="I89" s="3" t="s">
        <v>466</v>
      </c>
    </row>
    <row r="90">
      <c r="A90" s="3" t="s">
        <v>146</v>
      </c>
      <c r="B90" s="3" t="s">
        <v>484</v>
      </c>
      <c r="C90" s="3" t="s">
        <v>461</v>
      </c>
      <c r="D90" s="1" t="s">
        <v>485</v>
      </c>
      <c r="E90" s="1" t="s">
        <v>486</v>
      </c>
      <c r="F90" s="3" t="s">
        <v>487</v>
      </c>
      <c r="G90" s="3" t="s">
        <v>21</v>
      </c>
      <c r="H90" s="3" t="s">
        <v>465</v>
      </c>
      <c r="I90" s="3" t="s">
        <v>466</v>
      </c>
    </row>
    <row r="91">
      <c r="A91" s="3" t="s">
        <v>146</v>
      </c>
      <c r="B91" s="3" t="s">
        <v>489</v>
      </c>
      <c r="C91" s="3" t="s">
        <v>461</v>
      </c>
      <c r="D91" s="1" t="s">
        <v>490</v>
      </c>
      <c r="E91" s="1" t="s">
        <v>491</v>
      </c>
      <c r="F91" s="3" t="s">
        <v>492</v>
      </c>
      <c r="G91" s="3" t="s">
        <v>21</v>
      </c>
      <c r="H91" s="3" t="s">
        <v>465</v>
      </c>
      <c r="I91" s="3" t="s">
        <v>466</v>
      </c>
    </row>
    <row r="92">
      <c r="A92" s="3" t="s">
        <v>13</v>
      </c>
      <c r="B92" s="1" t="s">
        <v>493</v>
      </c>
      <c r="C92" s="1" t="s">
        <v>494</v>
      </c>
      <c r="D92" s="1" t="s">
        <v>495</v>
      </c>
      <c r="E92" s="1" t="s">
        <v>496</v>
      </c>
      <c r="F92" s="1" t="s">
        <v>497</v>
      </c>
      <c r="G92" s="1" t="s">
        <v>43</v>
      </c>
      <c r="H92" s="1" t="s">
        <v>96</v>
      </c>
      <c r="I92" s="1" t="s">
        <v>498</v>
      </c>
      <c r="J92" s="2"/>
      <c r="K92" s="2"/>
      <c r="L92" s="2"/>
      <c r="M92" s="2"/>
      <c r="N92" s="2"/>
      <c r="O92" s="2"/>
      <c r="P92" s="2"/>
      <c r="Q92" s="2"/>
      <c r="R92" s="2"/>
      <c r="S92" s="2"/>
      <c r="T92" s="2"/>
      <c r="U92" s="2"/>
      <c r="V92" s="2"/>
      <c r="W92" s="2"/>
      <c r="X92" s="2"/>
      <c r="Y92" s="2"/>
      <c r="Z92" s="2"/>
      <c r="AA92" s="2"/>
    </row>
    <row r="93">
      <c r="A93" s="1" t="s">
        <v>13</v>
      </c>
      <c r="B93" s="1" t="s">
        <v>499</v>
      </c>
      <c r="C93" s="1" t="s">
        <v>494</v>
      </c>
      <c r="D93" s="1" t="s">
        <v>500</v>
      </c>
      <c r="E93" s="1" t="s">
        <v>501</v>
      </c>
      <c r="F93" s="1" t="s">
        <v>502</v>
      </c>
      <c r="G93" s="1" t="s">
        <v>43</v>
      </c>
      <c r="H93" s="1" t="s">
        <v>96</v>
      </c>
      <c r="I93" s="1" t="s">
        <v>503</v>
      </c>
      <c r="J93" s="2"/>
      <c r="K93" s="2"/>
      <c r="L93" s="2"/>
      <c r="M93" s="2"/>
      <c r="N93" s="2"/>
      <c r="O93" s="2"/>
      <c r="P93" s="2"/>
      <c r="Q93" s="2"/>
      <c r="R93" s="2"/>
      <c r="S93" s="2"/>
      <c r="T93" s="2"/>
      <c r="U93" s="2"/>
      <c r="V93" s="2"/>
      <c r="W93" s="2"/>
      <c r="X93" s="2"/>
      <c r="Y93" s="2"/>
      <c r="Z93" s="2"/>
      <c r="AA93" s="2"/>
    </row>
    <row r="94">
      <c r="A94" s="1" t="s">
        <v>13</v>
      </c>
      <c r="B94" s="1" t="s">
        <v>504</v>
      </c>
      <c r="C94" s="1" t="s">
        <v>494</v>
      </c>
      <c r="D94" s="1" t="s">
        <v>505</v>
      </c>
      <c r="E94" s="1" t="s">
        <v>506</v>
      </c>
      <c r="F94" s="1" t="s">
        <v>507</v>
      </c>
      <c r="G94" s="1" t="s">
        <v>43</v>
      </c>
      <c r="H94" s="1" t="s">
        <v>96</v>
      </c>
      <c r="I94" s="1" t="s">
        <v>508</v>
      </c>
      <c r="J94" s="2"/>
      <c r="K94" s="2"/>
      <c r="L94" s="2"/>
      <c r="M94" s="2"/>
      <c r="N94" s="2"/>
      <c r="O94" s="2"/>
      <c r="P94" s="2"/>
      <c r="Q94" s="2"/>
      <c r="R94" s="2"/>
      <c r="S94" s="2"/>
      <c r="T94" s="2"/>
      <c r="U94" s="2"/>
      <c r="V94" s="2"/>
      <c r="W94" s="2"/>
      <c r="X94" s="2"/>
      <c r="Y94" s="2"/>
      <c r="Z94" s="2"/>
      <c r="AA94" s="2"/>
    </row>
    <row r="95">
      <c r="A95" s="3" t="s">
        <v>13</v>
      </c>
      <c r="B95" s="3" t="s">
        <v>509</v>
      </c>
      <c r="C95" s="3" t="s">
        <v>494</v>
      </c>
      <c r="D95" s="1" t="s">
        <v>510</v>
      </c>
      <c r="E95" s="1" t="s">
        <v>511</v>
      </c>
      <c r="F95" s="3" t="s">
        <v>512</v>
      </c>
      <c r="G95" s="3" t="s">
        <v>21</v>
      </c>
      <c r="H95" s="3" t="s">
        <v>513</v>
      </c>
      <c r="I95" s="3" t="s">
        <v>253</v>
      </c>
    </row>
    <row r="96">
      <c r="A96" s="3" t="s">
        <v>13</v>
      </c>
      <c r="B96" s="3" t="s">
        <v>514</v>
      </c>
      <c r="C96" s="3" t="s">
        <v>494</v>
      </c>
      <c r="D96" s="3" t="s">
        <v>515</v>
      </c>
      <c r="E96" s="3" t="s">
        <v>516</v>
      </c>
      <c r="F96" s="3" t="s">
        <v>517</v>
      </c>
      <c r="G96" s="3" t="s">
        <v>73</v>
      </c>
      <c r="H96" s="3" t="s">
        <v>96</v>
      </c>
      <c r="I96" s="3" t="s">
        <v>518</v>
      </c>
    </row>
    <row r="97">
      <c r="A97" s="1" t="s">
        <v>13</v>
      </c>
      <c r="B97" s="1" t="s">
        <v>519</v>
      </c>
      <c r="C97" s="1" t="s">
        <v>494</v>
      </c>
      <c r="D97" s="1" t="s">
        <v>520</v>
      </c>
      <c r="E97" s="1" t="s">
        <v>521</v>
      </c>
      <c r="F97" s="1" t="s">
        <v>522</v>
      </c>
      <c r="G97" s="1" t="s">
        <v>43</v>
      </c>
      <c r="H97" s="1" t="s">
        <v>523</v>
      </c>
      <c r="I97" s="1" t="s">
        <v>38</v>
      </c>
      <c r="J97" s="2"/>
      <c r="K97" s="2"/>
      <c r="L97" s="2"/>
      <c r="M97" s="2"/>
      <c r="N97" s="2"/>
      <c r="O97" s="2"/>
      <c r="P97" s="2"/>
      <c r="Q97" s="2"/>
      <c r="R97" s="2"/>
      <c r="S97" s="2"/>
      <c r="T97" s="2"/>
      <c r="U97" s="2"/>
      <c r="V97" s="2"/>
      <c r="W97" s="2"/>
      <c r="X97" s="2"/>
      <c r="Y97" s="2"/>
      <c r="Z97" s="2"/>
      <c r="AA97" s="2"/>
    </row>
    <row r="98">
      <c r="A98" s="1" t="s">
        <v>13</v>
      </c>
      <c r="B98" s="1" t="s">
        <v>524</v>
      </c>
      <c r="C98" s="1" t="s">
        <v>494</v>
      </c>
      <c r="D98" s="1" t="s">
        <v>525</v>
      </c>
      <c r="E98" s="1" t="s">
        <v>526</v>
      </c>
      <c r="F98" s="1" t="s">
        <v>527</v>
      </c>
      <c r="G98" s="1" t="s">
        <v>43</v>
      </c>
      <c r="H98" s="1" t="s">
        <v>528</v>
      </c>
      <c r="I98" s="1" t="s">
        <v>137</v>
      </c>
      <c r="J98" s="2"/>
      <c r="K98" s="2"/>
      <c r="L98" s="2"/>
      <c r="M98" s="2"/>
      <c r="N98" s="2"/>
      <c r="O98" s="2"/>
      <c r="P98" s="2"/>
      <c r="Q98" s="2"/>
      <c r="R98" s="2"/>
      <c r="S98" s="2"/>
      <c r="T98" s="2"/>
      <c r="U98" s="2"/>
      <c r="V98" s="2"/>
      <c r="W98" s="2"/>
      <c r="X98" s="2"/>
      <c r="Y98" s="2"/>
      <c r="Z98" s="2"/>
      <c r="AA98" s="2"/>
    </row>
    <row r="99">
      <c r="A99" s="1" t="s">
        <v>13</v>
      </c>
      <c r="B99" s="1" t="s">
        <v>529</v>
      </c>
      <c r="C99" s="1" t="s">
        <v>494</v>
      </c>
      <c r="D99" s="1" t="s">
        <v>530</v>
      </c>
      <c r="E99" s="1" t="s">
        <v>531</v>
      </c>
      <c r="F99" s="1" t="s">
        <v>532</v>
      </c>
      <c r="G99" s="1" t="s">
        <v>43</v>
      </c>
      <c r="H99" s="1" t="s">
        <v>523</v>
      </c>
      <c r="I99" s="1" t="s">
        <v>534</v>
      </c>
      <c r="J99" s="2"/>
      <c r="K99" s="2"/>
      <c r="L99" s="2"/>
      <c r="M99" s="2"/>
      <c r="N99" s="2"/>
      <c r="O99" s="2"/>
      <c r="P99" s="2"/>
      <c r="Q99" s="2"/>
      <c r="R99" s="2"/>
      <c r="S99" s="2"/>
      <c r="T99" s="2"/>
      <c r="U99" s="2"/>
      <c r="V99" s="2"/>
      <c r="W99" s="2"/>
      <c r="X99" s="2"/>
      <c r="Y99" s="2"/>
      <c r="Z99" s="2"/>
      <c r="AA99" s="2"/>
    </row>
    <row r="100">
      <c r="A100" s="3" t="s">
        <v>146</v>
      </c>
      <c r="B100" s="3" t="s">
        <v>535</v>
      </c>
      <c r="C100" s="3" t="s">
        <v>536</v>
      </c>
      <c r="D100" s="1" t="s">
        <v>537</v>
      </c>
      <c r="E100" s="1" t="s">
        <v>538</v>
      </c>
      <c r="F100" s="3" t="s">
        <v>539</v>
      </c>
      <c r="G100" s="3" t="s">
        <v>21</v>
      </c>
      <c r="H100" s="3" t="s">
        <v>465</v>
      </c>
      <c r="I100" s="3" t="s">
        <v>540</v>
      </c>
    </row>
    <row r="101">
      <c r="A101" s="3" t="s">
        <v>146</v>
      </c>
      <c r="B101" s="3" t="s">
        <v>541</v>
      </c>
      <c r="C101" s="3" t="s">
        <v>536</v>
      </c>
      <c r="D101" s="1" t="s">
        <v>542</v>
      </c>
      <c r="E101" s="1" t="s">
        <v>543</v>
      </c>
      <c r="F101" s="3" t="s">
        <v>544</v>
      </c>
      <c r="G101" s="3" t="s">
        <v>21</v>
      </c>
      <c r="H101" s="3" t="s">
        <v>465</v>
      </c>
      <c r="I101" s="3" t="s">
        <v>545</v>
      </c>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dataValidations>
    <dataValidation type="list" allowBlank="1" showErrorMessage="1" sqref="A2:A1000">
      <formula1>"Not Run,Pass,Fail,Blocked,Retest,N/A"</formula1>
    </dataValidation>
  </dataValidations>
  <hyperlinks>
    <hyperlink r:id="rId1" ref="K78"/>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0"/>
    <col customWidth="1" min="2" max="2" width="11.13"/>
    <col customWidth="1" min="3" max="3" width="17.0"/>
    <col customWidth="1" min="4" max="5" width="48.25"/>
    <col customWidth="1" min="6" max="6" width="30.5"/>
    <col customWidth="1" min="7" max="7" width="12.75"/>
    <col customWidth="1" min="8" max="8" width="19.38"/>
    <col customWidth="1" min="9" max="9" width="48.5"/>
    <col customWidth="1" min="11" max="11" width="10.88"/>
    <col customWidth="1" min="12" max="12" width="5.38"/>
    <col customWidth="1" min="13" max="13" width="11.38"/>
    <col customWidth="1" min="14" max="14" width="8.0"/>
  </cols>
  <sheetData>
    <row r="1">
      <c r="A1" s="1" t="s">
        <v>0</v>
      </c>
      <c r="B1" s="1" t="s">
        <v>1</v>
      </c>
      <c r="C1" s="1" t="s">
        <v>2</v>
      </c>
      <c r="D1" s="1" t="s">
        <v>3</v>
      </c>
      <c r="E1" s="1" t="s">
        <v>4</v>
      </c>
      <c r="F1" s="1" t="s">
        <v>5</v>
      </c>
      <c r="G1" s="1" t="s">
        <v>6</v>
      </c>
      <c r="H1" s="1" t="s">
        <v>7</v>
      </c>
      <c r="I1" s="1" t="s">
        <v>8</v>
      </c>
      <c r="J1" s="2"/>
      <c r="K1" s="1" t="s">
        <v>9</v>
      </c>
      <c r="L1" s="1" t="s">
        <v>10</v>
      </c>
      <c r="M1" s="1" t="s">
        <v>11</v>
      </c>
      <c r="N1" s="1" t="s">
        <v>12</v>
      </c>
      <c r="O1" s="2"/>
      <c r="P1" s="2"/>
      <c r="Q1" s="2"/>
      <c r="R1" s="2"/>
      <c r="S1" s="2"/>
      <c r="T1" s="2"/>
      <c r="U1" s="2"/>
      <c r="V1" s="2"/>
      <c r="W1" s="2"/>
      <c r="X1" s="2"/>
      <c r="Y1" s="2"/>
      <c r="Z1" s="2"/>
      <c r="AA1" s="2"/>
    </row>
    <row r="2">
      <c r="A2" s="3" t="s">
        <v>16</v>
      </c>
      <c r="B2" s="3" t="s">
        <v>14</v>
      </c>
      <c r="C2" s="3" t="s">
        <v>15</v>
      </c>
      <c r="D2" s="1" t="s">
        <v>17</v>
      </c>
      <c r="E2" s="1" t="s">
        <v>18</v>
      </c>
      <c r="F2" s="3" t="s">
        <v>19</v>
      </c>
      <c r="G2" s="3" t="s">
        <v>21</v>
      </c>
      <c r="H2" s="3" t="s">
        <v>22</v>
      </c>
      <c r="I2" s="3" t="s">
        <v>23</v>
      </c>
      <c r="K2" s="3" t="s">
        <v>24</v>
      </c>
      <c r="L2" s="3" t="s">
        <v>25</v>
      </c>
    </row>
    <row r="3">
      <c r="A3" s="3" t="s">
        <v>16</v>
      </c>
      <c r="B3" s="3" t="s">
        <v>26</v>
      </c>
      <c r="C3" s="3" t="s">
        <v>15</v>
      </c>
      <c r="D3" s="1" t="s">
        <v>27</v>
      </c>
      <c r="E3" s="1" t="s">
        <v>28</v>
      </c>
      <c r="F3" s="3" t="s">
        <v>29</v>
      </c>
      <c r="G3" s="3" t="s">
        <v>21</v>
      </c>
      <c r="H3" s="3" t="s">
        <v>22</v>
      </c>
      <c r="I3" s="3" t="s">
        <v>30</v>
      </c>
    </row>
    <row r="4">
      <c r="A4" s="3" t="s">
        <v>16</v>
      </c>
      <c r="B4" s="3" t="s">
        <v>31</v>
      </c>
      <c r="C4" s="3" t="s">
        <v>15</v>
      </c>
      <c r="D4" s="1" t="s">
        <v>33</v>
      </c>
      <c r="E4" s="1" t="s">
        <v>34</v>
      </c>
      <c r="F4" s="3" t="s">
        <v>32</v>
      </c>
      <c r="G4" s="3" t="s">
        <v>21</v>
      </c>
      <c r="H4" s="3" t="s">
        <v>22</v>
      </c>
      <c r="I4" s="3" t="s">
        <v>35</v>
      </c>
    </row>
    <row r="5">
      <c r="A5" s="3" t="s">
        <v>16</v>
      </c>
      <c r="B5" s="3" t="s">
        <v>36</v>
      </c>
      <c r="C5" s="3" t="s">
        <v>15</v>
      </c>
      <c r="D5" s="1" t="s">
        <v>39</v>
      </c>
      <c r="E5" s="1" t="s">
        <v>40</v>
      </c>
      <c r="F5" s="3" t="s">
        <v>37</v>
      </c>
      <c r="G5" s="3" t="s">
        <v>21</v>
      </c>
      <c r="H5" s="3" t="s">
        <v>22</v>
      </c>
      <c r="I5" s="3" t="s">
        <v>38</v>
      </c>
    </row>
    <row r="6">
      <c r="A6" s="1" t="s">
        <v>16</v>
      </c>
      <c r="B6" s="1" t="s">
        <v>41</v>
      </c>
      <c r="C6" s="1" t="s">
        <v>15</v>
      </c>
      <c r="D6" s="1" t="s">
        <v>44</v>
      </c>
      <c r="E6" s="1" t="s">
        <v>46</v>
      </c>
      <c r="F6" s="1" t="s">
        <v>42</v>
      </c>
      <c r="G6" s="1" t="s">
        <v>43</v>
      </c>
      <c r="H6" s="1" t="s">
        <v>22</v>
      </c>
      <c r="I6" s="1" t="s">
        <v>45</v>
      </c>
      <c r="J6" s="2"/>
      <c r="K6" s="2"/>
      <c r="L6" s="2"/>
      <c r="M6" s="2"/>
      <c r="N6" s="2"/>
      <c r="O6" s="2"/>
      <c r="P6" s="2"/>
      <c r="Q6" s="2"/>
      <c r="R6" s="2"/>
      <c r="S6" s="2"/>
      <c r="T6" s="2"/>
      <c r="U6" s="2"/>
      <c r="V6" s="2"/>
      <c r="W6" s="2"/>
      <c r="X6" s="2"/>
      <c r="Y6" s="2"/>
      <c r="Z6" s="2"/>
      <c r="AA6" s="2"/>
    </row>
    <row r="7">
      <c r="A7" s="1" t="s">
        <v>16</v>
      </c>
      <c r="B7" s="1" t="s">
        <v>47</v>
      </c>
      <c r="C7" s="1" t="s">
        <v>15</v>
      </c>
      <c r="D7" s="1" t="s">
        <v>49</v>
      </c>
      <c r="E7" s="1" t="s">
        <v>50</v>
      </c>
      <c r="F7" s="1" t="s">
        <v>48</v>
      </c>
      <c r="G7" s="1" t="s">
        <v>43</v>
      </c>
      <c r="H7" s="1" t="s">
        <v>22</v>
      </c>
      <c r="I7" s="1" t="s">
        <v>38</v>
      </c>
      <c r="J7" s="2"/>
      <c r="K7" s="2"/>
      <c r="L7" s="2"/>
      <c r="M7" s="2"/>
      <c r="N7" s="2"/>
      <c r="O7" s="2"/>
      <c r="P7" s="2"/>
      <c r="Q7" s="2"/>
      <c r="R7" s="2"/>
      <c r="S7" s="2"/>
      <c r="T7" s="2"/>
      <c r="U7" s="2"/>
      <c r="V7" s="2"/>
      <c r="W7" s="2"/>
      <c r="X7" s="2"/>
      <c r="Y7" s="2"/>
      <c r="Z7" s="2"/>
      <c r="AA7" s="2"/>
    </row>
    <row r="8">
      <c r="A8" s="1" t="s">
        <v>60</v>
      </c>
      <c r="B8" s="1" t="s">
        <v>51</v>
      </c>
      <c r="C8" s="1" t="s">
        <v>15</v>
      </c>
      <c r="D8" s="1" t="s">
        <v>54</v>
      </c>
      <c r="E8" s="1" t="s">
        <v>55</v>
      </c>
      <c r="F8" s="1" t="s">
        <v>52</v>
      </c>
      <c r="G8" s="1" t="s">
        <v>43</v>
      </c>
      <c r="H8" s="1" t="s">
        <v>22</v>
      </c>
      <c r="I8" s="1" t="s">
        <v>53</v>
      </c>
      <c r="J8" s="2"/>
      <c r="K8" s="1" t="s">
        <v>68</v>
      </c>
      <c r="L8" s="2"/>
      <c r="M8" s="2"/>
      <c r="N8" s="2"/>
      <c r="O8" s="2"/>
      <c r="P8" s="2"/>
      <c r="Q8" s="2"/>
      <c r="R8" s="2"/>
      <c r="S8" s="2"/>
      <c r="T8" s="2"/>
      <c r="U8" s="2"/>
      <c r="V8" s="2"/>
      <c r="W8" s="2"/>
      <c r="X8" s="2"/>
      <c r="Y8" s="2"/>
      <c r="Z8" s="2"/>
      <c r="AA8" s="2"/>
    </row>
    <row r="9">
      <c r="A9" s="1" t="s">
        <v>60</v>
      </c>
      <c r="B9" s="1" t="s">
        <v>57</v>
      </c>
      <c r="C9" s="1" t="s">
        <v>15</v>
      </c>
      <c r="D9" s="1" t="s">
        <v>61</v>
      </c>
      <c r="E9" s="1" t="s">
        <v>62</v>
      </c>
      <c r="F9" s="1" t="s">
        <v>58</v>
      </c>
      <c r="G9" s="1" t="s">
        <v>43</v>
      </c>
      <c r="H9" s="1" t="s">
        <v>22</v>
      </c>
      <c r="I9" s="1" t="s">
        <v>59</v>
      </c>
      <c r="J9" s="2"/>
      <c r="K9" s="1" t="s">
        <v>78</v>
      </c>
      <c r="L9" s="2"/>
      <c r="M9" s="2"/>
      <c r="N9" s="2"/>
      <c r="O9" s="2"/>
      <c r="P9" s="2"/>
      <c r="Q9" s="2"/>
      <c r="R9" s="2"/>
      <c r="S9" s="2"/>
      <c r="T9" s="2"/>
      <c r="U9" s="2"/>
      <c r="V9" s="2"/>
      <c r="W9" s="2"/>
      <c r="X9" s="2"/>
      <c r="Y9" s="2"/>
      <c r="Z9" s="2"/>
      <c r="AA9" s="2"/>
    </row>
    <row r="10">
      <c r="A10" s="3" t="s">
        <v>16</v>
      </c>
      <c r="B10" s="3" t="s">
        <v>64</v>
      </c>
      <c r="C10" s="3" t="s">
        <v>15</v>
      </c>
      <c r="D10" s="1" t="s">
        <v>67</v>
      </c>
      <c r="E10" s="1" t="s">
        <v>69</v>
      </c>
      <c r="F10" s="3" t="s">
        <v>65</v>
      </c>
      <c r="G10" s="3" t="s">
        <v>21</v>
      </c>
      <c r="H10" s="3" t="s">
        <v>22</v>
      </c>
      <c r="I10" s="3" t="s">
        <v>66</v>
      </c>
      <c r="K10" s="3" t="s">
        <v>70</v>
      </c>
    </row>
    <row r="11">
      <c r="A11" s="3" t="s">
        <v>16</v>
      </c>
      <c r="B11" s="3" t="s">
        <v>71</v>
      </c>
      <c r="C11" s="3" t="s">
        <v>15</v>
      </c>
      <c r="D11" s="3" t="s">
        <v>74</v>
      </c>
      <c r="E11" s="3" t="s">
        <v>75</v>
      </c>
      <c r="F11" s="3" t="s">
        <v>72</v>
      </c>
      <c r="G11" s="3" t="s">
        <v>73</v>
      </c>
      <c r="H11" s="3" t="s">
        <v>22</v>
      </c>
      <c r="I11" s="3" t="s">
        <v>38</v>
      </c>
    </row>
    <row r="12">
      <c r="A12" s="3" t="s">
        <v>16</v>
      </c>
      <c r="B12" s="3" t="s">
        <v>76</v>
      </c>
      <c r="C12" s="3" t="s">
        <v>77</v>
      </c>
      <c r="D12" s="1" t="s">
        <v>81</v>
      </c>
      <c r="E12" s="1" t="s">
        <v>82</v>
      </c>
      <c r="F12" s="3" t="s">
        <v>79</v>
      </c>
      <c r="G12" s="3" t="s">
        <v>21</v>
      </c>
      <c r="H12" s="3" t="s">
        <v>22</v>
      </c>
      <c r="I12" s="3" t="s">
        <v>80</v>
      </c>
    </row>
    <row r="13">
      <c r="A13" s="3" t="s">
        <v>16</v>
      </c>
      <c r="B13" s="3" t="s">
        <v>83</v>
      </c>
      <c r="C13" s="3" t="s">
        <v>77</v>
      </c>
      <c r="D13" s="1" t="s">
        <v>87</v>
      </c>
      <c r="E13" s="1" t="s">
        <v>88</v>
      </c>
      <c r="F13" s="3" t="s">
        <v>84</v>
      </c>
      <c r="G13" s="3" t="s">
        <v>21</v>
      </c>
      <c r="H13" s="3" t="s">
        <v>85</v>
      </c>
      <c r="I13" s="3" t="s">
        <v>86</v>
      </c>
    </row>
    <row r="14">
      <c r="A14" s="1" t="s">
        <v>16</v>
      </c>
      <c r="B14" s="1" t="s">
        <v>89</v>
      </c>
      <c r="C14" s="1" t="s">
        <v>77</v>
      </c>
      <c r="D14" s="1" t="s">
        <v>92</v>
      </c>
      <c r="E14" s="1" t="s">
        <v>93</v>
      </c>
      <c r="F14" s="1" t="s">
        <v>90</v>
      </c>
      <c r="G14" s="1" t="s">
        <v>43</v>
      </c>
      <c r="H14" s="1" t="s">
        <v>22</v>
      </c>
      <c r="I14" s="1" t="s">
        <v>91</v>
      </c>
      <c r="J14" s="2"/>
      <c r="K14" s="2"/>
      <c r="L14" s="2"/>
      <c r="M14" s="2"/>
      <c r="N14" s="2"/>
      <c r="O14" s="2"/>
      <c r="P14" s="2"/>
      <c r="Q14" s="2"/>
      <c r="R14" s="2"/>
      <c r="S14" s="2"/>
      <c r="T14" s="2"/>
      <c r="U14" s="2"/>
      <c r="V14" s="2"/>
      <c r="W14" s="2"/>
      <c r="X14" s="2"/>
      <c r="Y14" s="2"/>
      <c r="Z14" s="2"/>
      <c r="AA14" s="2"/>
    </row>
    <row r="15">
      <c r="A15" s="3" t="s">
        <v>16</v>
      </c>
      <c r="B15" s="3" t="s">
        <v>94</v>
      </c>
      <c r="C15" s="3" t="s">
        <v>77</v>
      </c>
      <c r="D15" s="1" t="s">
        <v>98</v>
      </c>
      <c r="E15" s="1" t="s">
        <v>99</v>
      </c>
      <c r="F15" s="3" t="s">
        <v>95</v>
      </c>
      <c r="G15" s="3" t="s">
        <v>21</v>
      </c>
      <c r="H15" s="3" t="s">
        <v>96</v>
      </c>
      <c r="I15" s="3" t="s">
        <v>97</v>
      </c>
    </row>
    <row r="16">
      <c r="A16" s="1" t="s">
        <v>60</v>
      </c>
      <c r="B16" s="1" t="s">
        <v>100</v>
      </c>
      <c r="C16" s="1" t="s">
        <v>77</v>
      </c>
      <c r="D16" s="1" t="s">
        <v>103</v>
      </c>
      <c r="E16" s="1" t="s">
        <v>104</v>
      </c>
      <c r="F16" s="1" t="s">
        <v>101</v>
      </c>
      <c r="G16" s="1" t="s">
        <v>43</v>
      </c>
      <c r="H16" s="1" t="s">
        <v>22</v>
      </c>
      <c r="I16" s="1" t="s">
        <v>102</v>
      </c>
      <c r="J16" s="2"/>
      <c r="K16" s="1" t="s">
        <v>131</v>
      </c>
      <c r="L16" s="2"/>
      <c r="M16" s="2"/>
      <c r="N16" s="2"/>
      <c r="O16" s="2"/>
      <c r="P16" s="2"/>
      <c r="Q16" s="2"/>
      <c r="R16" s="2"/>
      <c r="S16" s="2"/>
      <c r="T16" s="2"/>
      <c r="U16" s="2"/>
      <c r="V16" s="2"/>
      <c r="W16" s="2"/>
      <c r="X16" s="2"/>
      <c r="Y16" s="2"/>
      <c r="Z16" s="2"/>
      <c r="AA16" s="2"/>
    </row>
    <row r="17">
      <c r="A17" s="3" t="s">
        <v>16</v>
      </c>
      <c r="B17" s="3" t="s">
        <v>105</v>
      </c>
      <c r="C17" s="3" t="s">
        <v>77</v>
      </c>
      <c r="D17" s="1" t="s">
        <v>108</v>
      </c>
      <c r="E17" s="1" t="s">
        <v>109</v>
      </c>
      <c r="F17" s="3" t="s">
        <v>106</v>
      </c>
      <c r="G17" s="3" t="s">
        <v>21</v>
      </c>
      <c r="H17" s="3" t="s">
        <v>22</v>
      </c>
      <c r="I17" s="3" t="s">
        <v>107</v>
      </c>
    </row>
    <row r="18">
      <c r="A18" s="1" t="s">
        <v>16</v>
      </c>
      <c r="B18" s="1" t="s">
        <v>110</v>
      </c>
      <c r="C18" s="1" t="s">
        <v>77</v>
      </c>
      <c r="D18" s="1" t="s">
        <v>112</v>
      </c>
      <c r="E18" s="1" t="s">
        <v>113</v>
      </c>
      <c r="F18" s="1" t="s">
        <v>111</v>
      </c>
      <c r="G18" s="1" t="s">
        <v>43</v>
      </c>
      <c r="H18" s="1" t="s">
        <v>96</v>
      </c>
      <c r="I18" s="1" t="s">
        <v>97</v>
      </c>
      <c r="J18" s="2"/>
      <c r="K18" s="2"/>
      <c r="L18" s="2"/>
      <c r="M18" s="2"/>
      <c r="N18" s="2"/>
      <c r="O18" s="2"/>
      <c r="P18" s="2"/>
      <c r="Q18" s="2"/>
      <c r="R18" s="2"/>
      <c r="S18" s="2"/>
      <c r="T18" s="2"/>
      <c r="U18" s="2"/>
      <c r="V18" s="2"/>
      <c r="W18" s="2"/>
      <c r="X18" s="2"/>
      <c r="Y18" s="2"/>
      <c r="Z18" s="2"/>
      <c r="AA18" s="2"/>
    </row>
    <row r="19">
      <c r="A19" s="3" t="s">
        <v>16</v>
      </c>
      <c r="B19" s="3" t="s">
        <v>114</v>
      </c>
      <c r="C19" s="3" t="s">
        <v>115</v>
      </c>
      <c r="D19" s="1" t="s">
        <v>118</v>
      </c>
      <c r="E19" s="1" t="s">
        <v>119</v>
      </c>
      <c r="F19" s="3" t="s">
        <v>116</v>
      </c>
      <c r="G19" s="3" t="s">
        <v>21</v>
      </c>
      <c r="H19" s="3" t="s">
        <v>96</v>
      </c>
      <c r="I19" s="3" t="s">
        <v>117</v>
      </c>
    </row>
    <row r="20">
      <c r="A20" s="3" t="s">
        <v>16</v>
      </c>
      <c r="B20" s="3" t="s">
        <v>120</v>
      </c>
      <c r="C20" s="3" t="s">
        <v>115</v>
      </c>
      <c r="D20" s="1" t="s">
        <v>123</v>
      </c>
      <c r="E20" s="1" t="s">
        <v>124</v>
      </c>
      <c r="F20" s="3" t="s">
        <v>121</v>
      </c>
      <c r="G20" s="3" t="s">
        <v>21</v>
      </c>
      <c r="H20" s="3" t="s">
        <v>96</v>
      </c>
      <c r="I20" s="3" t="s">
        <v>122</v>
      </c>
    </row>
    <row r="21">
      <c r="A21" s="1" t="s">
        <v>16</v>
      </c>
      <c r="B21" s="1" t="s">
        <v>125</v>
      </c>
      <c r="C21" s="1" t="s">
        <v>115</v>
      </c>
      <c r="D21" s="1" t="s">
        <v>127</v>
      </c>
      <c r="E21" s="1" t="s">
        <v>128</v>
      </c>
      <c r="F21" s="1" t="s">
        <v>126</v>
      </c>
      <c r="G21" s="1" t="s">
        <v>43</v>
      </c>
      <c r="H21" s="1" t="s">
        <v>96</v>
      </c>
      <c r="I21" s="1" t="s">
        <v>122</v>
      </c>
      <c r="J21" s="2"/>
      <c r="K21" s="2"/>
      <c r="L21" s="2"/>
      <c r="M21" s="2"/>
      <c r="N21" s="2"/>
      <c r="O21" s="2"/>
      <c r="P21" s="2"/>
      <c r="Q21" s="2"/>
      <c r="R21" s="2"/>
      <c r="S21" s="2"/>
      <c r="T21" s="2"/>
      <c r="U21" s="2"/>
      <c r="V21" s="2"/>
      <c r="W21" s="2"/>
      <c r="X21" s="2"/>
      <c r="Y21" s="2"/>
      <c r="Z21" s="2"/>
      <c r="AA21" s="2"/>
    </row>
    <row r="22">
      <c r="A22" s="1" t="s">
        <v>16</v>
      </c>
      <c r="B22" s="1" t="s">
        <v>129</v>
      </c>
      <c r="C22" s="1" t="s">
        <v>115</v>
      </c>
      <c r="D22" s="1" t="s">
        <v>133</v>
      </c>
      <c r="E22" s="1" t="s">
        <v>134</v>
      </c>
      <c r="F22" s="1" t="s">
        <v>130</v>
      </c>
      <c r="G22" s="1" t="s">
        <v>43</v>
      </c>
      <c r="H22" s="1" t="s">
        <v>96</v>
      </c>
      <c r="I22" s="1" t="s">
        <v>132</v>
      </c>
      <c r="J22" s="2"/>
      <c r="K22" s="2"/>
      <c r="L22" s="2"/>
      <c r="M22" s="2"/>
      <c r="N22" s="2"/>
      <c r="O22" s="2"/>
      <c r="P22" s="2"/>
      <c r="Q22" s="2"/>
      <c r="R22" s="2"/>
      <c r="S22" s="2"/>
      <c r="T22" s="2"/>
      <c r="U22" s="2"/>
      <c r="V22" s="2"/>
      <c r="W22" s="2"/>
      <c r="X22" s="2"/>
      <c r="Y22" s="2"/>
      <c r="Z22" s="2"/>
      <c r="AA22" s="2"/>
    </row>
    <row r="23">
      <c r="A23" s="1" t="s">
        <v>16</v>
      </c>
      <c r="B23" s="1" t="s">
        <v>135</v>
      </c>
      <c r="C23" s="1" t="s">
        <v>115</v>
      </c>
      <c r="D23" s="1" t="s">
        <v>138</v>
      </c>
      <c r="E23" s="1" t="s">
        <v>139</v>
      </c>
      <c r="F23" s="1" t="s">
        <v>136</v>
      </c>
      <c r="G23" s="1" t="s">
        <v>43</v>
      </c>
      <c r="H23" s="1" t="s">
        <v>96</v>
      </c>
      <c r="I23" s="1" t="s">
        <v>137</v>
      </c>
      <c r="J23" s="2"/>
      <c r="K23" s="2"/>
      <c r="L23" s="2"/>
      <c r="M23" s="2"/>
      <c r="N23" s="2"/>
      <c r="O23" s="2"/>
      <c r="P23" s="2"/>
      <c r="Q23" s="2"/>
      <c r="R23" s="2"/>
      <c r="S23" s="2"/>
      <c r="T23" s="2"/>
      <c r="U23" s="2"/>
      <c r="V23" s="2"/>
      <c r="W23" s="2"/>
      <c r="X23" s="2"/>
      <c r="Y23" s="2"/>
      <c r="Z23" s="2"/>
      <c r="AA23" s="2"/>
    </row>
    <row r="24">
      <c r="A24" s="3" t="s">
        <v>16</v>
      </c>
      <c r="B24" s="3" t="s">
        <v>140</v>
      </c>
      <c r="C24" s="3" t="s">
        <v>141</v>
      </c>
      <c r="D24" s="1" t="s">
        <v>144</v>
      </c>
      <c r="E24" s="1" t="s">
        <v>145</v>
      </c>
      <c r="F24" s="3" t="s">
        <v>142</v>
      </c>
      <c r="G24" s="3" t="s">
        <v>21</v>
      </c>
      <c r="H24" s="3" t="s">
        <v>96</v>
      </c>
      <c r="I24" s="3" t="s">
        <v>143</v>
      </c>
    </row>
    <row r="25">
      <c r="A25" s="3" t="s">
        <v>16</v>
      </c>
      <c r="B25" s="3" t="s">
        <v>147</v>
      </c>
      <c r="C25" s="3" t="s">
        <v>141</v>
      </c>
      <c r="D25" s="1" t="s">
        <v>150</v>
      </c>
      <c r="E25" s="1" t="s">
        <v>151</v>
      </c>
      <c r="F25" s="3" t="s">
        <v>148</v>
      </c>
      <c r="G25" s="3" t="s">
        <v>21</v>
      </c>
      <c r="H25" s="3" t="s">
        <v>96</v>
      </c>
      <c r="I25" s="3" t="s">
        <v>149</v>
      </c>
    </row>
    <row r="26">
      <c r="A26" s="1" t="s">
        <v>16</v>
      </c>
      <c r="B26" s="1" t="s">
        <v>152</v>
      </c>
      <c r="C26" s="1" t="s">
        <v>141</v>
      </c>
      <c r="D26" s="1" t="s">
        <v>155</v>
      </c>
      <c r="E26" s="1" t="s">
        <v>156</v>
      </c>
      <c r="F26" s="1" t="s">
        <v>153</v>
      </c>
      <c r="G26" s="1" t="s">
        <v>43</v>
      </c>
      <c r="H26" s="1" t="s">
        <v>96</v>
      </c>
      <c r="I26" s="1" t="s">
        <v>154</v>
      </c>
      <c r="J26" s="2"/>
      <c r="K26" s="2"/>
      <c r="L26" s="2"/>
      <c r="M26" s="2"/>
      <c r="N26" s="2"/>
      <c r="O26" s="2"/>
      <c r="P26" s="2"/>
      <c r="Q26" s="2"/>
      <c r="R26" s="2"/>
      <c r="S26" s="2"/>
      <c r="T26" s="2"/>
      <c r="U26" s="2"/>
      <c r="V26" s="2"/>
      <c r="W26" s="2"/>
      <c r="X26" s="2"/>
      <c r="Y26" s="2"/>
      <c r="Z26" s="2"/>
      <c r="AA26" s="2"/>
    </row>
    <row r="27">
      <c r="A27" s="1" t="s">
        <v>16</v>
      </c>
      <c r="B27" s="1" t="s">
        <v>157</v>
      </c>
      <c r="C27" s="1" t="s">
        <v>141</v>
      </c>
      <c r="D27" s="1" t="s">
        <v>159</v>
      </c>
      <c r="E27" s="1" t="s">
        <v>160</v>
      </c>
      <c r="F27" s="1" t="s">
        <v>158</v>
      </c>
      <c r="G27" s="1" t="s">
        <v>43</v>
      </c>
      <c r="H27" s="1" t="s">
        <v>96</v>
      </c>
      <c r="I27" s="1" t="s">
        <v>154</v>
      </c>
      <c r="J27" s="2"/>
      <c r="K27" s="2"/>
      <c r="L27" s="2"/>
      <c r="M27" s="2"/>
      <c r="N27" s="2"/>
      <c r="O27" s="2"/>
      <c r="P27" s="2"/>
      <c r="Q27" s="2"/>
      <c r="R27" s="2"/>
      <c r="S27" s="2"/>
      <c r="T27" s="2"/>
      <c r="U27" s="2"/>
      <c r="V27" s="2"/>
      <c r="W27" s="2"/>
      <c r="X27" s="2"/>
      <c r="Y27" s="2"/>
      <c r="Z27" s="2"/>
      <c r="AA27" s="2"/>
    </row>
    <row r="28">
      <c r="A28" s="3" t="s">
        <v>16</v>
      </c>
      <c r="B28" s="3" t="s">
        <v>161</v>
      </c>
      <c r="C28" s="3" t="s">
        <v>162</v>
      </c>
      <c r="D28" s="1" t="s">
        <v>165</v>
      </c>
      <c r="E28" s="1" t="s">
        <v>166</v>
      </c>
      <c r="F28" s="3" t="s">
        <v>163</v>
      </c>
      <c r="G28" s="3" t="s">
        <v>21</v>
      </c>
      <c r="H28" s="3" t="s">
        <v>96</v>
      </c>
      <c r="I28" s="3" t="s">
        <v>164</v>
      </c>
    </row>
    <row r="29">
      <c r="A29" s="1" t="s">
        <v>60</v>
      </c>
      <c r="B29" s="1" t="s">
        <v>167</v>
      </c>
      <c r="C29" s="1" t="s">
        <v>162</v>
      </c>
      <c r="D29" s="1" t="s">
        <v>170</v>
      </c>
      <c r="E29" s="1" t="s">
        <v>171</v>
      </c>
      <c r="F29" s="1" t="s">
        <v>168</v>
      </c>
      <c r="G29" s="1" t="s">
        <v>43</v>
      </c>
      <c r="H29" s="1" t="s">
        <v>96</v>
      </c>
      <c r="I29" s="1" t="s">
        <v>169</v>
      </c>
      <c r="J29" s="2"/>
      <c r="K29" s="1" t="s">
        <v>198</v>
      </c>
      <c r="L29" s="2"/>
      <c r="M29" s="2"/>
      <c r="N29" s="2"/>
      <c r="O29" s="2"/>
      <c r="P29" s="2"/>
      <c r="Q29" s="2"/>
      <c r="R29" s="2"/>
      <c r="S29" s="2"/>
      <c r="T29" s="2"/>
      <c r="U29" s="2"/>
      <c r="V29" s="2"/>
      <c r="W29" s="2"/>
      <c r="X29" s="2"/>
      <c r="Y29" s="2"/>
      <c r="Z29" s="2"/>
      <c r="AA29" s="2"/>
    </row>
    <row r="30">
      <c r="A30" s="3" t="s">
        <v>16</v>
      </c>
      <c r="B30" s="3" t="s">
        <v>172</v>
      </c>
      <c r="C30" s="3" t="s">
        <v>162</v>
      </c>
      <c r="D30" s="1" t="s">
        <v>175</v>
      </c>
      <c r="E30" s="1" t="s">
        <v>176</v>
      </c>
      <c r="F30" s="3" t="s">
        <v>173</v>
      </c>
      <c r="G30" s="3" t="s">
        <v>21</v>
      </c>
      <c r="H30" s="3" t="s">
        <v>96</v>
      </c>
      <c r="I30" s="3" t="s">
        <v>174</v>
      </c>
    </row>
    <row r="31">
      <c r="A31" s="3" t="s">
        <v>16</v>
      </c>
      <c r="B31" s="3" t="s">
        <v>177</v>
      </c>
      <c r="C31" s="3" t="s">
        <v>162</v>
      </c>
      <c r="D31" s="1" t="s">
        <v>180</v>
      </c>
      <c r="E31" s="1" t="s">
        <v>181</v>
      </c>
      <c r="F31" s="3" t="s">
        <v>178</v>
      </c>
      <c r="G31" s="3" t="s">
        <v>21</v>
      </c>
      <c r="H31" s="3" t="s">
        <v>96</v>
      </c>
      <c r="I31" s="3" t="s">
        <v>179</v>
      </c>
    </row>
    <row r="32">
      <c r="A32" s="1" t="s">
        <v>16</v>
      </c>
      <c r="B32" s="1" t="s">
        <v>182</v>
      </c>
      <c r="C32" s="1" t="s">
        <v>162</v>
      </c>
      <c r="D32" s="1" t="s">
        <v>185</v>
      </c>
      <c r="E32" s="1" t="s">
        <v>186</v>
      </c>
      <c r="F32" s="1" t="s">
        <v>183</v>
      </c>
      <c r="G32" s="1" t="s">
        <v>43</v>
      </c>
      <c r="H32" s="1" t="s">
        <v>96</v>
      </c>
      <c r="I32" s="1" t="s">
        <v>184</v>
      </c>
      <c r="J32" s="2"/>
      <c r="K32" s="2"/>
      <c r="L32" s="2"/>
      <c r="M32" s="2"/>
      <c r="N32" s="2"/>
      <c r="O32" s="2"/>
      <c r="P32" s="2"/>
      <c r="Q32" s="2"/>
      <c r="R32" s="2"/>
      <c r="S32" s="2"/>
      <c r="T32" s="2"/>
      <c r="U32" s="2"/>
      <c r="V32" s="2"/>
      <c r="W32" s="2"/>
      <c r="X32" s="2"/>
      <c r="Y32" s="2"/>
      <c r="Z32" s="2"/>
      <c r="AA32" s="2"/>
    </row>
    <row r="33">
      <c r="A33" s="1" t="s">
        <v>16</v>
      </c>
      <c r="B33" s="1" t="s">
        <v>187</v>
      </c>
      <c r="C33" s="1" t="s">
        <v>162</v>
      </c>
      <c r="D33" s="1" t="s">
        <v>189</v>
      </c>
      <c r="E33" s="1" t="s">
        <v>190</v>
      </c>
      <c r="F33" s="1" t="s">
        <v>188</v>
      </c>
      <c r="G33" s="1" t="s">
        <v>43</v>
      </c>
      <c r="H33" s="1" t="s">
        <v>96</v>
      </c>
      <c r="I33" s="1" t="s">
        <v>137</v>
      </c>
      <c r="J33" s="2"/>
      <c r="K33" s="2"/>
      <c r="L33" s="2"/>
      <c r="M33" s="2"/>
      <c r="N33" s="2"/>
      <c r="O33" s="2"/>
      <c r="P33" s="2"/>
      <c r="Q33" s="2"/>
      <c r="R33" s="2"/>
      <c r="S33" s="2"/>
      <c r="T33" s="2"/>
      <c r="U33" s="2"/>
      <c r="V33" s="2"/>
      <c r="W33" s="2"/>
      <c r="X33" s="2"/>
      <c r="Y33" s="2"/>
      <c r="Z33" s="2"/>
      <c r="AA33" s="2"/>
    </row>
    <row r="34">
      <c r="A34" s="3" t="s">
        <v>16</v>
      </c>
      <c r="B34" s="3" t="s">
        <v>191</v>
      </c>
      <c r="C34" s="3" t="s">
        <v>192</v>
      </c>
      <c r="D34" s="1" t="s">
        <v>195</v>
      </c>
      <c r="E34" s="1" t="s">
        <v>196</v>
      </c>
      <c r="F34" s="3" t="s">
        <v>193</v>
      </c>
      <c r="G34" s="3" t="s">
        <v>21</v>
      </c>
      <c r="H34" s="3" t="s">
        <v>22</v>
      </c>
      <c r="I34" s="3" t="s">
        <v>194</v>
      </c>
    </row>
    <row r="35">
      <c r="A35" s="3" t="s">
        <v>16</v>
      </c>
      <c r="B35" s="3" t="s">
        <v>197</v>
      </c>
      <c r="C35" s="3" t="s">
        <v>192</v>
      </c>
      <c r="D35" s="1" t="s">
        <v>201</v>
      </c>
      <c r="E35" s="1" t="s">
        <v>202</v>
      </c>
      <c r="F35" s="3" t="s">
        <v>199</v>
      </c>
      <c r="G35" s="3" t="s">
        <v>21</v>
      </c>
      <c r="H35" s="3" t="s">
        <v>22</v>
      </c>
      <c r="I35" s="3" t="s">
        <v>200</v>
      </c>
    </row>
    <row r="36">
      <c r="A36" s="3" t="s">
        <v>16</v>
      </c>
      <c r="B36" s="3" t="s">
        <v>203</v>
      </c>
      <c r="C36" s="3" t="s">
        <v>192</v>
      </c>
      <c r="D36" s="1" t="s">
        <v>207</v>
      </c>
      <c r="E36" s="1" t="s">
        <v>208</v>
      </c>
      <c r="F36" s="3" t="s">
        <v>204</v>
      </c>
      <c r="G36" s="3" t="s">
        <v>21</v>
      </c>
      <c r="H36" s="3" t="s">
        <v>205</v>
      </c>
      <c r="I36" s="3" t="s">
        <v>206</v>
      </c>
    </row>
    <row r="37">
      <c r="A37" s="3" t="s">
        <v>16</v>
      </c>
      <c r="B37" s="3" t="s">
        <v>209</v>
      </c>
      <c r="C37" s="3" t="s">
        <v>192</v>
      </c>
      <c r="D37" s="1" t="s">
        <v>212</v>
      </c>
      <c r="E37" s="1" t="s">
        <v>213</v>
      </c>
      <c r="F37" s="3" t="s">
        <v>210</v>
      </c>
      <c r="G37" s="3" t="s">
        <v>21</v>
      </c>
      <c r="H37" s="3" t="s">
        <v>85</v>
      </c>
      <c r="I37" s="3" t="s">
        <v>211</v>
      </c>
    </row>
    <row r="38">
      <c r="A38" s="3" t="s">
        <v>16</v>
      </c>
      <c r="B38" s="3" t="s">
        <v>214</v>
      </c>
      <c r="C38" s="3" t="s">
        <v>192</v>
      </c>
      <c r="D38" s="1" t="s">
        <v>212</v>
      </c>
      <c r="E38" s="1" t="s">
        <v>218</v>
      </c>
      <c r="F38" s="3" t="s">
        <v>215</v>
      </c>
      <c r="G38" s="3" t="s">
        <v>21</v>
      </c>
      <c r="H38" s="3" t="s">
        <v>216</v>
      </c>
      <c r="I38" s="3" t="s">
        <v>217</v>
      </c>
    </row>
    <row r="39">
      <c r="A39" s="3" t="s">
        <v>60</v>
      </c>
      <c r="B39" s="3" t="s">
        <v>219</v>
      </c>
      <c r="C39" s="3" t="s">
        <v>192</v>
      </c>
      <c r="D39" s="1" t="s">
        <v>223</v>
      </c>
      <c r="E39" s="1" t="s">
        <v>224</v>
      </c>
      <c r="F39" s="3" t="s">
        <v>220</v>
      </c>
      <c r="G39" s="3" t="s">
        <v>21</v>
      </c>
      <c r="H39" s="3" t="s">
        <v>221</v>
      </c>
      <c r="I39" s="3" t="s">
        <v>222</v>
      </c>
      <c r="K39" s="3" t="s">
        <v>268</v>
      </c>
    </row>
    <row r="40">
      <c r="A40" s="1" t="s">
        <v>16</v>
      </c>
      <c r="B40" s="1" t="s">
        <v>225</v>
      </c>
      <c r="C40" s="1" t="s">
        <v>192</v>
      </c>
      <c r="D40" s="1" t="s">
        <v>228</v>
      </c>
      <c r="E40" s="1" t="s">
        <v>229</v>
      </c>
      <c r="F40" s="1" t="s">
        <v>226</v>
      </c>
      <c r="G40" s="1" t="s">
        <v>43</v>
      </c>
      <c r="H40" s="1" t="s">
        <v>221</v>
      </c>
      <c r="I40" s="1" t="s">
        <v>227</v>
      </c>
      <c r="J40" s="2"/>
      <c r="K40" s="2"/>
      <c r="L40" s="2"/>
      <c r="M40" s="2"/>
      <c r="N40" s="2"/>
      <c r="O40" s="2"/>
      <c r="P40" s="2"/>
      <c r="Q40" s="2"/>
      <c r="R40" s="2"/>
      <c r="S40" s="2"/>
      <c r="T40" s="2"/>
      <c r="U40" s="2"/>
      <c r="V40" s="2"/>
      <c r="W40" s="2"/>
      <c r="X40" s="2"/>
      <c r="Y40" s="2"/>
      <c r="Z40" s="2"/>
      <c r="AA40" s="2"/>
    </row>
    <row r="41">
      <c r="A41" s="3" t="s">
        <v>16</v>
      </c>
      <c r="B41" s="3" t="s">
        <v>230</v>
      </c>
      <c r="C41" s="3" t="s">
        <v>192</v>
      </c>
      <c r="D41" s="1" t="s">
        <v>233</v>
      </c>
      <c r="E41" s="1" t="s">
        <v>234</v>
      </c>
      <c r="F41" s="3" t="s">
        <v>231</v>
      </c>
      <c r="G41" s="3" t="s">
        <v>21</v>
      </c>
      <c r="H41" s="3" t="s">
        <v>221</v>
      </c>
      <c r="I41" s="3" t="s">
        <v>232</v>
      </c>
    </row>
    <row r="42">
      <c r="A42" s="3" t="s">
        <v>16</v>
      </c>
      <c r="B42" s="3" t="s">
        <v>235</v>
      </c>
      <c r="C42" s="3" t="s">
        <v>192</v>
      </c>
      <c r="D42" s="1" t="s">
        <v>239</v>
      </c>
      <c r="E42" s="1" t="s">
        <v>240</v>
      </c>
      <c r="F42" s="3" t="s">
        <v>236</v>
      </c>
      <c r="G42" s="3" t="s">
        <v>21</v>
      </c>
      <c r="H42" s="3" t="s">
        <v>237</v>
      </c>
      <c r="I42" s="3" t="s">
        <v>238</v>
      </c>
    </row>
    <row r="43">
      <c r="A43" s="3" t="s">
        <v>60</v>
      </c>
      <c r="B43" s="3" t="s">
        <v>241</v>
      </c>
      <c r="C43" s="3" t="s">
        <v>192</v>
      </c>
      <c r="D43" s="1" t="s">
        <v>243</v>
      </c>
      <c r="E43" s="1" t="s">
        <v>244</v>
      </c>
      <c r="F43" s="3" t="s">
        <v>242</v>
      </c>
      <c r="G43" s="3" t="s">
        <v>21</v>
      </c>
      <c r="H43" s="3" t="s">
        <v>237</v>
      </c>
      <c r="I43" s="3" t="s">
        <v>238</v>
      </c>
      <c r="K43" s="3" t="s">
        <v>288</v>
      </c>
    </row>
    <row r="44">
      <c r="A44" s="3" t="s">
        <v>16</v>
      </c>
      <c r="B44" s="3" t="s">
        <v>245</v>
      </c>
      <c r="C44" s="3" t="s">
        <v>192</v>
      </c>
      <c r="D44" s="1" t="s">
        <v>249</v>
      </c>
      <c r="E44" s="1" t="s">
        <v>250</v>
      </c>
      <c r="F44" s="3" t="s">
        <v>246</v>
      </c>
      <c r="G44" s="3" t="s">
        <v>21</v>
      </c>
      <c r="H44" s="3" t="s">
        <v>247</v>
      </c>
      <c r="I44" s="3" t="s">
        <v>248</v>
      </c>
    </row>
    <row r="45">
      <c r="A45" s="1" t="s">
        <v>60</v>
      </c>
      <c r="B45" s="1" t="s">
        <v>251</v>
      </c>
      <c r="C45" s="1" t="s">
        <v>192</v>
      </c>
      <c r="D45" s="1" t="s">
        <v>254</v>
      </c>
      <c r="E45" s="1" t="s">
        <v>255</v>
      </c>
      <c r="F45" s="1" t="s">
        <v>252</v>
      </c>
      <c r="G45" s="1" t="s">
        <v>43</v>
      </c>
      <c r="H45" s="1" t="s">
        <v>247</v>
      </c>
      <c r="I45" s="1" t="s">
        <v>253</v>
      </c>
      <c r="J45" s="2"/>
      <c r="K45" s="1" t="s">
        <v>289</v>
      </c>
      <c r="L45" s="2"/>
      <c r="M45" s="2"/>
      <c r="N45" s="2"/>
      <c r="O45" s="2"/>
      <c r="P45" s="2"/>
      <c r="Q45" s="2"/>
      <c r="R45" s="2"/>
      <c r="S45" s="2"/>
      <c r="T45" s="2"/>
      <c r="U45" s="2"/>
      <c r="V45" s="2"/>
      <c r="W45" s="2"/>
      <c r="X45" s="2"/>
      <c r="Y45" s="2"/>
      <c r="Z45" s="2"/>
      <c r="AA45" s="2"/>
    </row>
    <row r="46">
      <c r="A46" s="1" t="s">
        <v>16</v>
      </c>
      <c r="B46" s="1" t="s">
        <v>256</v>
      </c>
      <c r="C46" s="1" t="s">
        <v>192</v>
      </c>
      <c r="D46" s="1" t="s">
        <v>259</v>
      </c>
      <c r="E46" s="1" t="s">
        <v>260</v>
      </c>
      <c r="F46" s="1" t="s">
        <v>257</v>
      </c>
      <c r="G46" s="1" t="s">
        <v>43</v>
      </c>
      <c r="H46" s="1" t="s">
        <v>258</v>
      </c>
      <c r="I46" s="1" t="s">
        <v>253</v>
      </c>
      <c r="J46" s="2"/>
      <c r="K46" s="2"/>
      <c r="L46" s="2"/>
      <c r="M46" s="2"/>
      <c r="N46" s="2"/>
      <c r="O46" s="2"/>
      <c r="P46" s="2"/>
      <c r="Q46" s="2"/>
      <c r="R46" s="2"/>
      <c r="S46" s="2"/>
      <c r="T46" s="2"/>
      <c r="U46" s="2"/>
      <c r="V46" s="2"/>
      <c r="W46" s="2"/>
      <c r="X46" s="2"/>
      <c r="Y46" s="2"/>
      <c r="Z46" s="2"/>
      <c r="AA46" s="2"/>
    </row>
    <row r="47">
      <c r="A47" s="1" t="s">
        <v>16</v>
      </c>
      <c r="B47" s="1" t="s">
        <v>261</v>
      </c>
      <c r="C47" s="1" t="s">
        <v>192</v>
      </c>
      <c r="D47" s="1" t="s">
        <v>264</v>
      </c>
      <c r="E47" s="1" t="s">
        <v>265</v>
      </c>
      <c r="F47" s="1" t="s">
        <v>262</v>
      </c>
      <c r="G47" s="1" t="s">
        <v>43</v>
      </c>
      <c r="H47" s="1" t="s">
        <v>258</v>
      </c>
      <c r="I47" s="1" t="s">
        <v>263</v>
      </c>
      <c r="J47" s="2"/>
      <c r="K47" s="2"/>
      <c r="L47" s="2"/>
      <c r="M47" s="2"/>
      <c r="N47" s="2"/>
      <c r="O47" s="2"/>
      <c r="P47" s="2"/>
      <c r="Q47" s="2"/>
      <c r="R47" s="2"/>
      <c r="S47" s="2"/>
      <c r="T47" s="2"/>
      <c r="U47" s="2"/>
      <c r="V47" s="2"/>
      <c r="W47" s="2"/>
      <c r="X47" s="2"/>
      <c r="Y47" s="2"/>
      <c r="Z47" s="2"/>
      <c r="AA47" s="2"/>
    </row>
    <row r="48">
      <c r="A48" s="3" t="s">
        <v>16</v>
      </c>
      <c r="B48" s="3" t="s">
        <v>266</v>
      </c>
      <c r="C48" s="3" t="s">
        <v>192</v>
      </c>
      <c r="D48" s="1" t="s">
        <v>270</v>
      </c>
      <c r="E48" s="1" t="s">
        <v>271</v>
      </c>
      <c r="F48" s="3" t="s">
        <v>267</v>
      </c>
      <c r="G48" s="3" t="s">
        <v>21</v>
      </c>
      <c r="H48" s="3" t="s">
        <v>237</v>
      </c>
      <c r="I48" s="3" t="s">
        <v>269</v>
      </c>
    </row>
    <row r="49">
      <c r="A49" s="3" t="s">
        <v>60</v>
      </c>
      <c r="B49" s="3" t="s">
        <v>272</v>
      </c>
      <c r="C49" s="3" t="s">
        <v>192</v>
      </c>
      <c r="D49" s="1" t="s">
        <v>275</v>
      </c>
      <c r="E49" s="1" t="s">
        <v>276</v>
      </c>
      <c r="F49" s="3" t="s">
        <v>273</v>
      </c>
      <c r="G49" s="3" t="s">
        <v>21</v>
      </c>
      <c r="H49" s="3" t="s">
        <v>247</v>
      </c>
      <c r="I49" s="3" t="s">
        <v>274</v>
      </c>
      <c r="K49" s="3" t="s">
        <v>319</v>
      </c>
    </row>
    <row r="50">
      <c r="A50" s="3" t="s">
        <v>16</v>
      </c>
      <c r="B50" s="3" t="s">
        <v>277</v>
      </c>
      <c r="C50" s="3" t="s">
        <v>192</v>
      </c>
      <c r="D50" s="1" t="s">
        <v>280</v>
      </c>
      <c r="E50" s="1" t="s">
        <v>281</v>
      </c>
      <c r="F50" s="3" t="s">
        <v>278</v>
      </c>
      <c r="G50" s="3" t="s">
        <v>21</v>
      </c>
      <c r="H50" s="3" t="s">
        <v>279</v>
      </c>
      <c r="I50" s="3" t="s">
        <v>274</v>
      </c>
    </row>
    <row r="51">
      <c r="A51" s="3" t="s">
        <v>16</v>
      </c>
      <c r="B51" s="3" t="s">
        <v>282</v>
      </c>
      <c r="C51" s="3" t="s">
        <v>283</v>
      </c>
      <c r="D51" s="1" t="s">
        <v>286</v>
      </c>
      <c r="E51" s="1" t="s">
        <v>287</v>
      </c>
      <c r="F51" s="3" t="s">
        <v>284</v>
      </c>
      <c r="G51" s="3" t="s">
        <v>21</v>
      </c>
      <c r="H51" s="3" t="s">
        <v>85</v>
      </c>
      <c r="I51" s="3" t="s">
        <v>285</v>
      </c>
    </row>
    <row r="52">
      <c r="A52" s="3" t="s">
        <v>16</v>
      </c>
      <c r="B52" s="3" t="s">
        <v>290</v>
      </c>
      <c r="C52" s="3" t="s">
        <v>283</v>
      </c>
      <c r="D52" s="1" t="s">
        <v>291</v>
      </c>
      <c r="E52" s="1" t="s">
        <v>292</v>
      </c>
      <c r="F52" s="3" t="s">
        <v>293</v>
      </c>
      <c r="G52" s="3" t="s">
        <v>21</v>
      </c>
      <c r="H52" s="3" t="s">
        <v>216</v>
      </c>
      <c r="I52" s="3" t="s">
        <v>294</v>
      </c>
    </row>
    <row r="53">
      <c r="A53" s="3" t="s">
        <v>60</v>
      </c>
      <c r="B53" s="3" t="s">
        <v>295</v>
      </c>
      <c r="C53" s="3" t="s">
        <v>283</v>
      </c>
      <c r="D53" s="1" t="s">
        <v>296</v>
      </c>
      <c r="E53" s="1" t="s">
        <v>297</v>
      </c>
      <c r="F53" s="3" t="s">
        <v>298</v>
      </c>
      <c r="G53" s="3" t="s">
        <v>21</v>
      </c>
      <c r="H53" s="3" t="s">
        <v>216</v>
      </c>
      <c r="I53" s="3" t="s">
        <v>299</v>
      </c>
      <c r="K53" s="3" t="s">
        <v>339</v>
      </c>
    </row>
    <row r="54">
      <c r="A54" s="3" t="s">
        <v>16</v>
      </c>
      <c r="B54" s="3" t="s">
        <v>300</v>
      </c>
      <c r="C54" s="3" t="s">
        <v>283</v>
      </c>
      <c r="D54" s="1" t="s">
        <v>301</v>
      </c>
      <c r="E54" s="1" t="s">
        <v>302</v>
      </c>
      <c r="F54" s="3" t="s">
        <v>303</v>
      </c>
      <c r="G54" s="3" t="s">
        <v>21</v>
      </c>
      <c r="H54" s="3" t="s">
        <v>216</v>
      </c>
      <c r="I54" s="3" t="s">
        <v>304</v>
      </c>
    </row>
    <row r="55">
      <c r="A55" s="1" t="s">
        <v>16</v>
      </c>
      <c r="B55" s="1" t="s">
        <v>305</v>
      </c>
      <c r="C55" s="1" t="s">
        <v>283</v>
      </c>
      <c r="D55" s="1" t="s">
        <v>306</v>
      </c>
      <c r="E55" s="1" t="s">
        <v>307</v>
      </c>
      <c r="F55" s="1" t="s">
        <v>308</v>
      </c>
      <c r="G55" s="1" t="s">
        <v>43</v>
      </c>
      <c r="H55" s="1" t="s">
        <v>309</v>
      </c>
      <c r="I55" s="1" t="s">
        <v>310</v>
      </c>
      <c r="J55" s="2"/>
      <c r="K55" s="2"/>
      <c r="L55" s="2"/>
      <c r="M55" s="2"/>
      <c r="N55" s="2"/>
      <c r="O55" s="2"/>
      <c r="P55" s="2"/>
      <c r="Q55" s="2"/>
      <c r="R55" s="2"/>
      <c r="S55" s="2"/>
      <c r="T55" s="2"/>
      <c r="U55" s="2"/>
      <c r="V55" s="2"/>
      <c r="W55" s="2"/>
      <c r="X55" s="2"/>
      <c r="Y55" s="2"/>
      <c r="Z55" s="2"/>
      <c r="AA55" s="2"/>
    </row>
    <row r="56">
      <c r="A56" s="3" t="s">
        <v>16</v>
      </c>
      <c r="B56" s="3" t="s">
        <v>311</v>
      </c>
      <c r="C56" s="3" t="s">
        <v>283</v>
      </c>
      <c r="D56" s="1" t="s">
        <v>312</v>
      </c>
      <c r="E56" s="1" t="s">
        <v>313</v>
      </c>
      <c r="F56" s="3" t="s">
        <v>314</v>
      </c>
      <c r="G56" s="3" t="s">
        <v>21</v>
      </c>
      <c r="H56" s="3" t="s">
        <v>216</v>
      </c>
      <c r="I56" s="3" t="s">
        <v>315</v>
      </c>
    </row>
    <row r="57">
      <c r="A57" s="3" t="s">
        <v>16</v>
      </c>
      <c r="B57" s="3" t="s">
        <v>316</v>
      </c>
      <c r="C57" s="3" t="s">
        <v>283</v>
      </c>
      <c r="D57" s="1" t="s">
        <v>317</v>
      </c>
      <c r="E57" s="1" t="s">
        <v>318</v>
      </c>
      <c r="F57" s="3" t="s">
        <v>320</v>
      </c>
      <c r="G57" s="3" t="s">
        <v>21</v>
      </c>
      <c r="H57" s="3" t="s">
        <v>237</v>
      </c>
      <c r="I57" s="3" t="s">
        <v>321</v>
      </c>
    </row>
    <row r="58">
      <c r="A58" s="3" t="s">
        <v>16</v>
      </c>
      <c r="B58" s="3" t="s">
        <v>322</v>
      </c>
      <c r="C58" s="3" t="s">
        <v>283</v>
      </c>
      <c r="D58" s="1" t="s">
        <v>323</v>
      </c>
      <c r="E58" s="1" t="s">
        <v>324</v>
      </c>
      <c r="F58" s="3" t="s">
        <v>325</v>
      </c>
      <c r="G58" s="3" t="s">
        <v>21</v>
      </c>
      <c r="H58" s="3" t="s">
        <v>279</v>
      </c>
      <c r="I58" s="3" t="s">
        <v>321</v>
      </c>
    </row>
    <row r="59">
      <c r="A59" s="3" t="s">
        <v>16</v>
      </c>
      <c r="B59" s="3" t="s">
        <v>326</v>
      </c>
      <c r="C59" s="3" t="s">
        <v>283</v>
      </c>
      <c r="D59" s="1" t="s">
        <v>327</v>
      </c>
      <c r="E59" s="1" t="s">
        <v>328</v>
      </c>
      <c r="F59" s="3" t="s">
        <v>329</v>
      </c>
      <c r="G59" s="3" t="s">
        <v>21</v>
      </c>
      <c r="H59" s="3" t="s">
        <v>237</v>
      </c>
      <c r="I59" s="3" t="s">
        <v>330</v>
      </c>
    </row>
    <row r="60">
      <c r="A60" s="1" t="s">
        <v>16</v>
      </c>
      <c r="B60" s="1" t="s">
        <v>331</v>
      </c>
      <c r="C60" s="1" t="s">
        <v>283</v>
      </c>
      <c r="D60" s="1" t="s">
        <v>332</v>
      </c>
      <c r="E60" s="1" t="s">
        <v>333</v>
      </c>
      <c r="F60" s="1" t="s">
        <v>334</v>
      </c>
      <c r="G60" s="1" t="s">
        <v>43</v>
      </c>
      <c r="H60" s="1" t="s">
        <v>237</v>
      </c>
      <c r="I60" s="1" t="s">
        <v>330</v>
      </c>
      <c r="J60" s="2"/>
      <c r="K60" s="2"/>
      <c r="L60" s="2"/>
      <c r="M60" s="2"/>
      <c r="N60" s="2"/>
      <c r="O60" s="2"/>
      <c r="P60" s="2"/>
      <c r="Q60" s="2"/>
      <c r="R60" s="2"/>
      <c r="S60" s="2"/>
      <c r="T60" s="2"/>
      <c r="U60" s="2"/>
      <c r="V60" s="2"/>
      <c r="W60" s="2"/>
      <c r="X60" s="2"/>
      <c r="Y60" s="2"/>
      <c r="Z60" s="2"/>
      <c r="AA60" s="2"/>
    </row>
    <row r="61">
      <c r="A61" s="1" t="s">
        <v>16</v>
      </c>
      <c r="B61" s="1" t="s">
        <v>335</v>
      </c>
      <c r="C61" s="1" t="s">
        <v>283</v>
      </c>
      <c r="D61" s="1" t="s">
        <v>336</v>
      </c>
      <c r="E61" s="1" t="s">
        <v>337</v>
      </c>
      <c r="F61" s="1" t="s">
        <v>338</v>
      </c>
      <c r="G61" s="1" t="s">
        <v>43</v>
      </c>
      <c r="H61" s="1" t="s">
        <v>216</v>
      </c>
      <c r="I61" s="1" t="s">
        <v>340</v>
      </c>
      <c r="J61" s="2"/>
      <c r="K61" s="2"/>
      <c r="L61" s="2"/>
      <c r="M61" s="2"/>
      <c r="N61" s="2"/>
      <c r="O61" s="2"/>
      <c r="P61" s="2"/>
      <c r="Q61" s="2"/>
      <c r="R61" s="2"/>
      <c r="S61" s="2"/>
      <c r="T61" s="2"/>
      <c r="U61" s="2"/>
      <c r="V61" s="2"/>
      <c r="W61" s="2"/>
      <c r="X61" s="2"/>
      <c r="Y61" s="2"/>
      <c r="Z61" s="2"/>
      <c r="AA61" s="2"/>
    </row>
    <row r="62">
      <c r="A62" s="3" t="s">
        <v>16</v>
      </c>
      <c r="B62" s="3" t="s">
        <v>341</v>
      </c>
      <c r="C62" s="3" t="s">
        <v>342</v>
      </c>
      <c r="D62" s="1" t="s">
        <v>343</v>
      </c>
      <c r="E62" s="1" t="s">
        <v>344</v>
      </c>
      <c r="F62" s="3" t="s">
        <v>345</v>
      </c>
      <c r="G62" s="3" t="s">
        <v>21</v>
      </c>
      <c r="H62" s="3" t="s">
        <v>346</v>
      </c>
      <c r="I62" s="3" t="s">
        <v>347</v>
      </c>
    </row>
    <row r="63">
      <c r="A63" s="3" t="s">
        <v>16</v>
      </c>
      <c r="B63" s="3" t="s">
        <v>348</v>
      </c>
      <c r="C63" s="3" t="s">
        <v>342</v>
      </c>
      <c r="D63" s="1" t="s">
        <v>349</v>
      </c>
      <c r="E63" s="1" t="s">
        <v>350</v>
      </c>
      <c r="F63" s="3" t="s">
        <v>351</v>
      </c>
      <c r="G63" s="3" t="s">
        <v>21</v>
      </c>
      <c r="H63" s="3" t="s">
        <v>247</v>
      </c>
      <c r="I63" s="3" t="s">
        <v>352</v>
      </c>
    </row>
    <row r="64">
      <c r="A64" s="1" t="s">
        <v>16</v>
      </c>
      <c r="B64" s="1" t="s">
        <v>353</v>
      </c>
      <c r="C64" s="1" t="s">
        <v>342</v>
      </c>
      <c r="D64" s="1" t="s">
        <v>354</v>
      </c>
      <c r="E64" s="1" t="s">
        <v>355</v>
      </c>
      <c r="F64" s="1" t="s">
        <v>356</v>
      </c>
      <c r="G64" s="1" t="s">
        <v>43</v>
      </c>
      <c r="H64" s="1" t="s">
        <v>247</v>
      </c>
      <c r="I64" s="1" t="s">
        <v>357</v>
      </c>
      <c r="J64" s="2"/>
      <c r="K64" s="2"/>
      <c r="L64" s="2"/>
      <c r="M64" s="2"/>
      <c r="N64" s="2"/>
      <c r="O64" s="2"/>
      <c r="P64" s="2"/>
      <c r="Q64" s="2"/>
      <c r="R64" s="2"/>
      <c r="S64" s="2"/>
      <c r="T64" s="2"/>
      <c r="U64" s="2"/>
      <c r="V64" s="2"/>
      <c r="W64" s="2"/>
      <c r="X64" s="2"/>
      <c r="Y64" s="2"/>
      <c r="Z64" s="2"/>
      <c r="AA64" s="2"/>
    </row>
    <row r="65">
      <c r="A65" s="3" t="s">
        <v>16</v>
      </c>
      <c r="B65" s="3" t="s">
        <v>358</v>
      </c>
      <c r="C65" s="3" t="s">
        <v>342</v>
      </c>
      <c r="D65" s="1" t="s">
        <v>359</v>
      </c>
      <c r="E65" s="1" t="s">
        <v>360</v>
      </c>
      <c r="F65" s="3" t="s">
        <v>361</v>
      </c>
      <c r="G65" s="3" t="s">
        <v>21</v>
      </c>
      <c r="H65" s="3" t="s">
        <v>247</v>
      </c>
      <c r="I65" s="3" t="s">
        <v>362</v>
      </c>
    </row>
    <row r="66">
      <c r="A66" s="3" t="s">
        <v>16</v>
      </c>
      <c r="B66" s="3" t="s">
        <v>363</v>
      </c>
      <c r="C66" s="3" t="s">
        <v>342</v>
      </c>
      <c r="D66" s="1" t="s">
        <v>364</v>
      </c>
      <c r="E66" s="1" t="s">
        <v>365</v>
      </c>
      <c r="F66" s="3" t="s">
        <v>366</v>
      </c>
      <c r="G66" s="3" t="s">
        <v>21</v>
      </c>
      <c r="H66" s="3" t="s">
        <v>247</v>
      </c>
      <c r="I66" s="3" t="s">
        <v>367</v>
      </c>
    </row>
    <row r="67">
      <c r="A67" s="3" t="s">
        <v>368</v>
      </c>
      <c r="B67" s="3" t="s">
        <v>369</v>
      </c>
      <c r="C67" s="3" t="s">
        <v>342</v>
      </c>
      <c r="D67" s="1" t="s">
        <v>370</v>
      </c>
      <c r="E67" s="1" t="s">
        <v>371</v>
      </c>
      <c r="F67" s="3" t="s">
        <v>372</v>
      </c>
      <c r="G67" s="3" t="s">
        <v>21</v>
      </c>
      <c r="H67" s="3" t="s">
        <v>373</v>
      </c>
      <c r="I67" s="3" t="s">
        <v>374</v>
      </c>
    </row>
    <row r="68">
      <c r="A68" s="3" t="s">
        <v>16</v>
      </c>
      <c r="B68" s="3" t="s">
        <v>375</v>
      </c>
      <c r="C68" s="3" t="s">
        <v>376</v>
      </c>
      <c r="D68" s="1" t="s">
        <v>377</v>
      </c>
      <c r="E68" s="1" t="s">
        <v>378</v>
      </c>
      <c r="F68" s="3" t="s">
        <v>379</v>
      </c>
      <c r="G68" s="3" t="s">
        <v>21</v>
      </c>
      <c r="H68" s="3" t="s">
        <v>380</v>
      </c>
      <c r="I68" s="3" t="s">
        <v>381</v>
      </c>
    </row>
    <row r="69">
      <c r="A69" s="3" t="s">
        <v>16</v>
      </c>
      <c r="B69" s="3" t="s">
        <v>382</v>
      </c>
      <c r="C69" s="3" t="s">
        <v>376</v>
      </c>
      <c r="D69" s="1" t="s">
        <v>383</v>
      </c>
      <c r="E69" s="1" t="s">
        <v>384</v>
      </c>
      <c r="F69" s="3" t="s">
        <v>385</v>
      </c>
      <c r="G69" s="3" t="s">
        <v>21</v>
      </c>
      <c r="H69" s="3" t="s">
        <v>96</v>
      </c>
      <c r="I69" s="3" t="s">
        <v>386</v>
      </c>
    </row>
    <row r="70">
      <c r="A70" s="3" t="s">
        <v>16</v>
      </c>
      <c r="B70" s="3" t="s">
        <v>387</v>
      </c>
      <c r="C70" s="3" t="s">
        <v>376</v>
      </c>
      <c r="D70" s="1" t="s">
        <v>388</v>
      </c>
      <c r="E70" s="1" t="s">
        <v>389</v>
      </c>
      <c r="F70" s="3" t="s">
        <v>390</v>
      </c>
      <c r="G70" s="3" t="s">
        <v>21</v>
      </c>
      <c r="H70" s="3" t="s">
        <v>96</v>
      </c>
      <c r="I70" s="3" t="s">
        <v>386</v>
      </c>
    </row>
    <row r="71">
      <c r="A71" s="3" t="s">
        <v>16</v>
      </c>
      <c r="B71" s="3" t="s">
        <v>391</v>
      </c>
      <c r="C71" s="3" t="s">
        <v>376</v>
      </c>
      <c r="D71" s="1" t="s">
        <v>392</v>
      </c>
      <c r="E71" s="1" t="s">
        <v>393</v>
      </c>
      <c r="F71" s="3" t="s">
        <v>394</v>
      </c>
      <c r="G71" s="3" t="s">
        <v>21</v>
      </c>
      <c r="H71" s="3" t="s">
        <v>96</v>
      </c>
      <c r="I71" s="3" t="s">
        <v>386</v>
      </c>
    </row>
    <row r="72">
      <c r="A72" s="3" t="s">
        <v>16</v>
      </c>
      <c r="B72" s="3" t="s">
        <v>395</v>
      </c>
      <c r="C72" s="3" t="s">
        <v>376</v>
      </c>
      <c r="D72" s="1" t="s">
        <v>396</v>
      </c>
      <c r="E72" s="1" t="s">
        <v>397</v>
      </c>
      <c r="F72" s="3" t="s">
        <v>398</v>
      </c>
      <c r="G72" s="3" t="s">
        <v>21</v>
      </c>
      <c r="H72" s="3" t="s">
        <v>96</v>
      </c>
      <c r="I72" s="3" t="s">
        <v>386</v>
      </c>
    </row>
    <row r="73">
      <c r="A73" s="3" t="s">
        <v>16</v>
      </c>
      <c r="B73" s="3" t="s">
        <v>399</v>
      </c>
      <c r="C73" s="3" t="s">
        <v>376</v>
      </c>
      <c r="D73" s="1" t="s">
        <v>400</v>
      </c>
      <c r="E73" s="1" t="s">
        <v>401</v>
      </c>
      <c r="F73" s="3" t="s">
        <v>402</v>
      </c>
      <c r="G73" s="3" t="s">
        <v>21</v>
      </c>
      <c r="H73" s="3" t="s">
        <v>96</v>
      </c>
      <c r="I73" s="3" t="s">
        <v>403</v>
      </c>
    </row>
    <row r="74">
      <c r="A74" s="3" t="s">
        <v>16</v>
      </c>
      <c r="B74" s="3" t="s">
        <v>404</v>
      </c>
      <c r="C74" s="3" t="s">
        <v>376</v>
      </c>
      <c r="D74" s="1" t="s">
        <v>405</v>
      </c>
      <c r="E74" s="1" t="s">
        <v>406</v>
      </c>
      <c r="F74" s="3" t="s">
        <v>407</v>
      </c>
      <c r="G74" s="3" t="s">
        <v>21</v>
      </c>
      <c r="H74" s="3" t="s">
        <v>96</v>
      </c>
      <c r="I74" s="3" t="s">
        <v>403</v>
      </c>
    </row>
    <row r="75">
      <c r="A75" s="3" t="s">
        <v>16</v>
      </c>
      <c r="B75" s="3" t="s">
        <v>408</v>
      </c>
      <c r="C75" s="3" t="s">
        <v>376</v>
      </c>
      <c r="D75" s="1" t="s">
        <v>409</v>
      </c>
      <c r="E75" s="1" t="s">
        <v>410</v>
      </c>
      <c r="F75" s="3" t="s">
        <v>411</v>
      </c>
      <c r="G75" s="3" t="s">
        <v>21</v>
      </c>
      <c r="H75" s="3" t="s">
        <v>412</v>
      </c>
      <c r="I75" s="3" t="s">
        <v>413</v>
      </c>
      <c r="L75" s="3" t="s">
        <v>459</v>
      </c>
    </row>
    <row r="76">
      <c r="A76" s="3" t="s">
        <v>20</v>
      </c>
      <c r="B76" s="3" t="s">
        <v>414</v>
      </c>
      <c r="C76" s="3" t="s">
        <v>376</v>
      </c>
      <c r="D76" s="1" t="s">
        <v>415</v>
      </c>
      <c r="E76" s="1" t="s">
        <v>416</v>
      </c>
      <c r="F76" s="3" t="s">
        <v>417</v>
      </c>
      <c r="G76" s="3" t="s">
        <v>21</v>
      </c>
      <c r="H76" s="3" t="s">
        <v>412</v>
      </c>
      <c r="I76" s="3" t="s">
        <v>418</v>
      </c>
      <c r="K76" s="3" t="s">
        <v>471</v>
      </c>
    </row>
    <row r="77">
      <c r="A77" s="3" t="s">
        <v>16</v>
      </c>
      <c r="B77" s="3" t="s">
        <v>419</v>
      </c>
      <c r="C77" s="3" t="s">
        <v>376</v>
      </c>
      <c r="D77" s="1" t="s">
        <v>420</v>
      </c>
      <c r="E77" s="1" t="s">
        <v>421</v>
      </c>
      <c r="F77" s="3" t="s">
        <v>422</v>
      </c>
      <c r="G77" s="3" t="s">
        <v>21</v>
      </c>
      <c r="H77" s="3" t="s">
        <v>412</v>
      </c>
      <c r="I77" s="3" t="s">
        <v>423</v>
      </c>
    </row>
    <row r="78">
      <c r="A78" s="3" t="s">
        <v>20</v>
      </c>
      <c r="B78" s="3" t="s">
        <v>424</v>
      </c>
      <c r="C78" s="3" t="s">
        <v>376</v>
      </c>
      <c r="D78" s="1" t="s">
        <v>425</v>
      </c>
      <c r="E78" s="1" t="s">
        <v>426</v>
      </c>
      <c r="F78" s="3" t="s">
        <v>427</v>
      </c>
      <c r="G78" s="3" t="s">
        <v>21</v>
      </c>
      <c r="H78" s="3" t="s">
        <v>412</v>
      </c>
      <c r="I78" s="3" t="s">
        <v>428</v>
      </c>
      <c r="K78" s="4" t="s">
        <v>533</v>
      </c>
    </row>
    <row r="79">
      <c r="A79" s="3" t="s">
        <v>16</v>
      </c>
      <c r="B79" s="3" t="s">
        <v>429</v>
      </c>
      <c r="C79" s="3" t="s">
        <v>376</v>
      </c>
      <c r="D79" s="1" t="s">
        <v>430</v>
      </c>
      <c r="E79" s="1" t="s">
        <v>431</v>
      </c>
      <c r="F79" s="3" t="s">
        <v>432</v>
      </c>
      <c r="G79" s="3" t="s">
        <v>21</v>
      </c>
      <c r="H79" s="3" t="s">
        <v>412</v>
      </c>
      <c r="I79" s="3" t="s">
        <v>433</v>
      </c>
    </row>
    <row r="80">
      <c r="A80" s="3" t="s">
        <v>146</v>
      </c>
      <c r="B80" s="3" t="s">
        <v>434</v>
      </c>
      <c r="C80" s="3" t="s">
        <v>376</v>
      </c>
      <c r="D80" s="1" t="s">
        <v>435</v>
      </c>
      <c r="E80" s="1" t="s">
        <v>436</v>
      </c>
      <c r="F80" s="3" t="s">
        <v>437</v>
      </c>
      <c r="G80" s="3" t="s">
        <v>21</v>
      </c>
      <c r="H80" s="3" t="s">
        <v>438</v>
      </c>
      <c r="I80" s="3" t="s">
        <v>439</v>
      </c>
      <c r="K80" s="3" t="s">
        <v>556</v>
      </c>
    </row>
    <row r="81">
      <c r="A81" s="3" t="s">
        <v>146</v>
      </c>
      <c r="B81" s="3" t="s">
        <v>440</v>
      </c>
      <c r="C81" s="3" t="s">
        <v>376</v>
      </c>
      <c r="D81" s="1" t="s">
        <v>441</v>
      </c>
      <c r="E81" s="1" t="s">
        <v>442</v>
      </c>
      <c r="F81" s="3" t="s">
        <v>443</v>
      </c>
      <c r="G81" s="3" t="s">
        <v>21</v>
      </c>
      <c r="H81" s="3" t="s">
        <v>438</v>
      </c>
      <c r="I81" s="3" t="s">
        <v>444</v>
      </c>
      <c r="K81" s="3" t="s">
        <v>556</v>
      </c>
    </row>
    <row r="82">
      <c r="A82" s="3" t="s">
        <v>146</v>
      </c>
      <c r="B82" s="3" t="s">
        <v>445</v>
      </c>
      <c r="C82" s="3" t="s">
        <v>376</v>
      </c>
      <c r="D82" s="1" t="s">
        <v>446</v>
      </c>
      <c r="E82" s="1" t="s">
        <v>447</v>
      </c>
      <c r="F82" s="3" t="s">
        <v>448</v>
      </c>
      <c r="G82" s="3" t="s">
        <v>21</v>
      </c>
      <c r="H82" s="3" t="s">
        <v>438</v>
      </c>
      <c r="I82" s="3" t="s">
        <v>449</v>
      </c>
      <c r="K82" s="3" t="s">
        <v>556</v>
      </c>
    </row>
    <row r="83">
      <c r="A83" s="1" t="s">
        <v>146</v>
      </c>
      <c r="B83" s="1" t="s">
        <v>450</v>
      </c>
      <c r="C83" s="1" t="s">
        <v>376</v>
      </c>
      <c r="D83" s="1" t="s">
        <v>451</v>
      </c>
      <c r="E83" s="1" t="s">
        <v>452</v>
      </c>
      <c r="F83" s="1" t="s">
        <v>453</v>
      </c>
      <c r="G83" s="1" t="s">
        <v>43</v>
      </c>
      <c r="H83" s="1" t="s">
        <v>438</v>
      </c>
      <c r="I83" s="1" t="s">
        <v>449</v>
      </c>
      <c r="J83" s="2"/>
      <c r="K83" s="1" t="s">
        <v>556</v>
      </c>
      <c r="L83" s="2"/>
      <c r="M83" s="2"/>
      <c r="N83" s="2"/>
      <c r="O83" s="2"/>
      <c r="P83" s="2"/>
      <c r="Q83" s="2"/>
      <c r="R83" s="2"/>
      <c r="S83" s="2"/>
      <c r="T83" s="2"/>
      <c r="U83" s="2"/>
      <c r="V83" s="2"/>
      <c r="W83" s="2"/>
      <c r="X83" s="2"/>
      <c r="Y83" s="2"/>
      <c r="Z83" s="2"/>
      <c r="AA83" s="2"/>
    </row>
    <row r="84">
      <c r="A84" s="1" t="s">
        <v>146</v>
      </c>
      <c r="B84" s="1" t="s">
        <v>454</v>
      </c>
      <c r="C84" s="1" t="s">
        <v>376</v>
      </c>
      <c r="D84" s="1" t="s">
        <v>455</v>
      </c>
      <c r="E84" s="1" t="s">
        <v>456</v>
      </c>
      <c r="F84" s="1" t="s">
        <v>457</v>
      </c>
      <c r="G84" s="1" t="s">
        <v>43</v>
      </c>
      <c r="H84" s="1" t="s">
        <v>438</v>
      </c>
      <c r="I84" s="1" t="s">
        <v>458</v>
      </c>
      <c r="J84" s="2"/>
      <c r="K84" s="1" t="s">
        <v>556</v>
      </c>
      <c r="L84" s="2"/>
      <c r="M84" s="2"/>
      <c r="N84" s="2"/>
      <c r="O84" s="2"/>
      <c r="P84" s="2"/>
      <c r="Q84" s="2"/>
      <c r="R84" s="2"/>
      <c r="S84" s="2"/>
      <c r="T84" s="2"/>
      <c r="U84" s="2"/>
      <c r="V84" s="2"/>
      <c r="W84" s="2"/>
      <c r="X84" s="2"/>
      <c r="Y84" s="2"/>
      <c r="Z84" s="2"/>
      <c r="AA84" s="2"/>
    </row>
    <row r="85">
      <c r="A85" s="3" t="s">
        <v>146</v>
      </c>
      <c r="B85" s="3" t="s">
        <v>460</v>
      </c>
      <c r="C85" s="3" t="s">
        <v>461</v>
      </c>
      <c r="D85" s="1" t="s">
        <v>462</v>
      </c>
      <c r="E85" s="1" t="s">
        <v>463</v>
      </c>
      <c r="F85" s="3" t="s">
        <v>464</v>
      </c>
      <c r="G85" s="3" t="s">
        <v>21</v>
      </c>
      <c r="H85" s="3" t="s">
        <v>465</v>
      </c>
      <c r="I85" s="3" t="s">
        <v>466</v>
      </c>
    </row>
    <row r="86">
      <c r="A86" s="3" t="s">
        <v>146</v>
      </c>
      <c r="B86" s="3" t="s">
        <v>467</v>
      </c>
      <c r="C86" s="3" t="s">
        <v>461</v>
      </c>
      <c r="D86" s="1" t="s">
        <v>468</v>
      </c>
      <c r="E86" s="1" t="s">
        <v>469</v>
      </c>
      <c r="F86" s="3" t="s">
        <v>470</v>
      </c>
      <c r="G86" s="3" t="s">
        <v>21</v>
      </c>
      <c r="H86" s="3" t="s">
        <v>465</v>
      </c>
      <c r="I86" s="3" t="s">
        <v>466</v>
      </c>
    </row>
    <row r="87">
      <c r="A87" s="3" t="s">
        <v>146</v>
      </c>
      <c r="B87" s="3" t="s">
        <v>472</v>
      </c>
      <c r="C87" s="3" t="s">
        <v>461</v>
      </c>
      <c r="D87" s="1" t="s">
        <v>473</v>
      </c>
      <c r="E87" s="1" t="s">
        <v>474</v>
      </c>
      <c r="F87" s="3" t="s">
        <v>475</v>
      </c>
      <c r="G87" s="3" t="s">
        <v>21</v>
      </c>
      <c r="H87" s="3" t="s">
        <v>465</v>
      </c>
      <c r="I87" s="3" t="s">
        <v>466</v>
      </c>
    </row>
    <row r="88">
      <c r="A88" s="3" t="s">
        <v>146</v>
      </c>
      <c r="B88" s="3" t="s">
        <v>476</v>
      </c>
      <c r="C88" s="3" t="s">
        <v>461</v>
      </c>
      <c r="D88" s="1" t="s">
        <v>477</v>
      </c>
      <c r="E88" s="1" t="s">
        <v>478</v>
      </c>
      <c r="F88" s="3" t="s">
        <v>479</v>
      </c>
      <c r="G88" s="3" t="s">
        <v>21</v>
      </c>
      <c r="H88" s="3" t="s">
        <v>465</v>
      </c>
      <c r="I88" s="3" t="s">
        <v>466</v>
      </c>
    </row>
    <row r="89">
      <c r="A89" s="3" t="s">
        <v>146</v>
      </c>
      <c r="B89" s="3" t="s">
        <v>480</v>
      </c>
      <c r="C89" s="3" t="s">
        <v>461</v>
      </c>
      <c r="D89" s="1" t="s">
        <v>481</v>
      </c>
      <c r="E89" s="1" t="s">
        <v>482</v>
      </c>
      <c r="F89" s="3" t="s">
        <v>483</v>
      </c>
      <c r="G89" s="3" t="s">
        <v>21</v>
      </c>
      <c r="H89" s="3" t="s">
        <v>465</v>
      </c>
      <c r="I89" s="3" t="s">
        <v>466</v>
      </c>
    </row>
    <row r="90">
      <c r="A90" s="3" t="s">
        <v>146</v>
      </c>
      <c r="B90" s="3" t="s">
        <v>484</v>
      </c>
      <c r="C90" s="3" t="s">
        <v>461</v>
      </c>
      <c r="D90" s="1" t="s">
        <v>485</v>
      </c>
      <c r="E90" s="1" t="s">
        <v>486</v>
      </c>
      <c r="F90" s="3" t="s">
        <v>487</v>
      </c>
      <c r="G90" s="3" t="s">
        <v>21</v>
      </c>
      <c r="H90" s="3" t="s">
        <v>465</v>
      </c>
      <c r="I90" s="3" t="s">
        <v>466</v>
      </c>
    </row>
    <row r="91">
      <c r="A91" s="3" t="s">
        <v>146</v>
      </c>
      <c r="B91" s="3" t="s">
        <v>489</v>
      </c>
      <c r="C91" s="3" t="s">
        <v>461</v>
      </c>
      <c r="D91" s="1" t="s">
        <v>490</v>
      </c>
      <c r="E91" s="1" t="s">
        <v>491</v>
      </c>
      <c r="F91" s="3" t="s">
        <v>492</v>
      </c>
      <c r="G91" s="3" t="s">
        <v>21</v>
      </c>
      <c r="H91" s="3" t="s">
        <v>465</v>
      </c>
      <c r="I91" s="3" t="s">
        <v>466</v>
      </c>
    </row>
    <row r="92">
      <c r="A92" s="1" t="s">
        <v>16</v>
      </c>
      <c r="B92" s="1" t="s">
        <v>493</v>
      </c>
      <c r="C92" s="1" t="s">
        <v>494</v>
      </c>
      <c r="D92" s="1" t="s">
        <v>495</v>
      </c>
      <c r="E92" s="1" t="s">
        <v>496</v>
      </c>
      <c r="F92" s="1" t="s">
        <v>497</v>
      </c>
      <c r="G92" s="1" t="s">
        <v>43</v>
      </c>
      <c r="H92" s="1" t="s">
        <v>96</v>
      </c>
      <c r="I92" s="1" t="s">
        <v>498</v>
      </c>
      <c r="J92" s="2"/>
      <c r="K92" s="2"/>
      <c r="L92" s="2"/>
      <c r="M92" s="2"/>
      <c r="N92" s="2"/>
      <c r="O92" s="2"/>
      <c r="P92" s="2"/>
      <c r="Q92" s="2"/>
      <c r="R92" s="2"/>
      <c r="S92" s="2"/>
      <c r="T92" s="2"/>
      <c r="U92" s="2"/>
      <c r="V92" s="2"/>
      <c r="W92" s="2"/>
      <c r="X92" s="2"/>
      <c r="Y92" s="2"/>
      <c r="Z92" s="2"/>
      <c r="AA92" s="2"/>
    </row>
    <row r="93">
      <c r="A93" s="1" t="s">
        <v>13</v>
      </c>
      <c r="B93" s="1" t="s">
        <v>499</v>
      </c>
      <c r="C93" s="1" t="s">
        <v>494</v>
      </c>
      <c r="D93" s="1" t="s">
        <v>500</v>
      </c>
      <c r="E93" s="1" t="s">
        <v>501</v>
      </c>
      <c r="F93" s="1" t="s">
        <v>502</v>
      </c>
      <c r="G93" s="1" t="s">
        <v>43</v>
      </c>
      <c r="H93" s="1" t="s">
        <v>96</v>
      </c>
      <c r="I93" s="1" t="s">
        <v>503</v>
      </c>
      <c r="J93" s="2"/>
      <c r="K93" s="2"/>
      <c r="L93" s="2"/>
      <c r="M93" s="2"/>
      <c r="N93" s="2"/>
      <c r="O93" s="2"/>
      <c r="P93" s="2"/>
      <c r="Q93" s="2"/>
      <c r="R93" s="2"/>
      <c r="S93" s="2"/>
      <c r="T93" s="2"/>
      <c r="U93" s="2"/>
      <c r="V93" s="2"/>
      <c r="W93" s="2"/>
      <c r="X93" s="2"/>
      <c r="Y93" s="2"/>
      <c r="Z93" s="2"/>
      <c r="AA93" s="2"/>
    </row>
    <row r="94">
      <c r="A94" s="1" t="s">
        <v>13</v>
      </c>
      <c r="B94" s="1" t="s">
        <v>504</v>
      </c>
      <c r="C94" s="1" t="s">
        <v>494</v>
      </c>
      <c r="D94" s="1" t="s">
        <v>505</v>
      </c>
      <c r="E94" s="1" t="s">
        <v>506</v>
      </c>
      <c r="F94" s="1" t="s">
        <v>507</v>
      </c>
      <c r="G94" s="1" t="s">
        <v>43</v>
      </c>
      <c r="H94" s="1" t="s">
        <v>96</v>
      </c>
      <c r="I94" s="1" t="s">
        <v>508</v>
      </c>
      <c r="J94" s="2"/>
      <c r="K94" s="2"/>
      <c r="L94" s="2"/>
      <c r="M94" s="2"/>
      <c r="N94" s="2"/>
      <c r="O94" s="2"/>
      <c r="P94" s="2"/>
      <c r="Q94" s="2"/>
      <c r="R94" s="2"/>
      <c r="S94" s="2"/>
      <c r="T94" s="2"/>
      <c r="U94" s="2"/>
      <c r="V94" s="2"/>
      <c r="W94" s="2"/>
      <c r="X94" s="2"/>
      <c r="Y94" s="2"/>
      <c r="Z94" s="2"/>
      <c r="AA94" s="2"/>
    </row>
    <row r="95">
      <c r="A95" s="3" t="s">
        <v>16</v>
      </c>
      <c r="B95" s="3" t="s">
        <v>509</v>
      </c>
      <c r="C95" s="3" t="s">
        <v>494</v>
      </c>
      <c r="D95" s="1" t="s">
        <v>510</v>
      </c>
      <c r="E95" s="1" t="s">
        <v>511</v>
      </c>
      <c r="F95" s="3" t="s">
        <v>512</v>
      </c>
      <c r="G95" s="3" t="s">
        <v>21</v>
      </c>
      <c r="H95" s="3" t="s">
        <v>513</v>
      </c>
      <c r="I95" s="3" t="s">
        <v>253</v>
      </c>
    </row>
    <row r="96">
      <c r="A96" s="3" t="s">
        <v>13</v>
      </c>
      <c r="B96" s="3" t="s">
        <v>514</v>
      </c>
      <c r="C96" s="3" t="s">
        <v>494</v>
      </c>
      <c r="D96" s="3" t="s">
        <v>515</v>
      </c>
      <c r="E96" s="3" t="s">
        <v>516</v>
      </c>
      <c r="F96" s="3" t="s">
        <v>517</v>
      </c>
      <c r="G96" s="3" t="s">
        <v>73</v>
      </c>
      <c r="H96" s="3" t="s">
        <v>96</v>
      </c>
      <c r="I96" s="3" t="s">
        <v>518</v>
      </c>
    </row>
    <row r="97">
      <c r="A97" s="1" t="s">
        <v>13</v>
      </c>
      <c r="B97" s="1" t="s">
        <v>519</v>
      </c>
      <c r="C97" s="1" t="s">
        <v>494</v>
      </c>
      <c r="D97" s="1" t="s">
        <v>520</v>
      </c>
      <c r="E97" s="1" t="s">
        <v>521</v>
      </c>
      <c r="F97" s="1" t="s">
        <v>522</v>
      </c>
      <c r="G97" s="1" t="s">
        <v>43</v>
      </c>
      <c r="H97" s="1" t="s">
        <v>523</v>
      </c>
      <c r="I97" s="1" t="s">
        <v>38</v>
      </c>
      <c r="J97" s="2"/>
      <c r="K97" s="2"/>
      <c r="L97" s="2"/>
      <c r="M97" s="2"/>
      <c r="N97" s="2"/>
      <c r="O97" s="2"/>
      <c r="P97" s="2"/>
      <c r="Q97" s="2"/>
      <c r="R97" s="2"/>
      <c r="S97" s="2"/>
      <c r="T97" s="2"/>
      <c r="U97" s="2"/>
      <c r="V97" s="2"/>
      <c r="W97" s="2"/>
      <c r="X97" s="2"/>
      <c r="Y97" s="2"/>
      <c r="Z97" s="2"/>
      <c r="AA97" s="2"/>
    </row>
    <row r="98">
      <c r="A98" s="1" t="s">
        <v>13</v>
      </c>
      <c r="B98" s="1" t="s">
        <v>524</v>
      </c>
      <c r="C98" s="1" t="s">
        <v>494</v>
      </c>
      <c r="D98" s="1" t="s">
        <v>525</v>
      </c>
      <c r="E98" s="1" t="s">
        <v>526</v>
      </c>
      <c r="F98" s="1" t="s">
        <v>527</v>
      </c>
      <c r="G98" s="1" t="s">
        <v>43</v>
      </c>
      <c r="H98" s="1" t="s">
        <v>528</v>
      </c>
      <c r="I98" s="1" t="s">
        <v>137</v>
      </c>
      <c r="J98" s="2"/>
      <c r="K98" s="2"/>
      <c r="L98" s="2"/>
      <c r="M98" s="2"/>
      <c r="N98" s="2"/>
      <c r="O98" s="2"/>
      <c r="P98" s="2"/>
      <c r="Q98" s="2"/>
      <c r="R98" s="2"/>
      <c r="S98" s="2"/>
      <c r="T98" s="2"/>
      <c r="U98" s="2"/>
      <c r="V98" s="2"/>
      <c r="W98" s="2"/>
      <c r="X98" s="2"/>
      <c r="Y98" s="2"/>
      <c r="Z98" s="2"/>
      <c r="AA98" s="2"/>
    </row>
    <row r="99">
      <c r="A99" s="1" t="s">
        <v>13</v>
      </c>
      <c r="B99" s="1" t="s">
        <v>529</v>
      </c>
      <c r="C99" s="1" t="s">
        <v>494</v>
      </c>
      <c r="D99" s="1" t="s">
        <v>530</v>
      </c>
      <c r="E99" s="1" t="s">
        <v>531</v>
      </c>
      <c r="F99" s="1" t="s">
        <v>532</v>
      </c>
      <c r="G99" s="1" t="s">
        <v>43</v>
      </c>
      <c r="H99" s="1" t="s">
        <v>523</v>
      </c>
      <c r="I99" s="1" t="s">
        <v>534</v>
      </c>
      <c r="J99" s="2"/>
      <c r="K99" s="2"/>
      <c r="L99" s="2"/>
      <c r="M99" s="2"/>
      <c r="N99" s="2"/>
      <c r="O99" s="2"/>
      <c r="P99" s="2"/>
      <c r="Q99" s="2"/>
      <c r="R99" s="2"/>
      <c r="S99" s="2"/>
      <c r="T99" s="2"/>
      <c r="U99" s="2"/>
      <c r="V99" s="2"/>
      <c r="W99" s="2"/>
      <c r="X99" s="2"/>
      <c r="Y99" s="2"/>
      <c r="Z99" s="2"/>
      <c r="AA99" s="2"/>
    </row>
    <row r="100">
      <c r="A100" s="3" t="s">
        <v>146</v>
      </c>
      <c r="B100" s="3" t="s">
        <v>535</v>
      </c>
      <c r="C100" s="3" t="s">
        <v>536</v>
      </c>
      <c r="D100" s="1" t="s">
        <v>537</v>
      </c>
      <c r="E100" s="1" t="s">
        <v>538</v>
      </c>
      <c r="F100" s="3" t="s">
        <v>539</v>
      </c>
      <c r="G100" s="3" t="s">
        <v>21</v>
      </c>
      <c r="H100" s="3" t="s">
        <v>465</v>
      </c>
      <c r="I100" s="3" t="s">
        <v>540</v>
      </c>
    </row>
    <row r="101">
      <c r="A101" s="3" t="s">
        <v>146</v>
      </c>
      <c r="B101" s="3" t="s">
        <v>541</v>
      </c>
      <c r="C101" s="3" t="s">
        <v>536</v>
      </c>
      <c r="D101" s="1" t="s">
        <v>542</v>
      </c>
      <c r="E101" s="1" t="s">
        <v>543</v>
      </c>
      <c r="F101" s="3" t="s">
        <v>544</v>
      </c>
      <c r="G101" s="3" t="s">
        <v>21</v>
      </c>
      <c r="H101" s="3" t="s">
        <v>465</v>
      </c>
      <c r="I101" s="3" t="s">
        <v>545</v>
      </c>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autoFilter ref="$A$1:$AA$101"/>
  <dataValidations>
    <dataValidation type="list" allowBlank="1" showErrorMessage="1" sqref="A2:A1000">
      <formula1>"Not Run,Pass,Fail,Blocked,Retest,N/A"</formula1>
    </dataValidation>
  </dataValidations>
  <hyperlinks>
    <hyperlink r:id="rId1" ref="K78"/>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0"/>
    <col customWidth="1" min="2" max="2" width="11.13"/>
    <col customWidth="1" min="3" max="3" width="12.25"/>
    <col customWidth="1" min="4" max="4" width="30.5"/>
    <col customWidth="1" min="5" max="5" width="6.13"/>
    <col customWidth="1" min="6" max="6" width="19.38"/>
    <col customWidth="1" min="7" max="7" width="48.5"/>
    <col customWidth="1" min="8" max="8" width="83.88"/>
    <col customWidth="1" min="9" max="9" width="99.13"/>
    <col customWidth="1" min="10" max="10" width="10.88"/>
    <col customWidth="1" min="11" max="11" width="5.38"/>
    <col customWidth="1" min="12" max="12" width="11.38"/>
    <col customWidth="1" min="13" max="13" width="8.0"/>
  </cols>
  <sheetData>
    <row r="1">
      <c r="A1" s="3" t="s">
        <v>0</v>
      </c>
      <c r="B1" s="3" t="s">
        <v>1</v>
      </c>
      <c r="C1" s="3" t="s">
        <v>2</v>
      </c>
      <c r="D1" s="3" t="s">
        <v>5</v>
      </c>
      <c r="E1" s="3" t="s">
        <v>6</v>
      </c>
      <c r="F1" s="3" t="s">
        <v>7</v>
      </c>
      <c r="G1" s="3" t="s">
        <v>8</v>
      </c>
      <c r="H1" s="3" t="s">
        <v>3</v>
      </c>
      <c r="I1" s="3" t="s">
        <v>4</v>
      </c>
      <c r="J1" s="3" t="s">
        <v>9</v>
      </c>
      <c r="K1" s="3" t="s">
        <v>10</v>
      </c>
      <c r="L1" s="3" t="s">
        <v>11</v>
      </c>
      <c r="M1" s="3" t="s">
        <v>12</v>
      </c>
    </row>
    <row r="2">
      <c r="A2" s="3" t="s">
        <v>20</v>
      </c>
      <c r="B2" s="3" t="s">
        <v>14</v>
      </c>
      <c r="C2" s="3" t="s">
        <v>15</v>
      </c>
      <c r="D2" s="3" t="s">
        <v>19</v>
      </c>
      <c r="E2" s="3" t="s">
        <v>21</v>
      </c>
      <c r="F2" s="3" t="s">
        <v>22</v>
      </c>
      <c r="G2" s="3" t="s">
        <v>23</v>
      </c>
      <c r="H2" s="3" t="s">
        <v>17</v>
      </c>
      <c r="I2" s="3" t="s">
        <v>18</v>
      </c>
      <c r="J2" s="3" t="s">
        <v>24</v>
      </c>
      <c r="K2" s="3" t="s">
        <v>25</v>
      </c>
    </row>
    <row r="3">
      <c r="A3" s="3" t="s">
        <v>16</v>
      </c>
      <c r="B3" s="3" t="s">
        <v>26</v>
      </c>
      <c r="C3" s="3" t="s">
        <v>15</v>
      </c>
      <c r="D3" s="3" t="s">
        <v>29</v>
      </c>
      <c r="E3" s="3" t="s">
        <v>21</v>
      </c>
      <c r="F3" s="3" t="s">
        <v>22</v>
      </c>
      <c r="G3" s="3" t="s">
        <v>30</v>
      </c>
      <c r="H3" s="3" t="s">
        <v>27</v>
      </c>
      <c r="I3" s="3" t="s">
        <v>28</v>
      </c>
    </row>
    <row r="4">
      <c r="A4" s="3" t="s">
        <v>16</v>
      </c>
      <c r="B4" s="3" t="s">
        <v>31</v>
      </c>
      <c r="C4" s="3" t="s">
        <v>15</v>
      </c>
      <c r="D4" s="3" t="s">
        <v>32</v>
      </c>
      <c r="E4" s="3" t="s">
        <v>21</v>
      </c>
      <c r="F4" s="3" t="s">
        <v>22</v>
      </c>
      <c r="G4" s="3" t="s">
        <v>35</v>
      </c>
      <c r="H4" s="3" t="s">
        <v>33</v>
      </c>
      <c r="I4" s="3" t="s">
        <v>34</v>
      </c>
    </row>
    <row r="5">
      <c r="A5" s="3" t="s">
        <v>16</v>
      </c>
      <c r="B5" s="3" t="s">
        <v>36</v>
      </c>
      <c r="C5" s="3" t="s">
        <v>15</v>
      </c>
      <c r="D5" s="3" t="s">
        <v>37</v>
      </c>
      <c r="E5" s="3" t="s">
        <v>21</v>
      </c>
      <c r="F5" s="3" t="s">
        <v>22</v>
      </c>
      <c r="G5" s="3" t="s">
        <v>38</v>
      </c>
      <c r="H5" s="3" t="s">
        <v>39</v>
      </c>
      <c r="I5" s="3" t="s">
        <v>40</v>
      </c>
    </row>
    <row r="6">
      <c r="A6" s="3" t="s">
        <v>16</v>
      </c>
      <c r="B6" s="3" t="s">
        <v>41</v>
      </c>
      <c r="C6" s="3" t="s">
        <v>15</v>
      </c>
      <c r="D6" s="3" t="s">
        <v>42</v>
      </c>
      <c r="E6" s="3" t="s">
        <v>43</v>
      </c>
      <c r="F6" s="3" t="s">
        <v>22</v>
      </c>
      <c r="G6" s="3" t="s">
        <v>45</v>
      </c>
      <c r="H6" s="3" t="s">
        <v>44</v>
      </c>
      <c r="I6" s="3" t="s">
        <v>46</v>
      </c>
    </row>
    <row r="7">
      <c r="A7" s="3" t="s">
        <v>16</v>
      </c>
      <c r="B7" s="3" t="s">
        <v>47</v>
      </c>
      <c r="C7" s="3" t="s">
        <v>15</v>
      </c>
      <c r="D7" s="3" t="s">
        <v>48</v>
      </c>
      <c r="E7" s="3" t="s">
        <v>43</v>
      </c>
      <c r="F7" s="3" t="s">
        <v>22</v>
      </c>
      <c r="G7" s="3" t="s">
        <v>38</v>
      </c>
      <c r="H7" s="3" t="s">
        <v>49</v>
      </c>
      <c r="I7" s="3" t="s">
        <v>50</v>
      </c>
    </row>
    <row r="8">
      <c r="A8" s="3" t="s">
        <v>20</v>
      </c>
      <c r="B8" s="3" t="s">
        <v>51</v>
      </c>
      <c r="C8" s="3" t="s">
        <v>15</v>
      </c>
      <c r="D8" s="3" t="s">
        <v>52</v>
      </c>
      <c r="E8" s="3" t="s">
        <v>43</v>
      </c>
      <c r="F8" s="3" t="s">
        <v>22</v>
      </c>
      <c r="G8" s="3" t="s">
        <v>53</v>
      </c>
      <c r="H8" s="3" t="s">
        <v>54</v>
      </c>
      <c r="I8" s="3" t="s">
        <v>55</v>
      </c>
      <c r="J8" s="3" t="s">
        <v>56</v>
      </c>
    </row>
    <row r="9">
      <c r="A9" s="3" t="s">
        <v>20</v>
      </c>
      <c r="B9" s="3" t="s">
        <v>57</v>
      </c>
      <c r="C9" s="3" t="s">
        <v>15</v>
      </c>
      <c r="D9" s="3" t="s">
        <v>58</v>
      </c>
      <c r="E9" s="3" t="s">
        <v>43</v>
      </c>
      <c r="F9" s="3" t="s">
        <v>22</v>
      </c>
      <c r="G9" s="3" t="s">
        <v>59</v>
      </c>
      <c r="H9" s="3" t="s">
        <v>61</v>
      </c>
      <c r="I9" s="3" t="s">
        <v>62</v>
      </c>
      <c r="J9" s="3" t="s">
        <v>63</v>
      </c>
    </row>
    <row r="10">
      <c r="A10" s="3" t="s">
        <v>20</v>
      </c>
      <c r="B10" s="3" t="s">
        <v>64</v>
      </c>
      <c r="C10" s="3" t="s">
        <v>15</v>
      </c>
      <c r="D10" s="3" t="s">
        <v>65</v>
      </c>
      <c r="E10" s="3" t="s">
        <v>21</v>
      </c>
      <c r="F10" s="3" t="s">
        <v>22</v>
      </c>
      <c r="G10" s="3" t="s">
        <v>66</v>
      </c>
      <c r="H10" s="3" t="s">
        <v>67</v>
      </c>
      <c r="I10" s="3" t="s">
        <v>69</v>
      </c>
      <c r="J10" s="3" t="s">
        <v>70</v>
      </c>
    </row>
    <row r="11">
      <c r="A11" s="3" t="s">
        <v>16</v>
      </c>
      <c r="B11" s="3" t="s">
        <v>71</v>
      </c>
      <c r="C11" s="3" t="s">
        <v>15</v>
      </c>
      <c r="D11" s="3" t="s">
        <v>72</v>
      </c>
      <c r="E11" s="3" t="s">
        <v>73</v>
      </c>
      <c r="F11" s="3" t="s">
        <v>22</v>
      </c>
      <c r="G11" s="3" t="s">
        <v>38</v>
      </c>
      <c r="H11" s="3" t="s">
        <v>74</v>
      </c>
      <c r="I11" s="3" t="s">
        <v>75</v>
      </c>
    </row>
    <row r="12">
      <c r="A12" s="3" t="s">
        <v>16</v>
      </c>
      <c r="B12" s="3" t="s">
        <v>76</v>
      </c>
      <c r="C12" s="3" t="s">
        <v>77</v>
      </c>
      <c r="D12" s="3" t="s">
        <v>79</v>
      </c>
      <c r="E12" s="3" t="s">
        <v>21</v>
      </c>
      <c r="F12" s="3" t="s">
        <v>22</v>
      </c>
      <c r="G12" s="3" t="s">
        <v>80</v>
      </c>
      <c r="H12" s="3" t="s">
        <v>81</v>
      </c>
      <c r="I12" s="3" t="s">
        <v>82</v>
      </c>
    </row>
    <row r="13">
      <c r="A13" s="3" t="s">
        <v>16</v>
      </c>
      <c r="B13" s="3" t="s">
        <v>83</v>
      </c>
      <c r="C13" s="3" t="s">
        <v>77</v>
      </c>
      <c r="D13" s="3" t="s">
        <v>84</v>
      </c>
      <c r="E13" s="3" t="s">
        <v>21</v>
      </c>
      <c r="F13" s="3" t="s">
        <v>85</v>
      </c>
      <c r="G13" s="3" t="s">
        <v>86</v>
      </c>
      <c r="H13" s="3" t="s">
        <v>87</v>
      </c>
      <c r="I13" s="3" t="s">
        <v>88</v>
      </c>
    </row>
    <row r="14">
      <c r="A14" s="3" t="s">
        <v>16</v>
      </c>
      <c r="B14" s="3" t="s">
        <v>89</v>
      </c>
      <c r="C14" s="3" t="s">
        <v>77</v>
      </c>
      <c r="D14" s="3" t="s">
        <v>90</v>
      </c>
      <c r="E14" s="3" t="s">
        <v>43</v>
      </c>
      <c r="F14" s="3" t="s">
        <v>22</v>
      </c>
      <c r="G14" s="3" t="s">
        <v>91</v>
      </c>
      <c r="H14" s="3" t="s">
        <v>92</v>
      </c>
      <c r="I14" s="3" t="s">
        <v>93</v>
      </c>
    </row>
    <row r="15">
      <c r="A15" s="3" t="s">
        <v>16</v>
      </c>
      <c r="B15" s="3" t="s">
        <v>94</v>
      </c>
      <c r="C15" s="3" t="s">
        <v>77</v>
      </c>
      <c r="D15" s="3" t="s">
        <v>95</v>
      </c>
      <c r="E15" s="3" t="s">
        <v>21</v>
      </c>
      <c r="F15" s="3" t="s">
        <v>96</v>
      </c>
      <c r="G15" s="3" t="s">
        <v>97</v>
      </c>
      <c r="H15" s="3" t="s">
        <v>98</v>
      </c>
      <c r="I15" s="3" t="s">
        <v>99</v>
      </c>
    </row>
    <row r="16">
      <c r="A16" s="3" t="s">
        <v>16</v>
      </c>
      <c r="B16" s="3" t="s">
        <v>100</v>
      </c>
      <c r="C16" s="3" t="s">
        <v>77</v>
      </c>
      <c r="D16" s="3" t="s">
        <v>101</v>
      </c>
      <c r="E16" s="3" t="s">
        <v>43</v>
      </c>
      <c r="F16" s="3" t="s">
        <v>22</v>
      </c>
      <c r="G16" s="3" t="s">
        <v>102</v>
      </c>
      <c r="H16" s="3" t="s">
        <v>103</v>
      </c>
      <c r="I16" s="3" t="s">
        <v>104</v>
      </c>
    </row>
    <row r="17">
      <c r="A17" s="3" t="s">
        <v>16</v>
      </c>
      <c r="B17" s="3" t="s">
        <v>105</v>
      </c>
      <c r="C17" s="3" t="s">
        <v>77</v>
      </c>
      <c r="D17" s="3" t="s">
        <v>106</v>
      </c>
      <c r="E17" s="3" t="s">
        <v>21</v>
      </c>
      <c r="F17" s="3" t="s">
        <v>22</v>
      </c>
      <c r="G17" s="3" t="s">
        <v>107</v>
      </c>
      <c r="H17" s="3" t="s">
        <v>108</v>
      </c>
      <c r="I17" s="3" t="s">
        <v>109</v>
      </c>
    </row>
    <row r="18">
      <c r="A18" s="3" t="s">
        <v>16</v>
      </c>
      <c r="B18" s="3" t="s">
        <v>110</v>
      </c>
      <c r="C18" s="3" t="s">
        <v>77</v>
      </c>
      <c r="D18" s="3" t="s">
        <v>111</v>
      </c>
      <c r="E18" s="3" t="s">
        <v>43</v>
      </c>
      <c r="F18" s="3" t="s">
        <v>96</v>
      </c>
      <c r="G18" s="3" t="s">
        <v>97</v>
      </c>
      <c r="H18" s="3" t="s">
        <v>112</v>
      </c>
      <c r="I18" s="3" t="s">
        <v>113</v>
      </c>
    </row>
    <row r="19">
      <c r="A19" s="3" t="s">
        <v>16</v>
      </c>
      <c r="B19" s="3" t="s">
        <v>114</v>
      </c>
      <c r="C19" s="3" t="s">
        <v>115</v>
      </c>
      <c r="D19" s="3" t="s">
        <v>116</v>
      </c>
      <c r="E19" s="3" t="s">
        <v>21</v>
      </c>
      <c r="F19" s="3" t="s">
        <v>96</v>
      </c>
      <c r="G19" s="3" t="s">
        <v>117</v>
      </c>
      <c r="H19" s="3" t="s">
        <v>118</v>
      </c>
      <c r="I19" s="3" t="s">
        <v>119</v>
      </c>
    </row>
    <row r="20">
      <c r="A20" s="3" t="s">
        <v>16</v>
      </c>
      <c r="B20" s="3" t="s">
        <v>120</v>
      </c>
      <c r="C20" s="3" t="s">
        <v>115</v>
      </c>
      <c r="D20" s="3" t="s">
        <v>121</v>
      </c>
      <c r="E20" s="3" t="s">
        <v>21</v>
      </c>
      <c r="F20" s="3" t="s">
        <v>96</v>
      </c>
      <c r="G20" s="3" t="s">
        <v>122</v>
      </c>
      <c r="H20" s="3" t="s">
        <v>123</v>
      </c>
      <c r="I20" s="3" t="s">
        <v>124</v>
      </c>
    </row>
    <row r="21">
      <c r="A21" s="3" t="s">
        <v>16</v>
      </c>
      <c r="B21" s="3" t="s">
        <v>125</v>
      </c>
      <c r="C21" s="3" t="s">
        <v>115</v>
      </c>
      <c r="D21" s="3" t="s">
        <v>126</v>
      </c>
      <c r="E21" s="3" t="s">
        <v>43</v>
      </c>
      <c r="F21" s="3" t="s">
        <v>96</v>
      </c>
      <c r="G21" s="3" t="s">
        <v>122</v>
      </c>
      <c r="H21" s="3" t="s">
        <v>127</v>
      </c>
      <c r="I21" s="3" t="s">
        <v>128</v>
      </c>
    </row>
    <row r="22">
      <c r="A22" s="3" t="s">
        <v>16</v>
      </c>
      <c r="B22" s="3" t="s">
        <v>129</v>
      </c>
      <c r="C22" s="3" t="s">
        <v>115</v>
      </c>
      <c r="D22" s="3" t="s">
        <v>130</v>
      </c>
      <c r="E22" s="3" t="s">
        <v>43</v>
      </c>
      <c r="F22" s="3" t="s">
        <v>96</v>
      </c>
      <c r="G22" s="3" t="s">
        <v>132</v>
      </c>
      <c r="H22" s="3" t="s">
        <v>133</v>
      </c>
      <c r="I22" s="3" t="s">
        <v>134</v>
      </c>
    </row>
    <row r="23">
      <c r="A23" s="3" t="s">
        <v>16</v>
      </c>
      <c r="B23" s="3" t="s">
        <v>135</v>
      </c>
      <c r="C23" s="3" t="s">
        <v>115</v>
      </c>
      <c r="D23" s="3" t="s">
        <v>136</v>
      </c>
      <c r="E23" s="3" t="s">
        <v>43</v>
      </c>
      <c r="F23" s="3" t="s">
        <v>96</v>
      </c>
      <c r="G23" s="3" t="s">
        <v>137</v>
      </c>
      <c r="H23" s="3" t="s">
        <v>138</v>
      </c>
      <c r="I23" s="3" t="s">
        <v>139</v>
      </c>
    </row>
    <row r="24">
      <c r="A24" s="3" t="s">
        <v>16</v>
      </c>
      <c r="B24" s="3" t="s">
        <v>140</v>
      </c>
      <c r="C24" s="3" t="s">
        <v>141</v>
      </c>
      <c r="D24" s="3" t="s">
        <v>142</v>
      </c>
      <c r="E24" s="3" t="s">
        <v>21</v>
      </c>
      <c r="F24" s="3" t="s">
        <v>96</v>
      </c>
      <c r="G24" s="3" t="s">
        <v>143</v>
      </c>
      <c r="H24" s="3" t="s">
        <v>144</v>
      </c>
      <c r="I24" s="3" t="s">
        <v>145</v>
      </c>
    </row>
    <row r="25">
      <c r="A25" s="3" t="s">
        <v>146</v>
      </c>
      <c r="B25" s="3" t="s">
        <v>147</v>
      </c>
      <c r="C25" s="3" t="s">
        <v>141</v>
      </c>
      <c r="D25" s="3" t="s">
        <v>148</v>
      </c>
      <c r="E25" s="3" t="s">
        <v>21</v>
      </c>
      <c r="F25" s="3" t="s">
        <v>96</v>
      </c>
      <c r="G25" s="3" t="s">
        <v>149</v>
      </c>
      <c r="H25" s="3" t="s">
        <v>150</v>
      </c>
      <c r="I25" s="3" t="s">
        <v>151</v>
      </c>
    </row>
    <row r="26">
      <c r="A26" s="3" t="s">
        <v>20</v>
      </c>
      <c r="B26" s="3" t="s">
        <v>152</v>
      </c>
      <c r="C26" s="3" t="s">
        <v>141</v>
      </c>
      <c r="D26" s="3" t="s">
        <v>153</v>
      </c>
      <c r="E26" s="3" t="s">
        <v>43</v>
      </c>
      <c r="F26" s="3" t="s">
        <v>96</v>
      </c>
      <c r="G26" s="3" t="s">
        <v>154</v>
      </c>
      <c r="H26" s="3" t="s">
        <v>155</v>
      </c>
      <c r="I26" s="3" t="s">
        <v>156</v>
      </c>
    </row>
    <row r="27">
      <c r="A27" s="3" t="s">
        <v>146</v>
      </c>
      <c r="B27" s="3" t="s">
        <v>157</v>
      </c>
      <c r="C27" s="3" t="s">
        <v>141</v>
      </c>
      <c r="D27" s="3" t="s">
        <v>158</v>
      </c>
      <c r="E27" s="3" t="s">
        <v>43</v>
      </c>
      <c r="F27" s="3" t="s">
        <v>96</v>
      </c>
      <c r="G27" s="3" t="s">
        <v>154</v>
      </c>
      <c r="H27" s="3" t="s">
        <v>159</v>
      </c>
      <c r="I27" s="3" t="s">
        <v>160</v>
      </c>
    </row>
    <row r="28">
      <c r="A28" s="3" t="s">
        <v>146</v>
      </c>
      <c r="B28" s="3" t="s">
        <v>161</v>
      </c>
      <c r="C28" s="3" t="s">
        <v>162</v>
      </c>
      <c r="D28" s="3" t="s">
        <v>163</v>
      </c>
      <c r="E28" s="3" t="s">
        <v>21</v>
      </c>
      <c r="F28" s="3" t="s">
        <v>96</v>
      </c>
      <c r="G28" s="3" t="s">
        <v>164</v>
      </c>
      <c r="H28" s="3" t="s">
        <v>165</v>
      </c>
      <c r="I28" s="3" t="s">
        <v>166</v>
      </c>
    </row>
    <row r="29">
      <c r="A29" s="3" t="s">
        <v>16</v>
      </c>
      <c r="B29" s="3" t="s">
        <v>167</v>
      </c>
      <c r="C29" s="3" t="s">
        <v>162</v>
      </c>
      <c r="D29" s="3" t="s">
        <v>168</v>
      </c>
      <c r="E29" s="3" t="s">
        <v>43</v>
      </c>
      <c r="F29" s="3" t="s">
        <v>96</v>
      </c>
      <c r="G29" s="3" t="s">
        <v>169</v>
      </c>
      <c r="H29" s="3" t="s">
        <v>170</v>
      </c>
      <c r="I29" s="3" t="s">
        <v>171</v>
      </c>
    </row>
    <row r="30">
      <c r="A30" s="3" t="s">
        <v>146</v>
      </c>
      <c r="B30" s="3" t="s">
        <v>172</v>
      </c>
      <c r="C30" s="3" t="s">
        <v>162</v>
      </c>
      <c r="D30" s="3" t="s">
        <v>173</v>
      </c>
      <c r="E30" s="3" t="s">
        <v>21</v>
      </c>
      <c r="F30" s="3" t="s">
        <v>96</v>
      </c>
      <c r="G30" s="3" t="s">
        <v>174</v>
      </c>
      <c r="H30" s="3" t="s">
        <v>175</v>
      </c>
      <c r="I30" s="3" t="s">
        <v>176</v>
      </c>
    </row>
    <row r="31">
      <c r="A31" s="3" t="s">
        <v>16</v>
      </c>
      <c r="B31" s="3" t="s">
        <v>177</v>
      </c>
      <c r="C31" s="3" t="s">
        <v>162</v>
      </c>
      <c r="D31" s="3" t="s">
        <v>178</v>
      </c>
      <c r="E31" s="3" t="s">
        <v>21</v>
      </c>
      <c r="F31" s="3" t="s">
        <v>96</v>
      </c>
      <c r="G31" s="3" t="s">
        <v>179</v>
      </c>
      <c r="H31" s="3" t="s">
        <v>180</v>
      </c>
      <c r="I31" s="3" t="s">
        <v>181</v>
      </c>
    </row>
    <row r="32">
      <c r="A32" s="3" t="s">
        <v>16</v>
      </c>
      <c r="B32" s="3" t="s">
        <v>182</v>
      </c>
      <c r="C32" s="3" t="s">
        <v>162</v>
      </c>
      <c r="D32" s="3" t="s">
        <v>183</v>
      </c>
      <c r="E32" s="3" t="s">
        <v>43</v>
      </c>
      <c r="F32" s="3" t="s">
        <v>96</v>
      </c>
      <c r="G32" s="3" t="s">
        <v>184</v>
      </c>
      <c r="H32" s="3" t="s">
        <v>185</v>
      </c>
      <c r="I32" s="3" t="s">
        <v>186</v>
      </c>
    </row>
    <row r="33">
      <c r="A33" s="3" t="s">
        <v>146</v>
      </c>
      <c r="B33" s="3" t="s">
        <v>187</v>
      </c>
      <c r="C33" s="3" t="s">
        <v>162</v>
      </c>
      <c r="D33" s="3" t="s">
        <v>188</v>
      </c>
      <c r="E33" s="3" t="s">
        <v>43</v>
      </c>
      <c r="F33" s="3" t="s">
        <v>96</v>
      </c>
      <c r="G33" s="3" t="s">
        <v>137</v>
      </c>
      <c r="H33" s="3" t="s">
        <v>189</v>
      </c>
      <c r="I33" s="3" t="s">
        <v>190</v>
      </c>
    </row>
    <row r="34">
      <c r="A34" s="3" t="s">
        <v>16</v>
      </c>
      <c r="B34" s="3" t="s">
        <v>191</v>
      </c>
      <c r="C34" s="3" t="s">
        <v>192</v>
      </c>
      <c r="D34" s="3" t="s">
        <v>193</v>
      </c>
      <c r="E34" s="3" t="s">
        <v>21</v>
      </c>
      <c r="F34" s="3" t="s">
        <v>22</v>
      </c>
      <c r="G34" s="3" t="s">
        <v>194</v>
      </c>
      <c r="H34" s="3" t="s">
        <v>195</v>
      </c>
      <c r="I34" s="3" t="s">
        <v>196</v>
      </c>
    </row>
    <row r="35">
      <c r="A35" s="3" t="s">
        <v>16</v>
      </c>
      <c r="B35" s="3" t="s">
        <v>197</v>
      </c>
      <c r="C35" s="3" t="s">
        <v>192</v>
      </c>
      <c r="D35" s="3" t="s">
        <v>199</v>
      </c>
      <c r="E35" s="3" t="s">
        <v>21</v>
      </c>
      <c r="F35" s="3" t="s">
        <v>22</v>
      </c>
      <c r="G35" s="3" t="s">
        <v>200</v>
      </c>
      <c r="H35" s="3" t="s">
        <v>201</v>
      </c>
      <c r="I35" s="3" t="s">
        <v>202</v>
      </c>
    </row>
    <row r="36">
      <c r="A36" s="3" t="s">
        <v>146</v>
      </c>
      <c r="B36" s="3" t="s">
        <v>203</v>
      </c>
      <c r="C36" s="3" t="s">
        <v>192</v>
      </c>
      <c r="D36" s="3" t="s">
        <v>204</v>
      </c>
      <c r="E36" s="3" t="s">
        <v>21</v>
      </c>
      <c r="F36" s="3" t="s">
        <v>205</v>
      </c>
      <c r="G36" s="3" t="s">
        <v>206</v>
      </c>
      <c r="H36" s="3" t="s">
        <v>207</v>
      </c>
      <c r="I36" s="3" t="s">
        <v>208</v>
      </c>
    </row>
    <row r="37">
      <c r="A37" s="3" t="s">
        <v>13</v>
      </c>
      <c r="B37" s="3" t="s">
        <v>209</v>
      </c>
      <c r="C37" s="3" t="s">
        <v>192</v>
      </c>
      <c r="D37" s="3" t="s">
        <v>210</v>
      </c>
      <c r="E37" s="3" t="s">
        <v>21</v>
      </c>
      <c r="F37" s="3" t="s">
        <v>85</v>
      </c>
      <c r="G37" s="3" t="s">
        <v>211</v>
      </c>
      <c r="H37" s="3" t="s">
        <v>212</v>
      </c>
      <c r="I37" s="3" t="s">
        <v>213</v>
      </c>
    </row>
    <row r="38">
      <c r="A38" s="3" t="s">
        <v>13</v>
      </c>
      <c r="B38" s="3" t="s">
        <v>214</v>
      </c>
      <c r="C38" s="3" t="s">
        <v>192</v>
      </c>
      <c r="D38" s="3" t="s">
        <v>215</v>
      </c>
      <c r="E38" s="3" t="s">
        <v>21</v>
      </c>
      <c r="F38" s="3" t="s">
        <v>216</v>
      </c>
      <c r="G38" s="3" t="s">
        <v>217</v>
      </c>
      <c r="H38" s="3" t="s">
        <v>212</v>
      </c>
      <c r="I38" s="3" t="s">
        <v>218</v>
      </c>
    </row>
    <row r="39">
      <c r="A39" s="3" t="s">
        <v>13</v>
      </c>
      <c r="B39" s="3" t="s">
        <v>219</v>
      </c>
      <c r="C39" s="3" t="s">
        <v>192</v>
      </c>
      <c r="D39" s="3" t="s">
        <v>220</v>
      </c>
      <c r="E39" s="3" t="s">
        <v>21</v>
      </c>
      <c r="F39" s="3" t="s">
        <v>221</v>
      </c>
      <c r="G39" s="3" t="s">
        <v>222</v>
      </c>
      <c r="H39" s="3" t="s">
        <v>223</v>
      </c>
      <c r="I39" s="3" t="s">
        <v>224</v>
      </c>
    </row>
    <row r="40">
      <c r="A40" s="3" t="s">
        <v>13</v>
      </c>
      <c r="B40" s="3" t="s">
        <v>225</v>
      </c>
      <c r="C40" s="3" t="s">
        <v>192</v>
      </c>
      <c r="D40" s="3" t="s">
        <v>226</v>
      </c>
      <c r="E40" s="3" t="s">
        <v>43</v>
      </c>
      <c r="F40" s="3" t="s">
        <v>221</v>
      </c>
      <c r="G40" s="3" t="s">
        <v>227</v>
      </c>
      <c r="H40" s="3" t="s">
        <v>228</v>
      </c>
      <c r="I40" s="3" t="s">
        <v>229</v>
      </c>
    </row>
    <row r="41">
      <c r="A41" s="3" t="s">
        <v>13</v>
      </c>
      <c r="B41" s="3" t="s">
        <v>230</v>
      </c>
      <c r="C41" s="3" t="s">
        <v>192</v>
      </c>
      <c r="D41" s="3" t="s">
        <v>231</v>
      </c>
      <c r="E41" s="3" t="s">
        <v>21</v>
      </c>
      <c r="F41" s="3" t="s">
        <v>221</v>
      </c>
      <c r="G41" s="3" t="s">
        <v>232</v>
      </c>
      <c r="H41" s="3" t="s">
        <v>233</v>
      </c>
      <c r="I41" s="3" t="s">
        <v>234</v>
      </c>
    </row>
    <row r="42">
      <c r="A42" s="3" t="s">
        <v>13</v>
      </c>
      <c r="B42" s="3" t="s">
        <v>235</v>
      </c>
      <c r="C42" s="3" t="s">
        <v>192</v>
      </c>
      <c r="D42" s="3" t="s">
        <v>236</v>
      </c>
      <c r="E42" s="3" t="s">
        <v>21</v>
      </c>
      <c r="F42" s="3" t="s">
        <v>237</v>
      </c>
      <c r="G42" s="3" t="s">
        <v>238</v>
      </c>
      <c r="H42" s="3" t="s">
        <v>239</v>
      </c>
      <c r="I42" s="3" t="s">
        <v>240</v>
      </c>
    </row>
    <row r="43">
      <c r="A43" s="3" t="s">
        <v>13</v>
      </c>
      <c r="B43" s="3" t="s">
        <v>241</v>
      </c>
      <c r="C43" s="3" t="s">
        <v>192</v>
      </c>
      <c r="D43" s="3" t="s">
        <v>242</v>
      </c>
      <c r="E43" s="3" t="s">
        <v>21</v>
      </c>
      <c r="F43" s="3" t="s">
        <v>237</v>
      </c>
      <c r="G43" s="3" t="s">
        <v>238</v>
      </c>
      <c r="H43" s="3" t="s">
        <v>243</v>
      </c>
      <c r="I43" s="3" t="s">
        <v>244</v>
      </c>
    </row>
    <row r="44">
      <c r="A44" s="3" t="s">
        <v>13</v>
      </c>
      <c r="B44" s="3" t="s">
        <v>245</v>
      </c>
      <c r="C44" s="3" t="s">
        <v>192</v>
      </c>
      <c r="D44" s="3" t="s">
        <v>246</v>
      </c>
      <c r="E44" s="3" t="s">
        <v>21</v>
      </c>
      <c r="F44" s="3" t="s">
        <v>247</v>
      </c>
      <c r="G44" s="3" t="s">
        <v>248</v>
      </c>
      <c r="H44" s="3" t="s">
        <v>249</v>
      </c>
      <c r="I44" s="3" t="s">
        <v>250</v>
      </c>
    </row>
    <row r="45">
      <c r="A45" s="3" t="s">
        <v>13</v>
      </c>
      <c r="B45" s="3" t="s">
        <v>251</v>
      </c>
      <c r="C45" s="3" t="s">
        <v>192</v>
      </c>
      <c r="D45" s="3" t="s">
        <v>252</v>
      </c>
      <c r="E45" s="3" t="s">
        <v>43</v>
      </c>
      <c r="F45" s="3" t="s">
        <v>247</v>
      </c>
      <c r="G45" s="3" t="s">
        <v>253</v>
      </c>
      <c r="H45" s="3" t="s">
        <v>254</v>
      </c>
      <c r="I45" s="3" t="s">
        <v>255</v>
      </c>
    </row>
    <row r="46">
      <c r="A46" s="3" t="s">
        <v>13</v>
      </c>
      <c r="B46" s="3" t="s">
        <v>256</v>
      </c>
      <c r="C46" s="3" t="s">
        <v>192</v>
      </c>
      <c r="D46" s="3" t="s">
        <v>257</v>
      </c>
      <c r="E46" s="3" t="s">
        <v>43</v>
      </c>
      <c r="F46" s="3" t="s">
        <v>258</v>
      </c>
      <c r="G46" s="3" t="s">
        <v>253</v>
      </c>
      <c r="H46" s="3" t="s">
        <v>259</v>
      </c>
      <c r="I46" s="3" t="s">
        <v>260</v>
      </c>
    </row>
    <row r="47">
      <c r="A47" s="3" t="s">
        <v>13</v>
      </c>
      <c r="B47" s="3" t="s">
        <v>261</v>
      </c>
      <c r="C47" s="3" t="s">
        <v>192</v>
      </c>
      <c r="D47" s="3" t="s">
        <v>262</v>
      </c>
      <c r="E47" s="3" t="s">
        <v>43</v>
      </c>
      <c r="F47" s="3" t="s">
        <v>258</v>
      </c>
      <c r="G47" s="3" t="s">
        <v>263</v>
      </c>
      <c r="H47" s="3" t="s">
        <v>264</v>
      </c>
      <c r="I47" s="3" t="s">
        <v>265</v>
      </c>
    </row>
    <row r="48">
      <c r="A48" s="3" t="s">
        <v>13</v>
      </c>
      <c r="B48" s="3" t="s">
        <v>266</v>
      </c>
      <c r="C48" s="3" t="s">
        <v>192</v>
      </c>
      <c r="D48" s="3" t="s">
        <v>267</v>
      </c>
      <c r="E48" s="3" t="s">
        <v>21</v>
      </c>
      <c r="F48" s="3" t="s">
        <v>237</v>
      </c>
      <c r="G48" s="3" t="s">
        <v>269</v>
      </c>
      <c r="H48" s="3" t="s">
        <v>270</v>
      </c>
      <c r="I48" s="3" t="s">
        <v>271</v>
      </c>
    </row>
    <row r="49">
      <c r="A49" s="3" t="s">
        <v>13</v>
      </c>
      <c r="B49" s="3" t="s">
        <v>272</v>
      </c>
      <c r="C49" s="3" t="s">
        <v>192</v>
      </c>
      <c r="D49" s="3" t="s">
        <v>273</v>
      </c>
      <c r="E49" s="3" t="s">
        <v>21</v>
      </c>
      <c r="F49" s="3" t="s">
        <v>247</v>
      </c>
      <c r="G49" s="3" t="s">
        <v>274</v>
      </c>
      <c r="H49" s="3" t="s">
        <v>275</v>
      </c>
      <c r="I49" s="3" t="s">
        <v>276</v>
      </c>
    </row>
    <row r="50">
      <c r="A50" s="3" t="s">
        <v>13</v>
      </c>
      <c r="B50" s="3" t="s">
        <v>277</v>
      </c>
      <c r="C50" s="3" t="s">
        <v>192</v>
      </c>
      <c r="D50" s="3" t="s">
        <v>278</v>
      </c>
      <c r="E50" s="3" t="s">
        <v>21</v>
      </c>
      <c r="F50" s="3" t="s">
        <v>279</v>
      </c>
      <c r="G50" s="3" t="s">
        <v>274</v>
      </c>
      <c r="H50" s="3" t="s">
        <v>280</v>
      </c>
      <c r="I50" s="3" t="s">
        <v>281</v>
      </c>
    </row>
    <row r="51">
      <c r="A51" s="3" t="s">
        <v>13</v>
      </c>
      <c r="B51" s="3" t="s">
        <v>282</v>
      </c>
      <c r="C51" s="3" t="s">
        <v>283</v>
      </c>
      <c r="D51" s="3" t="s">
        <v>284</v>
      </c>
      <c r="E51" s="3" t="s">
        <v>21</v>
      </c>
      <c r="F51" s="3" t="s">
        <v>85</v>
      </c>
      <c r="G51" s="3" t="s">
        <v>285</v>
      </c>
      <c r="H51" s="3" t="s">
        <v>286</v>
      </c>
      <c r="I51" s="3" t="s">
        <v>287</v>
      </c>
    </row>
    <row r="52">
      <c r="A52" s="3" t="s">
        <v>13</v>
      </c>
      <c r="B52" s="3" t="s">
        <v>290</v>
      </c>
      <c r="C52" s="3" t="s">
        <v>283</v>
      </c>
      <c r="D52" s="3" t="s">
        <v>293</v>
      </c>
      <c r="E52" s="3" t="s">
        <v>21</v>
      </c>
      <c r="F52" s="3" t="s">
        <v>216</v>
      </c>
      <c r="G52" s="3" t="s">
        <v>294</v>
      </c>
      <c r="H52" s="3" t="s">
        <v>291</v>
      </c>
      <c r="I52" s="3" t="s">
        <v>292</v>
      </c>
    </row>
    <row r="53">
      <c r="A53" s="3" t="s">
        <v>13</v>
      </c>
      <c r="B53" s="3" t="s">
        <v>295</v>
      </c>
      <c r="C53" s="3" t="s">
        <v>283</v>
      </c>
      <c r="D53" s="3" t="s">
        <v>298</v>
      </c>
      <c r="E53" s="3" t="s">
        <v>21</v>
      </c>
      <c r="F53" s="3" t="s">
        <v>216</v>
      </c>
      <c r="G53" s="3" t="s">
        <v>299</v>
      </c>
      <c r="H53" s="3" t="s">
        <v>296</v>
      </c>
      <c r="I53" s="3" t="s">
        <v>297</v>
      </c>
    </row>
    <row r="54">
      <c r="A54" s="3" t="s">
        <v>13</v>
      </c>
      <c r="B54" s="3" t="s">
        <v>300</v>
      </c>
      <c r="C54" s="3" t="s">
        <v>283</v>
      </c>
      <c r="D54" s="3" t="s">
        <v>303</v>
      </c>
      <c r="E54" s="3" t="s">
        <v>21</v>
      </c>
      <c r="F54" s="3" t="s">
        <v>216</v>
      </c>
      <c r="G54" s="3" t="s">
        <v>304</v>
      </c>
      <c r="H54" s="3" t="s">
        <v>301</v>
      </c>
      <c r="I54" s="3" t="s">
        <v>302</v>
      </c>
    </row>
    <row r="55">
      <c r="A55" s="3" t="s">
        <v>13</v>
      </c>
      <c r="B55" s="3" t="s">
        <v>305</v>
      </c>
      <c r="C55" s="3" t="s">
        <v>283</v>
      </c>
      <c r="D55" s="3" t="s">
        <v>308</v>
      </c>
      <c r="E55" s="3" t="s">
        <v>43</v>
      </c>
      <c r="F55" s="3" t="s">
        <v>309</v>
      </c>
      <c r="G55" s="3" t="s">
        <v>310</v>
      </c>
      <c r="H55" s="3" t="s">
        <v>306</v>
      </c>
      <c r="I55" s="3" t="s">
        <v>307</v>
      </c>
    </row>
    <row r="56">
      <c r="A56" s="3" t="s">
        <v>13</v>
      </c>
      <c r="B56" s="3" t="s">
        <v>311</v>
      </c>
      <c r="C56" s="3" t="s">
        <v>283</v>
      </c>
      <c r="D56" s="3" t="s">
        <v>314</v>
      </c>
      <c r="E56" s="3" t="s">
        <v>21</v>
      </c>
      <c r="F56" s="3" t="s">
        <v>216</v>
      </c>
      <c r="G56" s="3" t="s">
        <v>315</v>
      </c>
      <c r="H56" s="3" t="s">
        <v>312</v>
      </c>
      <c r="I56" s="3" t="s">
        <v>313</v>
      </c>
    </row>
    <row r="57">
      <c r="A57" s="3" t="s">
        <v>13</v>
      </c>
      <c r="B57" s="3" t="s">
        <v>316</v>
      </c>
      <c r="C57" s="3" t="s">
        <v>283</v>
      </c>
      <c r="D57" s="3" t="s">
        <v>320</v>
      </c>
      <c r="E57" s="3" t="s">
        <v>21</v>
      </c>
      <c r="F57" s="3" t="s">
        <v>237</v>
      </c>
      <c r="G57" s="3" t="s">
        <v>321</v>
      </c>
      <c r="H57" s="3" t="s">
        <v>317</v>
      </c>
      <c r="I57" s="3" t="s">
        <v>318</v>
      </c>
    </row>
    <row r="58">
      <c r="A58" s="3" t="s">
        <v>13</v>
      </c>
      <c r="B58" s="3" t="s">
        <v>322</v>
      </c>
      <c r="C58" s="3" t="s">
        <v>283</v>
      </c>
      <c r="D58" s="3" t="s">
        <v>325</v>
      </c>
      <c r="E58" s="3" t="s">
        <v>21</v>
      </c>
      <c r="F58" s="3" t="s">
        <v>279</v>
      </c>
      <c r="G58" s="3" t="s">
        <v>321</v>
      </c>
      <c r="H58" s="3" t="s">
        <v>323</v>
      </c>
      <c r="I58" s="3" t="s">
        <v>324</v>
      </c>
    </row>
    <row r="59">
      <c r="A59" s="3" t="s">
        <v>13</v>
      </c>
      <c r="B59" s="3" t="s">
        <v>326</v>
      </c>
      <c r="C59" s="3" t="s">
        <v>283</v>
      </c>
      <c r="D59" s="3" t="s">
        <v>329</v>
      </c>
      <c r="E59" s="3" t="s">
        <v>21</v>
      </c>
      <c r="F59" s="3" t="s">
        <v>237</v>
      </c>
      <c r="G59" s="3" t="s">
        <v>330</v>
      </c>
      <c r="H59" s="3" t="s">
        <v>327</v>
      </c>
      <c r="I59" s="3" t="s">
        <v>328</v>
      </c>
    </row>
    <row r="60">
      <c r="A60" s="3" t="s">
        <v>13</v>
      </c>
      <c r="B60" s="3" t="s">
        <v>331</v>
      </c>
      <c r="C60" s="3" t="s">
        <v>283</v>
      </c>
      <c r="D60" s="3" t="s">
        <v>334</v>
      </c>
      <c r="E60" s="3" t="s">
        <v>43</v>
      </c>
      <c r="F60" s="3" t="s">
        <v>237</v>
      </c>
      <c r="G60" s="3" t="s">
        <v>330</v>
      </c>
      <c r="H60" s="3" t="s">
        <v>332</v>
      </c>
      <c r="I60" s="3" t="s">
        <v>333</v>
      </c>
    </row>
    <row r="61">
      <c r="A61" s="3" t="s">
        <v>13</v>
      </c>
      <c r="B61" s="3" t="s">
        <v>335</v>
      </c>
      <c r="C61" s="3" t="s">
        <v>283</v>
      </c>
      <c r="D61" s="3" t="s">
        <v>338</v>
      </c>
      <c r="E61" s="3" t="s">
        <v>43</v>
      </c>
      <c r="F61" s="3" t="s">
        <v>216</v>
      </c>
      <c r="G61" s="3" t="s">
        <v>340</v>
      </c>
      <c r="H61" s="3" t="s">
        <v>336</v>
      </c>
      <c r="I61" s="3" t="s">
        <v>337</v>
      </c>
    </row>
    <row r="62">
      <c r="A62" s="3" t="s">
        <v>13</v>
      </c>
      <c r="B62" s="3" t="s">
        <v>341</v>
      </c>
      <c r="C62" s="3" t="s">
        <v>342</v>
      </c>
      <c r="D62" s="3" t="s">
        <v>345</v>
      </c>
      <c r="E62" s="3" t="s">
        <v>21</v>
      </c>
      <c r="F62" s="3" t="s">
        <v>346</v>
      </c>
      <c r="G62" s="3" t="s">
        <v>347</v>
      </c>
      <c r="H62" s="3" t="s">
        <v>343</v>
      </c>
      <c r="I62" s="3" t="s">
        <v>344</v>
      </c>
    </row>
    <row r="63">
      <c r="A63" s="3" t="s">
        <v>13</v>
      </c>
      <c r="B63" s="3" t="s">
        <v>348</v>
      </c>
      <c r="C63" s="3" t="s">
        <v>342</v>
      </c>
      <c r="D63" s="3" t="s">
        <v>351</v>
      </c>
      <c r="E63" s="3" t="s">
        <v>21</v>
      </c>
      <c r="F63" s="3" t="s">
        <v>247</v>
      </c>
      <c r="G63" s="3" t="s">
        <v>352</v>
      </c>
      <c r="H63" s="3" t="s">
        <v>349</v>
      </c>
      <c r="I63" s="3" t="s">
        <v>350</v>
      </c>
    </row>
    <row r="64">
      <c r="A64" s="3" t="s">
        <v>13</v>
      </c>
      <c r="B64" s="3" t="s">
        <v>353</v>
      </c>
      <c r="C64" s="3" t="s">
        <v>342</v>
      </c>
      <c r="D64" s="3" t="s">
        <v>356</v>
      </c>
      <c r="E64" s="3" t="s">
        <v>43</v>
      </c>
      <c r="F64" s="3" t="s">
        <v>247</v>
      </c>
      <c r="G64" s="3" t="s">
        <v>357</v>
      </c>
      <c r="H64" s="3" t="s">
        <v>354</v>
      </c>
      <c r="I64" s="3" t="s">
        <v>355</v>
      </c>
    </row>
    <row r="65">
      <c r="A65" s="3" t="s">
        <v>13</v>
      </c>
      <c r="B65" s="3" t="s">
        <v>358</v>
      </c>
      <c r="C65" s="3" t="s">
        <v>342</v>
      </c>
      <c r="D65" s="3" t="s">
        <v>361</v>
      </c>
      <c r="E65" s="3" t="s">
        <v>21</v>
      </c>
      <c r="F65" s="3" t="s">
        <v>247</v>
      </c>
      <c r="G65" s="3" t="s">
        <v>362</v>
      </c>
      <c r="H65" s="3" t="s">
        <v>359</v>
      </c>
      <c r="I65" s="3" t="s">
        <v>360</v>
      </c>
    </row>
    <row r="66">
      <c r="A66" s="3" t="s">
        <v>13</v>
      </c>
      <c r="B66" s="3" t="s">
        <v>363</v>
      </c>
      <c r="C66" s="3" t="s">
        <v>342</v>
      </c>
      <c r="D66" s="3" t="s">
        <v>366</v>
      </c>
      <c r="E66" s="3" t="s">
        <v>21</v>
      </c>
      <c r="F66" s="3" t="s">
        <v>247</v>
      </c>
      <c r="G66" s="3" t="s">
        <v>367</v>
      </c>
      <c r="H66" s="3" t="s">
        <v>364</v>
      </c>
      <c r="I66" s="3" t="s">
        <v>365</v>
      </c>
    </row>
    <row r="67">
      <c r="A67" s="3" t="s">
        <v>13</v>
      </c>
      <c r="B67" s="3" t="s">
        <v>369</v>
      </c>
      <c r="C67" s="3" t="s">
        <v>342</v>
      </c>
      <c r="D67" s="3" t="s">
        <v>372</v>
      </c>
      <c r="E67" s="3" t="s">
        <v>21</v>
      </c>
      <c r="F67" s="3" t="s">
        <v>373</v>
      </c>
      <c r="G67" s="3" t="s">
        <v>374</v>
      </c>
      <c r="H67" s="3" t="s">
        <v>370</v>
      </c>
      <c r="I67" s="3" t="s">
        <v>371</v>
      </c>
    </row>
    <row r="68">
      <c r="A68" s="3" t="s">
        <v>13</v>
      </c>
      <c r="B68" s="3" t="s">
        <v>375</v>
      </c>
      <c r="C68" s="3" t="s">
        <v>376</v>
      </c>
      <c r="D68" s="3" t="s">
        <v>379</v>
      </c>
      <c r="E68" s="3" t="s">
        <v>21</v>
      </c>
      <c r="F68" s="3" t="s">
        <v>380</v>
      </c>
      <c r="G68" s="3" t="s">
        <v>381</v>
      </c>
      <c r="H68" s="3" t="s">
        <v>377</v>
      </c>
      <c r="I68" s="3" t="s">
        <v>378</v>
      </c>
    </row>
    <row r="69">
      <c r="A69" s="3" t="s">
        <v>13</v>
      </c>
      <c r="B69" s="3" t="s">
        <v>382</v>
      </c>
      <c r="C69" s="3" t="s">
        <v>376</v>
      </c>
      <c r="D69" s="3" t="s">
        <v>385</v>
      </c>
      <c r="E69" s="3" t="s">
        <v>21</v>
      </c>
      <c r="F69" s="3" t="s">
        <v>96</v>
      </c>
      <c r="G69" s="3" t="s">
        <v>386</v>
      </c>
      <c r="H69" s="3" t="s">
        <v>383</v>
      </c>
      <c r="I69" s="3" t="s">
        <v>384</v>
      </c>
    </row>
    <row r="70">
      <c r="A70" s="3" t="s">
        <v>13</v>
      </c>
      <c r="B70" s="3" t="s">
        <v>387</v>
      </c>
      <c r="C70" s="3" t="s">
        <v>376</v>
      </c>
      <c r="D70" s="3" t="s">
        <v>390</v>
      </c>
      <c r="E70" s="3" t="s">
        <v>21</v>
      </c>
      <c r="F70" s="3" t="s">
        <v>96</v>
      </c>
      <c r="G70" s="3" t="s">
        <v>386</v>
      </c>
      <c r="H70" s="3" t="s">
        <v>388</v>
      </c>
      <c r="I70" s="3" t="s">
        <v>389</v>
      </c>
    </row>
    <row r="71">
      <c r="A71" s="3" t="s">
        <v>13</v>
      </c>
      <c r="B71" s="3" t="s">
        <v>391</v>
      </c>
      <c r="C71" s="3" t="s">
        <v>376</v>
      </c>
      <c r="D71" s="3" t="s">
        <v>394</v>
      </c>
      <c r="E71" s="3" t="s">
        <v>21</v>
      </c>
      <c r="F71" s="3" t="s">
        <v>96</v>
      </c>
      <c r="G71" s="3" t="s">
        <v>386</v>
      </c>
      <c r="H71" s="3" t="s">
        <v>392</v>
      </c>
      <c r="I71" s="3" t="s">
        <v>393</v>
      </c>
    </row>
    <row r="72">
      <c r="A72" s="3" t="s">
        <v>13</v>
      </c>
      <c r="B72" s="3" t="s">
        <v>395</v>
      </c>
      <c r="C72" s="3" t="s">
        <v>376</v>
      </c>
      <c r="D72" s="3" t="s">
        <v>398</v>
      </c>
      <c r="E72" s="3" t="s">
        <v>21</v>
      </c>
      <c r="F72" s="3" t="s">
        <v>96</v>
      </c>
      <c r="G72" s="3" t="s">
        <v>386</v>
      </c>
      <c r="H72" s="3" t="s">
        <v>396</v>
      </c>
      <c r="I72" s="3" t="s">
        <v>397</v>
      </c>
    </row>
    <row r="73">
      <c r="A73" s="3" t="s">
        <v>13</v>
      </c>
      <c r="B73" s="3" t="s">
        <v>399</v>
      </c>
      <c r="C73" s="3" t="s">
        <v>376</v>
      </c>
      <c r="D73" s="3" t="s">
        <v>402</v>
      </c>
      <c r="E73" s="3" t="s">
        <v>21</v>
      </c>
      <c r="F73" s="3" t="s">
        <v>96</v>
      </c>
      <c r="G73" s="3" t="s">
        <v>403</v>
      </c>
      <c r="H73" s="3" t="s">
        <v>400</v>
      </c>
      <c r="I73" s="3" t="s">
        <v>401</v>
      </c>
    </row>
    <row r="74">
      <c r="A74" s="3" t="s">
        <v>13</v>
      </c>
      <c r="B74" s="3" t="s">
        <v>404</v>
      </c>
      <c r="C74" s="3" t="s">
        <v>376</v>
      </c>
      <c r="D74" s="3" t="s">
        <v>407</v>
      </c>
      <c r="E74" s="3" t="s">
        <v>21</v>
      </c>
      <c r="F74" s="3" t="s">
        <v>96</v>
      </c>
      <c r="G74" s="3" t="s">
        <v>403</v>
      </c>
      <c r="H74" s="3" t="s">
        <v>405</v>
      </c>
      <c r="I74" s="3" t="s">
        <v>406</v>
      </c>
    </row>
    <row r="75">
      <c r="A75" s="3" t="s">
        <v>13</v>
      </c>
      <c r="B75" s="3" t="s">
        <v>408</v>
      </c>
      <c r="C75" s="3" t="s">
        <v>376</v>
      </c>
      <c r="D75" s="3" t="s">
        <v>411</v>
      </c>
      <c r="E75" s="3" t="s">
        <v>21</v>
      </c>
      <c r="F75" s="3" t="s">
        <v>412</v>
      </c>
      <c r="G75" s="3" t="s">
        <v>413</v>
      </c>
      <c r="H75" s="3" t="s">
        <v>409</v>
      </c>
      <c r="I75" s="3" t="s">
        <v>410</v>
      </c>
    </row>
    <row r="76">
      <c r="A76" s="3" t="s">
        <v>13</v>
      </c>
      <c r="B76" s="3" t="s">
        <v>414</v>
      </c>
      <c r="C76" s="3" t="s">
        <v>376</v>
      </c>
      <c r="D76" s="3" t="s">
        <v>417</v>
      </c>
      <c r="E76" s="3" t="s">
        <v>21</v>
      </c>
      <c r="F76" s="3" t="s">
        <v>412</v>
      </c>
      <c r="G76" s="3" t="s">
        <v>418</v>
      </c>
      <c r="H76" s="3" t="s">
        <v>415</v>
      </c>
      <c r="I76" s="3" t="s">
        <v>416</v>
      </c>
    </row>
    <row r="77">
      <c r="A77" s="3" t="s">
        <v>13</v>
      </c>
      <c r="B77" s="3" t="s">
        <v>419</v>
      </c>
      <c r="C77" s="3" t="s">
        <v>376</v>
      </c>
      <c r="D77" s="3" t="s">
        <v>422</v>
      </c>
      <c r="E77" s="3" t="s">
        <v>21</v>
      </c>
      <c r="F77" s="3" t="s">
        <v>412</v>
      </c>
      <c r="G77" s="3" t="s">
        <v>423</v>
      </c>
      <c r="H77" s="3" t="s">
        <v>420</v>
      </c>
      <c r="I77" s="3" t="s">
        <v>421</v>
      </c>
    </row>
    <row r="78">
      <c r="A78" s="3" t="s">
        <v>13</v>
      </c>
      <c r="B78" s="3" t="s">
        <v>424</v>
      </c>
      <c r="C78" s="3" t="s">
        <v>376</v>
      </c>
      <c r="D78" s="3" t="s">
        <v>427</v>
      </c>
      <c r="E78" s="3" t="s">
        <v>21</v>
      </c>
      <c r="F78" s="3" t="s">
        <v>412</v>
      </c>
      <c r="G78" s="3" t="s">
        <v>428</v>
      </c>
      <c r="H78" s="3" t="s">
        <v>425</v>
      </c>
      <c r="I78" s="3" t="s">
        <v>426</v>
      </c>
    </row>
    <row r="79">
      <c r="A79" s="3" t="s">
        <v>13</v>
      </c>
      <c r="B79" s="3" t="s">
        <v>429</v>
      </c>
      <c r="C79" s="3" t="s">
        <v>376</v>
      </c>
      <c r="D79" s="3" t="s">
        <v>432</v>
      </c>
      <c r="E79" s="3" t="s">
        <v>21</v>
      </c>
      <c r="F79" s="3" t="s">
        <v>412</v>
      </c>
      <c r="G79" s="3" t="s">
        <v>433</v>
      </c>
      <c r="H79" s="3" t="s">
        <v>430</v>
      </c>
      <c r="I79" s="3" t="s">
        <v>431</v>
      </c>
    </row>
    <row r="80">
      <c r="A80" s="3" t="s">
        <v>13</v>
      </c>
      <c r="B80" s="3" t="s">
        <v>434</v>
      </c>
      <c r="C80" s="3" t="s">
        <v>376</v>
      </c>
      <c r="D80" s="3" t="s">
        <v>437</v>
      </c>
      <c r="E80" s="3" t="s">
        <v>21</v>
      </c>
      <c r="F80" s="3" t="s">
        <v>438</v>
      </c>
      <c r="G80" s="3" t="s">
        <v>439</v>
      </c>
      <c r="H80" s="3" t="s">
        <v>435</v>
      </c>
      <c r="I80" s="3" t="s">
        <v>436</v>
      </c>
    </row>
    <row r="81">
      <c r="A81" s="3" t="s">
        <v>13</v>
      </c>
      <c r="B81" s="3" t="s">
        <v>440</v>
      </c>
      <c r="C81" s="3" t="s">
        <v>376</v>
      </c>
      <c r="D81" s="3" t="s">
        <v>443</v>
      </c>
      <c r="E81" s="3" t="s">
        <v>21</v>
      </c>
      <c r="F81" s="3" t="s">
        <v>438</v>
      </c>
      <c r="G81" s="3" t="s">
        <v>444</v>
      </c>
      <c r="H81" s="3" t="s">
        <v>441</v>
      </c>
      <c r="I81" s="3" t="s">
        <v>442</v>
      </c>
    </row>
    <row r="82">
      <c r="A82" s="3" t="s">
        <v>13</v>
      </c>
      <c r="B82" s="3" t="s">
        <v>445</v>
      </c>
      <c r="C82" s="3" t="s">
        <v>376</v>
      </c>
      <c r="D82" s="3" t="s">
        <v>448</v>
      </c>
      <c r="E82" s="3" t="s">
        <v>21</v>
      </c>
      <c r="F82" s="3" t="s">
        <v>438</v>
      </c>
      <c r="G82" s="3" t="s">
        <v>449</v>
      </c>
      <c r="H82" s="3" t="s">
        <v>446</v>
      </c>
      <c r="I82" s="3" t="s">
        <v>447</v>
      </c>
    </row>
    <row r="83">
      <c r="A83" s="3" t="s">
        <v>13</v>
      </c>
      <c r="B83" s="3" t="s">
        <v>450</v>
      </c>
      <c r="C83" s="3" t="s">
        <v>376</v>
      </c>
      <c r="D83" s="3" t="s">
        <v>453</v>
      </c>
      <c r="E83" s="3" t="s">
        <v>43</v>
      </c>
      <c r="F83" s="3" t="s">
        <v>438</v>
      </c>
      <c r="G83" s="3" t="s">
        <v>449</v>
      </c>
      <c r="H83" s="3" t="s">
        <v>451</v>
      </c>
      <c r="I83" s="3" t="s">
        <v>452</v>
      </c>
    </row>
    <row r="84">
      <c r="A84" s="3" t="s">
        <v>13</v>
      </c>
      <c r="B84" s="3" t="s">
        <v>454</v>
      </c>
      <c r="C84" s="3" t="s">
        <v>376</v>
      </c>
      <c r="D84" s="3" t="s">
        <v>457</v>
      </c>
      <c r="E84" s="3" t="s">
        <v>43</v>
      </c>
      <c r="F84" s="3" t="s">
        <v>438</v>
      </c>
      <c r="G84" s="3" t="s">
        <v>458</v>
      </c>
      <c r="H84" s="3" t="s">
        <v>455</v>
      </c>
      <c r="I84" s="3" t="s">
        <v>456</v>
      </c>
    </row>
    <row r="85">
      <c r="A85" s="3" t="s">
        <v>13</v>
      </c>
      <c r="B85" s="3" t="s">
        <v>460</v>
      </c>
      <c r="C85" s="3" t="s">
        <v>461</v>
      </c>
      <c r="D85" s="3" t="s">
        <v>464</v>
      </c>
      <c r="E85" s="3" t="s">
        <v>21</v>
      </c>
      <c r="F85" s="3" t="s">
        <v>465</v>
      </c>
      <c r="G85" s="3" t="s">
        <v>466</v>
      </c>
      <c r="H85" s="3" t="s">
        <v>462</v>
      </c>
      <c r="I85" s="3" t="s">
        <v>463</v>
      </c>
    </row>
    <row r="86">
      <c r="A86" s="3" t="s">
        <v>13</v>
      </c>
      <c r="B86" s="3" t="s">
        <v>467</v>
      </c>
      <c r="C86" s="3" t="s">
        <v>461</v>
      </c>
      <c r="D86" s="3" t="s">
        <v>470</v>
      </c>
      <c r="E86" s="3" t="s">
        <v>21</v>
      </c>
      <c r="F86" s="3" t="s">
        <v>465</v>
      </c>
      <c r="G86" s="3" t="s">
        <v>466</v>
      </c>
      <c r="H86" s="3" t="s">
        <v>468</v>
      </c>
      <c r="I86" s="3" t="s">
        <v>469</v>
      </c>
    </row>
    <row r="87">
      <c r="A87" s="3" t="s">
        <v>13</v>
      </c>
      <c r="B87" s="3" t="s">
        <v>472</v>
      </c>
      <c r="C87" s="3" t="s">
        <v>461</v>
      </c>
      <c r="D87" s="3" t="s">
        <v>475</v>
      </c>
      <c r="E87" s="3" t="s">
        <v>21</v>
      </c>
      <c r="F87" s="3" t="s">
        <v>465</v>
      </c>
      <c r="G87" s="3" t="s">
        <v>466</v>
      </c>
      <c r="H87" s="3" t="s">
        <v>473</v>
      </c>
      <c r="I87" s="3" t="s">
        <v>474</v>
      </c>
    </row>
    <row r="88">
      <c r="A88" s="3" t="s">
        <v>13</v>
      </c>
      <c r="B88" s="3" t="s">
        <v>476</v>
      </c>
      <c r="C88" s="3" t="s">
        <v>461</v>
      </c>
      <c r="D88" s="3" t="s">
        <v>479</v>
      </c>
      <c r="E88" s="3" t="s">
        <v>21</v>
      </c>
      <c r="F88" s="3" t="s">
        <v>465</v>
      </c>
      <c r="G88" s="3" t="s">
        <v>466</v>
      </c>
      <c r="H88" s="3" t="s">
        <v>477</v>
      </c>
      <c r="I88" s="3" t="s">
        <v>478</v>
      </c>
    </row>
    <row r="89">
      <c r="A89" s="3" t="s">
        <v>13</v>
      </c>
      <c r="B89" s="3" t="s">
        <v>480</v>
      </c>
      <c r="C89" s="3" t="s">
        <v>461</v>
      </c>
      <c r="D89" s="3" t="s">
        <v>483</v>
      </c>
      <c r="E89" s="3" t="s">
        <v>21</v>
      </c>
      <c r="F89" s="3" t="s">
        <v>465</v>
      </c>
      <c r="G89" s="3" t="s">
        <v>466</v>
      </c>
      <c r="H89" s="3" t="s">
        <v>481</v>
      </c>
      <c r="I89" s="3" t="s">
        <v>482</v>
      </c>
    </row>
    <row r="90">
      <c r="A90" s="3" t="s">
        <v>13</v>
      </c>
      <c r="B90" s="3" t="s">
        <v>484</v>
      </c>
      <c r="C90" s="3" t="s">
        <v>461</v>
      </c>
      <c r="D90" s="3" t="s">
        <v>487</v>
      </c>
      <c r="E90" s="3" t="s">
        <v>21</v>
      </c>
      <c r="F90" s="3" t="s">
        <v>465</v>
      </c>
      <c r="G90" s="3" t="s">
        <v>466</v>
      </c>
      <c r="H90" s="3" t="s">
        <v>485</v>
      </c>
      <c r="I90" s="3" t="s">
        <v>486</v>
      </c>
    </row>
    <row r="91">
      <c r="A91" s="3" t="s">
        <v>13</v>
      </c>
      <c r="B91" s="3" t="s">
        <v>489</v>
      </c>
      <c r="C91" s="3" t="s">
        <v>461</v>
      </c>
      <c r="D91" s="3" t="s">
        <v>492</v>
      </c>
      <c r="E91" s="3" t="s">
        <v>21</v>
      </c>
      <c r="F91" s="3" t="s">
        <v>465</v>
      </c>
      <c r="G91" s="3" t="s">
        <v>466</v>
      </c>
      <c r="H91" s="3" t="s">
        <v>490</v>
      </c>
      <c r="I91" s="3" t="s">
        <v>491</v>
      </c>
    </row>
    <row r="92">
      <c r="A92" s="3" t="s">
        <v>13</v>
      </c>
      <c r="B92" s="3" t="s">
        <v>493</v>
      </c>
      <c r="C92" s="3" t="s">
        <v>494</v>
      </c>
      <c r="D92" s="3" t="s">
        <v>497</v>
      </c>
      <c r="E92" s="3" t="s">
        <v>43</v>
      </c>
      <c r="F92" s="3" t="s">
        <v>96</v>
      </c>
      <c r="G92" s="3" t="s">
        <v>498</v>
      </c>
      <c r="H92" s="3" t="s">
        <v>495</v>
      </c>
      <c r="I92" s="3" t="s">
        <v>496</v>
      </c>
    </row>
    <row r="93">
      <c r="A93" s="3" t="s">
        <v>13</v>
      </c>
      <c r="B93" s="3" t="s">
        <v>499</v>
      </c>
      <c r="C93" s="3" t="s">
        <v>494</v>
      </c>
      <c r="D93" s="3" t="s">
        <v>502</v>
      </c>
      <c r="E93" s="3" t="s">
        <v>43</v>
      </c>
      <c r="F93" s="3" t="s">
        <v>96</v>
      </c>
      <c r="G93" s="3" t="s">
        <v>503</v>
      </c>
      <c r="H93" s="3" t="s">
        <v>500</v>
      </c>
      <c r="I93" s="3" t="s">
        <v>501</v>
      </c>
    </row>
    <row r="94">
      <c r="A94" s="3" t="s">
        <v>13</v>
      </c>
      <c r="B94" s="3" t="s">
        <v>504</v>
      </c>
      <c r="C94" s="3" t="s">
        <v>494</v>
      </c>
      <c r="D94" s="3" t="s">
        <v>507</v>
      </c>
      <c r="E94" s="3" t="s">
        <v>43</v>
      </c>
      <c r="F94" s="3" t="s">
        <v>96</v>
      </c>
      <c r="G94" s="3" t="s">
        <v>508</v>
      </c>
      <c r="H94" s="3" t="s">
        <v>505</v>
      </c>
      <c r="I94" s="3" t="s">
        <v>506</v>
      </c>
    </row>
    <row r="95">
      <c r="A95" s="3" t="s">
        <v>13</v>
      </c>
      <c r="B95" s="3" t="s">
        <v>509</v>
      </c>
      <c r="C95" s="3" t="s">
        <v>494</v>
      </c>
      <c r="D95" s="3" t="s">
        <v>512</v>
      </c>
      <c r="E95" s="3" t="s">
        <v>21</v>
      </c>
      <c r="F95" s="3" t="s">
        <v>513</v>
      </c>
      <c r="G95" s="3" t="s">
        <v>253</v>
      </c>
      <c r="H95" s="3" t="s">
        <v>510</v>
      </c>
      <c r="I95" s="3" t="s">
        <v>511</v>
      </c>
    </row>
    <row r="96">
      <c r="A96" s="3" t="s">
        <v>13</v>
      </c>
      <c r="B96" s="3" t="s">
        <v>514</v>
      </c>
      <c r="C96" s="3" t="s">
        <v>494</v>
      </c>
      <c r="D96" s="3" t="s">
        <v>517</v>
      </c>
      <c r="E96" s="3" t="s">
        <v>73</v>
      </c>
      <c r="F96" s="3" t="s">
        <v>96</v>
      </c>
      <c r="G96" s="3" t="s">
        <v>518</v>
      </c>
      <c r="H96" s="3" t="s">
        <v>515</v>
      </c>
      <c r="I96" s="3" t="s">
        <v>516</v>
      </c>
    </row>
    <row r="97">
      <c r="A97" s="3" t="s">
        <v>13</v>
      </c>
      <c r="B97" s="3" t="s">
        <v>519</v>
      </c>
      <c r="C97" s="3" t="s">
        <v>494</v>
      </c>
      <c r="D97" s="3" t="s">
        <v>522</v>
      </c>
      <c r="E97" s="3" t="s">
        <v>43</v>
      </c>
      <c r="F97" s="3" t="s">
        <v>523</v>
      </c>
      <c r="G97" s="3" t="s">
        <v>38</v>
      </c>
      <c r="H97" s="3" t="s">
        <v>520</v>
      </c>
      <c r="I97" s="3" t="s">
        <v>521</v>
      </c>
    </row>
    <row r="98">
      <c r="A98" s="3" t="s">
        <v>13</v>
      </c>
      <c r="B98" s="3" t="s">
        <v>524</v>
      </c>
      <c r="C98" s="3" t="s">
        <v>494</v>
      </c>
      <c r="D98" s="3" t="s">
        <v>527</v>
      </c>
      <c r="E98" s="3" t="s">
        <v>43</v>
      </c>
      <c r="F98" s="3" t="s">
        <v>528</v>
      </c>
      <c r="G98" s="3" t="s">
        <v>137</v>
      </c>
      <c r="H98" s="3" t="s">
        <v>525</v>
      </c>
      <c r="I98" s="3" t="s">
        <v>526</v>
      </c>
    </row>
    <row r="99">
      <c r="A99" s="3" t="s">
        <v>13</v>
      </c>
      <c r="B99" s="3" t="s">
        <v>529</v>
      </c>
      <c r="C99" s="3" t="s">
        <v>494</v>
      </c>
      <c r="D99" s="3" t="s">
        <v>532</v>
      </c>
      <c r="E99" s="3" t="s">
        <v>43</v>
      </c>
      <c r="F99" s="3" t="s">
        <v>523</v>
      </c>
      <c r="G99" s="3" t="s">
        <v>534</v>
      </c>
      <c r="H99" s="3" t="s">
        <v>530</v>
      </c>
      <c r="I99" s="3" t="s">
        <v>531</v>
      </c>
    </row>
    <row r="100">
      <c r="A100" s="3" t="s">
        <v>13</v>
      </c>
      <c r="B100" s="3" t="s">
        <v>535</v>
      </c>
      <c r="C100" s="3" t="s">
        <v>536</v>
      </c>
      <c r="D100" s="3" t="s">
        <v>539</v>
      </c>
      <c r="E100" s="3" t="s">
        <v>21</v>
      </c>
      <c r="F100" s="3" t="s">
        <v>465</v>
      </c>
      <c r="G100" s="3" t="s">
        <v>540</v>
      </c>
      <c r="H100" s="3" t="s">
        <v>537</v>
      </c>
      <c r="I100" s="3" t="s">
        <v>538</v>
      </c>
    </row>
    <row r="101">
      <c r="A101" s="3" t="s">
        <v>13</v>
      </c>
      <c r="B101" s="3" t="s">
        <v>541</v>
      </c>
      <c r="C101" s="3" t="s">
        <v>536</v>
      </c>
      <c r="D101" s="3" t="s">
        <v>544</v>
      </c>
      <c r="E101" s="3" t="s">
        <v>21</v>
      </c>
      <c r="F101" s="3" t="s">
        <v>465</v>
      </c>
      <c r="G101" s="3" t="s">
        <v>545</v>
      </c>
      <c r="H101" s="3" t="s">
        <v>542</v>
      </c>
      <c r="I101" s="3" t="s">
        <v>543</v>
      </c>
    </row>
    <row r="102">
      <c r="A102" s="5"/>
    </row>
    <row r="103">
      <c r="A103" s="5"/>
    </row>
    <row r="104">
      <c r="A104" s="5"/>
    </row>
    <row r="105">
      <c r="A105" s="5"/>
    </row>
    <row r="106">
      <c r="A106" s="5"/>
    </row>
    <row r="107">
      <c r="A107" s="5"/>
    </row>
    <row r="108">
      <c r="A108" s="5"/>
    </row>
    <row r="109">
      <c r="A109" s="5"/>
    </row>
    <row r="110">
      <c r="A110" s="5"/>
    </row>
    <row r="111">
      <c r="A111" s="5"/>
    </row>
    <row r="112">
      <c r="A112" s="5"/>
    </row>
    <row r="113">
      <c r="A113" s="5"/>
    </row>
    <row r="114">
      <c r="A114" s="5"/>
    </row>
    <row r="115">
      <c r="A115" s="5"/>
    </row>
    <row r="116">
      <c r="A116" s="5"/>
    </row>
    <row r="117">
      <c r="A117" s="5"/>
    </row>
    <row r="118">
      <c r="A118" s="5"/>
    </row>
    <row r="119">
      <c r="A119" s="5"/>
    </row>
    <row r="120">
      <c r="A120" s="5"/>
    </row>
    <row r="121">
      <c r="A121" s="5"/>
    </row>
    <row r="122">
      <c r="A122" s="5"/>
    </row>
    <row r="123">
      <c r="A123" s="5"/>
    </row>
    <row r="124">
      <c r="A124" s="5"/>
    </row>
    <row r="125">
      <c r="A125" s="5"/>
    </row>
    <row r="126">
      <c r="A126" s="5"/>
    </row>
    <row r="127">
      <c r="A127" s="5"/>
    </row>
    <row r="128">
      <c r="A128" s="5"/>
    </row>
    <row r="129">
      <c r="A129" s="5"/>
    </row>
    <row r="130">
      <c r="A130" s="5"/>
    </row>
    <row r="131">
      <c r="A131" s="5"/>
    </row>
    <row r="132">
      <c r="A132" s="5"/>
    </row>
    <row r="133">
      <c r="A133" s="5"/>
    </row>
    <row r="134">
      <c r="A134" s="5"/>
    </row>
    <row r="135">
      <c r="A135" s="5"/>
    </row>
    <row r="136">
      <c r="A136" s="5"/>
    </row>
    <row r="137">
      <c r="A137" s="5"/>
    </row>
    <row r="138">
      <c r="A138" s="5"/>
    </row>
    <row r="139">
      <c r="A139" s="5"/>
    </row>
    <row r="140">
      <c r="A140" s="5"/>
    </row>
    <row r="141">
      <c r="A141" s="5"/>
    </row>
    <row r="142">
      <c r="A142" s="5"/>
    </row>
    <row r="143">
      <c r="A143" s="5"/>
    </row>
    <row r="144">
      <c r="A144" s="5"/>
    </row>
    <row r="145">
      <c r="A145" s="5"/>
    </row>
    <row r="146">
      <c r="A146" s="5"/>
    </row>
    <row r="147">
      <c r="A147" s="5"/>
    </row>
    <row r="148">
      <c r="A148" s="5"/>
    </row>
    <row r="149">
      <c r="A149" s="5"/>
    </row>
    <row r="150">
      <c r="A150" s="5"/>
    </row>
    <row r="151">
      <c r="A151" s="5"/>
    </row>
    <row r="152">
      <c r="A152" s="5"/>
    </row>
    <row r="153">
      <c r="A153" s="5"/>
    </row>
    <row r="154">
      <c r="A154" s="5"/>
    </row>
    <row r="155">
      <c r="A155" s="5"/>
    </row>
    <row r="156">
      <c r="A156" s="5"/>
    </row>
    <row r="157">
      <c r="A157" s="5"/>
    </row>
    <row r="158">
      <c r="A158" s="5"/>
    </row>
    <row r="159">
      <c r="A159" s="5"/>
    </row>
    <row r="160">
      <c r="A160" s="5"/>
    </row>
    <row r="161">
      <c r="A161" s="5"/>
    </row>
    <row r="162">
      <c r="A162" s="5"/>
    </row>
    <row r="163">
      <c r="A163" s="5"/>
    </row>
    <row r="164">
      <c r="A164" s="5"/>
    </row>
    <row r="165">
      <c r="A165" s="5"/>
    </row>
    <row r="166">
      <c r="A166" s="5"/>
    </row>
    <row r="167">
      <c r="A167" s="5"/>
    </row>
    <row r="168">
      <c r="A168" s="5"/>
    </row>
    <row r="169">
      <c r="A169" s="5"/>
    </row>
    <row r="170">
      <c r="A170" s="5"/>
    </row>
    <row r="171">
      <c r="A171" s="5"/>
    </row>
    <row r="172">
      <c r="A172" s="5"/>
    </row>
    <row r="173">
      <c r="A173" s="5"/>
    </row>
    <row r="174">
      <c r="A174" s="5"/>
    </row>
    <row r="175">
      <c r="A175" s="5"/>
    </row>
    <row r="176">
      <c r="A176" s="5"/>
    </row>
    <row r="177">
      <c r="A177" s="5"/>
    </row>
    <row r="178">
      <c r="A178" s="5"/>
    </row>
    <row r="179">
      <c r="A179" s="5"/>
    </row>
    <row r="180">
      <c r="A180" s="5"/>
    </row>
    <row r="181">
      <c r="A181" s="5"/>
    </row>
    <row r="182">
      <c r="A182" s="5"/>
    </row>
    <row r="183">
      <c r="A183" s="5"/>
    </row>
    <row r="184">
      <c r="A184" s="5"/>
    </row>
    <row r="185">
      <c r="A185" s="5"/>
    </row>
    <row r="186">
      <c r="A186" s="5"/>
    </row>
    <row r="187">
      <c r="A187" s="5"/>
    </row>
    <row r="188">
      <c r="A188" s="5"/>
    </row>
    <row r="189">
      <c r="A189" s="5"/>
    </row>
    <row r="190">
      <c r="A190" s="5"/>
    </row>
    <row r="191">
      <c r="A191" s="5"/>
    </row>
    <row r="192">
      <c r="A192" s="5"/>
    </row>
    <row r="193">
      <c r="A193" s="5"/>
    </row>
    <row r="194">
      <c r="A194" s="5"/>
    </row>
    <row r="195">
      <c r="A195" s="5"/>
    </row>
    <row r="196">
      <c r="A196" s="5"/>
    </row>
    <row r="197">
      <c r="A197" s="5"/>
    </row>
    <row r="198">
      <c r="A198" s="5"/>
    </row>
    <row r="199">
      <c r="A199" s="5"/>
    </row>
    <row r="200">
      <c r="A200" s="5"/>
    </row>
    <row r="201">
      <c r="A201" s="5"/>
    </row>
    <row r="202">
      <c r="A202" s="5"/>
    </row>
    <row r="203">
      <c r="A203" s="5"/>
    </row>
    <row r="204">
      <c r="A204" s="5"/>
    </row>
    <row r="205">
      <c r="A205" s="5"/>
    </row>
    <row r="206">
      <c r="A206" s="5"/>
    </row>
    <row r="207">
      <c r="A207" s="5"/>
    </row>
    <row r="208">
      <c r="A208" s="5"/>
    </row>
    <row r="209">
      <c r="A209" s="5"/>
    </row>
    <row r="210">
      <c r="A210" s="5"/>
    </row>
    <row r="211">
      <c r="A211" s="5"/>
    </row>
    <row r="212">
      <c r="A212" s="5"/>
    </row>
    <row r="213">
      <c r="A213" s="5"/>
    </row>
    <row r="214">
      <c r="A214" s="5"/>
    </row>
    <row r="215">
      <c r="A215" s="5"/>
    </row>
    <row r="216">
      <c r="A216" s="5"/>
    </row>
    <row r="217">
      <c r="A217" s="5"/>
    </row>
    <row r="218">
      <c r="A218" s="5"/>
    </row>
    <row r="219">
      <c r="A219" s="5"/>
    </row>
    <row r="220">
      <c r="A220" s="5"/>
    </row>
    <row r="221">
      <c r="A221" s="5"/>
    </row>
    <row r="222">
      <c r="A222" s="5"/>
    </row>
    <row r="223">
      <c r="A223" s="5"/>
    </row>
    <row r="224">
      <c r="A224" s="5"/>
    </row>
    <row r="225">
      <c r="A225" s="5"/>
    </row>
    <row r="226">
      <c r="A226" s="5"/>
    </row>
    <row r="227">
      <c r="A227" s="5"/>
    </row>
    <row r="228">
      <c r="A228" s="5"/>
    </row>
    <row r="229">
      <c r="A229" s="5"/>
    </row>
    <row r="230">
      <c r="A230" s="5"/>
    </row>
    <row r="231">
      <c r="A231" s="5"/>
    </row>
    <row r="232">
      <c r="A232" s="5"/>
    </row>
    <row r="233">
      <c r="A233" s="5"/>
    </row>
    <row r="234">
      <c r="A234" s="5"/>
    </row>
    <row r="235">
      <c r="A235" s="5"/>
    </row>
    <row r="236">
      <c r="A236" s="5"/>
    </row>
    <row r="237">
      <c r="A237" s="5"/>
    </row>
    <row r="238">
      <c r="A238" s="5"/>
    </row>
    <row r="239">
      <c r="A239" s="5"/>
    </row>
    <row r="240">
      <c r="A240" s="5"/>
    </row>
    <row r="241">
      <c r="A241" s="5"/>
    </row>
    <row r="242">
      <c r="A242" s="5"/>
    </row>
    <row r="243">
      <c r="A243" s="5"/>
    </row>
    <row r="244">
      <c r="A244" s="5"/>
    </row>
    <row r="245">
      <c r="A245" s="5"/>
    </row>
    <row r="246">
      <c r="A246" s="5"/>
    </row>
    <row r="247">
      <c r="A247" s="5"/>
    </row>
    <row r="248">
      <c r="A248" s="5"/>
    </row>
    <row r="249">
      <c r="A249" s="5"/>
    </row>
    <row r="250">
      <c r="A250" s="5"/>
    </row>
    <row r="251">
      <c r="A251" s="5"/>
    </row>
    <row r="252">
      <c r="A252" s="5"/>
    </row>
    <row r="253">
      <c r="A253" s="5"/>
    </row>
    <row r="254">
      <c r="A254" s="5"/>
    </row>
    <row r="255">
      <c r="A255" s="5"/>
    </row>
    <row r="256">
      <c r="A256" s="5"/>
    </row>
    <row r="257">
      <c r="A257" s="5"/>
    </row>
    <row r="258">
      <c r="A258" s="5"/>
    </row>
    <row r="259">
      <c r="A259" s="5"/>
    </row>
    <row r="260">
      <c r="A260" s="5"/>
    </row>
    <row r="261">
      <c r="A261" s="5"/>
    </row>
    <row r="262">
      <c r="A262" s="5"/>
    </row>
    <row r="263">
      <c r="A263" s="5"/>
    </row>
    <row r="264">
      <c r="A264" s="5"/>
    </row>
    <row r="265">
      <c r="A265" s="5"/>
    </row>
    <row r="266">
      <c r="A266" s="5"/>
    </row>
    <row r="267">
      <c r="A267" s="5"/>
    </row>
    <row r="268">
      <c r="A268" s="5"/>
    </row>
    <row r="269">
      <c r="A269" s="5"/>
    </row>
    <row r="270">
      <c r="A270" s="5"/>
    </row>
    <row r="271">
      <c r="A271" s="5"/>
    </row>
    <row r="272">
      <c r="A272" s="5"/>
    </row>
    <row r="273">
      <c r="A273" s="5"/>
    </row>
    <row r="274">
      <c r="A274" s="5"/>
    </row>
    <row r="275">
      <c r="A275" s="5"/>
    </row>
    <row r="276">
      <c r="A276" s="5"/>
    </row>
    <row r="277">
      <c r="A277" s="5"/>
    </row>
    <row r="278">
      <c r="A278" s="5"/>
    </row>
    <row r="279">
      <c r="A279" s="5"/>
    </row>
    <row r="280">
      <c r="A280" s="5"/>
    </row>
    <row r="281">
      <c r="A281" s="5"/>
    </row>
    <row r="282">
      <c r="A282" s="5"/>
    </row>
    <row r="283">
      <c r="A283" s="5"/>
    </row>
    <row r="284">
      <c r="A284" s="5"/>
    </row>
    <row r="285">
      <c r="A285" s="5"/>
    </row>
    <row r="286">
      <c r="A286" s="5"/>
    </row>
    <row r="287">
      <c r="A287" s="5"/>
    </row>
    <row r="288">
      <c r="A288" s="5"/>
    </row>
    <row r="289">
      <c r="A289" s="5"/>
    </row>
    <row r="290">
      <c r="A290" s="5"/>
    </row>
    <row r="291">
      <c r="A291" s="5"/>
    </row>
    <row r="292">
      <c r="A292" s="5"/>
    </row>
    <row r="293">
      <c r="A293" s="5"/>
    </row>
    <row r="294">
      <c r="A294" s="5"/>
    </row>
    <row r="295">
      <c r="A295" s="5"/>
    </row>
    <row r="296">
      <c r="A296" s="5"/>
    </row>
    <row r="297">
      <c r="A297" s="5"/>
    </row>
    <row r="298">
      <c r="A298" s="5"/>
    </row>
    <row r="299">
      <c r="A299" s="5"/>
    </row>
    <row r="300">
      <c r="A300" s="5"/>
    </row>
    <row r="301">
      <c r="A301" s="5"/>
    </row>
    <row r="302">
      <c r="A302" s="5"/>
    </row>
    <row r="303">
      <c r="A303" s="5"/>
    </row>
    <row r="304">
      <c r="A304" s="5"/>
    </row>
    <row r="305">
      <c r="A305" s="5"/>
    </row>
    <row r="306">
      <c r="A306" s="5"/>
    </row>
    <row r="307">
      <c r="A307" s="5"/>
    </row>
    <row r="308">
      <c r="A308" s="5"/>
    </row>
    <row r="309">
      <c r="A309" s="5"/>
    </row>
    <row r="310">
      <c r="A310" s="5"/>
    </row>
    <row r="311">
      <c r="A311" s="5"/>
    </row>
    <row r="312">
      <c r="A312" s="5"/>
    </row>
    <row r="313">
      <c r="A313" s="5"/>
    </row>
    <row r="314">
      <c r="A314" s="5"/>
    </row>
    <row r="315">
      <c r="A315" s="5"/>
    </row>
    <row r="316">
      <c r="A316" s="5"/>
    </row>
    <row r="317">
      <c r="A317" s="5"/>
    </row>
    <row r="318">
      <c r="A318" s="5"/>
    </row>
    <row r="319">
      <c r="A319" s="5"/>
    </row>
    <row r="320">
      <c r="A320" s="5"/>
    </row>
    <row r="321">
      <c r="A321" s="5"/>
    </row>
    <row r="322">
      <c r="A322" s="5"/>
    </row>
    <row r="323">
      <c r="A323" s="5"/>
    </row>
    <row r="324">
      <c r="A324" s="5"/>
    </row>
    <row r="325">
      <c r="A325" s="5"/>
    </row>
    <row r="326">
      <c r="A326" s="5"/>
    </row>
    <row r="327">
      <c r="A327" s="5"/>
    </row>
    <row r="328">
      <c r="A328" s="5"/>
    </row>
    <row r="329">
      <c r="A329" s="5"/>
    </row>
    <row r="330">
      <c r="A330" s="5"/>
    </row>
    <row r="331">
      <c r="A331" s="5"/>
    </row>
    <row r="332">
      <c r="A332" s="5"/>
    </row>
    <row r="333">
      <c r="A333" s="5"/>
    </row>
    <row r="334">
      <c r="A334" s="5"/>
    </row>
    <row r="335">
      <c r="A335" s="5"/>
    </row>
    <row r="336">
      <c r="A336" s="5"/>
    </row>
    <row r="337">
      <c r="A337" s="5"/>
    </row>
    <row r="338">
      <c r="A338" s="5"/>
    </row>
    <row r="339">
      <c r="A339" s="5"/>
    </row>
    <row r="340">
      <c r="A340" s="5"/>
    </row>
    <row r="341">
      <c r="A341" s="5"/>
    </row>
    <row r="342">
      <c r="A342" s="5"/>
    </row>
    <row r="343">
      <c r="A343" s="5"/>
    </row>
    <row r="344">
      <c r="A344" s="5"/>
    </row>
    <row r="345">
      <c r="A345" s="5"/>
    </row>
    <row r="346">
      <c r="A346" s="5"/>
    </row>
    <row r="347">
      <c r="A347" s="5"/>
    </row>
    <row r="348">
      <c r="A348" s="5"/>
    </row>
    <row r="349">
      <c r="A349" s="5"/>
    </row>
    <row r="350">
      <c r="A350" s="5"/>
    </row>
    <row r="351">
      <c r="A351" s="5"/>
    </row>
    <row r="352">
      <c r="A352" s="5"/>
    </row>
    <row r="353">
      <c r="A353" s="5"/>
    </row>
    <row r="354">
      <c r="A354" s="5"/>
    </row>
    <row r="355">
      <c r="A355" s="5"/>
    </row>
    <row r="356">
      <c r="A356" s="5"/>
    </row>
    <row r="357">
      <c r="A357" s="5"/>
    </row>
    <row r="358">
      <c r="A358" s="5"/>
    </row>
    <row r="359">
      <c r="A359" s="5"/>
    </row>
    <row r="360">
      <c r="A360" s="5"/>
    </row>
    <row r="361">
      <c r="A361" s="5"/>
    </row>
    <row r="362">
      <c r="A362" s="5"/>
    </row>
    <row r="363">
      <c r="A363" s="5"/>
    </row>
    <row r="364">
      <c r="A364" s="5"/>
    </row>
    <row r="365">
      <c r="A365" s="5"/>
    </row>
    <row r="366">
      <c r="A366" s="5"/>
    </row>
    <row r="367">
      <c r="A367" s="5"/>
    </row>
    <row r="368">
      <c r="A368" s="5"/>
    </row>
    <row r="369">
      <c r="A369" s="5"/>
    </row>
    <row r="370">
      <c r="A370" s="5"/>
    </row>
    <row r="371">
      <c r="A371" s="5"/>
    </row>
    <row r="372">
      <c r="A372" s="5"/>
    </row>
    <row r="373">
      <c r="A373" s="5"/>
    </row>
    <row r="374">
      <c r="A374" s="5"/>
    </row>
    <row r="375">
      <c r="A375" s="5"/>
    </row>
    <row r="376">
      <c r="A376" s="5"/>
    </row>
    <row r="377">
      <c r="A377" s="5"/>
    </row>
    <row r="378">
      <c r="A378" s="5"/>
    </row>
    <row r="379">
      <c r="A379" s="5"/>
    </row>
    <row r="380">
      <c r="A380" s="5"/>
    </row>
    <row r="381">
      <c r="A381" s="5"/>
    </row>
    <row r="382">
      <c r="A382" s="5"/>
    </row>
    <row r="383">
      <c r="A383" s="5"/>
    </row>
    <row r="384">
      <c r="A384" s="5"/>
    </row>
    <row r="385">
      <c r="A385" s="5"/>
    </row>
    <row r="386">
      <c r="A386" s="5"/>
    </row>
    <row r="387">
      <c r="A387" s="5"/>
    </row>
    <row r="388">
      <c r="A388" s="5"/>
    </row>
    <row r="389">
      <c r="A389" s="5"/>
    </row>
    <row r="390">
      <c r="A390" s="5"/>
    </row>
    <row r="391">
      <c r="A391" s="5"/>
    </row>
    <row r="392">
      <c r="A392" s="5"/>
    </row>
    <row r="393">
      <c r="A393" s="5"/>
    </row>
    <row r="394">
      <c r="A394" s="5"/>
    </row>
    <row r="395">
      <c r="A395" s="5"/>
    </row>
    <row r="396">
      <c r="A396" s="5"/>
    </row>
    <row r="397">
      <c r="A397" s="5"/>
    </row>
    <row r="398">
      <c r="A398" s="5"/>
    </row>
    <row r="399">
      <c r="A399" s="5"/>
    </row>
    <row r="400">
      <c r="A400" s="5"/>
    </row>
    <row r="401">
      <c r="A401" s="5"/>
    </row>
    <row r="402">
      <c r="A402" s="5"/>
    </row>
    <row r="403">
      <c r="A403" s="5"/>
    </row>
    <row r="404">
      <c r="A404" s="5"/>
    </row>
    <row r="405">
      <c r="A405" s="5"/>
    </row>
    <row r="406">
      <c r="A406" s="5"/>
    </row>
    <row r="407">
      <c r="A407" s="5"/>
    </row>
    <row r="408">
      <c r="A408" s="5"/>
    </row>
    <row r="409">
      <c r="A409" s="5"/>
    </row>
    <row r="410">
      <c r="A410" s="5"/>
    </row>
    <row r="411">
      <c r="A411" s="5"/>
    </row>
    <row r="412">
      <c r="A412" s="5"/>
    </row>
    <row r="413">
      <c r="A413" s="5"/>
    </row>
    <row r="414">
      <c r="A414" s="5"/>
    </row>
    <row r="415">
      <c r="A415" s="5"/>
    </row>
    <row r="416">
      <c r="A416" s="5"/>
    </row>
    <row r="417">
      <c r="A417" s="5"/>
    </row>
    <row r="418">
      <c r="A418" s="5"/>
    </row>
    <row r="419">
      <c r="A419" s="5"/>
    </row>
    <row r="420">
      <c r="A420" s="5"/>
    </row>
    <row r="421">
      <c r="A421" s="5"/>
    </row>
    <row r="422">
      <c r="A422" s="5"/>
    </row>
    <row r="423">
      <c r="A423" s="5"/>
    </row>
    <row r="424">
      <c r="A424" s="5"/>
    </row>
    <row r="425">
      <c r="A425" s="5"/>
    </row>
    <row r="426">
      <c r="A426" s="5"/>
    </row>
    <row r="427">
      <c r="A427" s="5"/>
    </row>
    <row r="428">
      <c r="A428" s="5"/>
    </row>
    <row r="429">
      <c r="A429" s="5"/>
    </row>
    <row r="430">
      <c r="A430" s="5"/>
    </row>
    <row r="431">
      <c r="A431" s="5"/>
    </row>
    <row r="432">
      <c r="A432" s="5"/>
    </row>
    <row r="433">
      <c r="A433" s="5"/>
    </row>
    <row r="434">
      <c r="A434" s="5"/>
    </row>
    <row r="435">
      <c r="A435" s="5"/>
    </row>
    <row r="436">
      <c r="A436" s="5"/>
    </row>
    <row r="437">
      <c r="A437" s="5"/>
    </row>
    <row r="438">
      <c r="A438" s="5"/>
    </row>
    <row r="439">
      <c r="A439" s="5"/>
    </row>
    <row r="440">
      <c r="A440" s="5"/>
    </row>
    <row r="441">
      <c r="A441" s="5"/>
    </row>
    <row r="442">
      <c r="A442" s="5"/>
    </row>
    <row r="443">
      <c r="A443" s="5"/>
    </row>
    <row r="444">
      <c r="A444" s="5"/>
    </row>
    <row r="445">
      <c r="A445" s="5"/>
    </row>
    <row r="446">
      <c r="A446" s="5"/>
    </row>
    <row r="447">
      <c r="A447" s="5"/>
    </row>
    <row r="448">
      <c r="A448" s="5"/>
    </row>
    <row r="449">
      <c r="A449" s="5"/>
    </row>
    <row r="450">
      <c r="A450" s="5"/>
    </row>
    <row r="451">
      <c r="A451" s="5"/>
    </row>
    <row r="452">
      <c r="A452" s="5"/>
    </row>
    <row r="453">
      <c r="A453" s="5"/>
    </row>
    <row r="454">
      <c r="A454" s="5"/>
    </row>
    <row r="455">
      <c r="A455" s="5"/>
    </row>
    <row r="456">
      <c r="A456" s="5"/>
    </row>
    <row r="457">
      <c r="A457" s="5"/>
    </row>
    <row r="458">
      <c r="A458" s="5"/>
    </row>
    <row r="459">
      <c r="A459" s="5"/>
    </row>
    <row r="460">
      <c r="A460" s="5"/>
    </row>
    <row r="461">
      <c r="A461" s="5"/>
    </row>
    <row r="462">
      <c r="A462" s="5"/>
    </row>
    <row r="463">
      <c r="A463" s="5"/>
    </row>
    <row r="464">
      <c r="A464" s="5"/>
    </row>
    <row r="465">
      <c r="A465" s="5"/>
    </row>
    <row r="466">
      <c r="A466" s="5"/>
    </row>
    <row r="467">
      <c r="A467" s="5"/>
    </row>
    <row r="468">
      <c r="A468" s="5"/>
    </row>
    <row r="469">
      <c r="A469" s="5"/>
    </row>
    <row r="470">
      <c r="A470" s="5"/>
    </row>
    <row r="471">
      <c r="A471" s="5"/>
    </row>
    <row r="472">
      <c r="A472" s="5"/>
    </row>
    <row r="473">
      <c r="A473" s="5"/>
    </row>
    <row r="474">
      <c r="A474" s="5"/>
    </row>
    <row r="475">
      <c r="A475" s="5"/>
    </row>
    <row r="476">
      <c r="A476" s="5"/>
    </row>
    <row r="477">
      <c r="A477" s="5"/>
    </row>
    <row r="478">
      <c r="A478" s="5"/>
    </row>
    <row r="479">
      <c r="A479" s="5"/>
    </row>
    <row r="480">
      <c r="A480" s="5"/>
    </row>
    <row r="481">
      <c r="A481" s="5"/>
    </row>
    <row r="482">
      <c r="A482" s="5"/>
    </row>
    <row r="483">
      <c r="A483" s="5"/>
    </row>
    <row r="484">
      <c r="A484" s="5"/>
    </row>
    <row r="485">
      <c r="A485" s="5"/>
    </row>
    <row r="486">
      <c r="A486" s="5"/>
    </row>
    <row r="487">
      <c r="A487" s="5"/>
    </row>
    <row r="488">
      <c r="A488" s="5"/>
    </row>
    <row r="489">
      <c r="A489" s="5"/>
    </row>
    <row r="490">
      <c r="A490" s="5"/>
    </row>
    <row r="491">
      <c r="A491" s="5"/>
    </row>
    <row r="492">
      <c r="A492" s="5"/>
    </row>
    <row r="493">
      <c r="A493" s="5"/>
    </row>
    <row r="494">
      <c r="A494" s="5"/>
    </row>
    <row r="495">
      <c r="A495" s="5"/>
    </row>
    <row r="496">
      <c r="A496" s="5"/>
    </row>
    <row r="497">
      <c r="A497" s="5"/>
    </row>
    <row r="498">
      <c r="A498" s="5"/>
    </row>
    <row r="499">
      <c r="A499" s="5"/>
    </row>
    <row r="500">
      <c r="A500" s="5"/>
    </row>
    <row r="501">
      <c r="A501" s="5"/>
    </row>
    <row r="502">
      <c r="A502" s="5"/>
    </row>
    <row r="503">
      <c r="A503" s="5"/>
    </row>
    <row r="504">
      <c r="A504" s="5"/>
    </row>
    <row r="505">
      <c r="A505" s="5"/>
    </row>
    <row r="506">
      <c r="A506" s="5"/>
    </row>
    <row r="507">
      <c r="A507" s="5"/>
    </row>
    <row r="508">
      <c r="A508" s="5"/>
    </row>
    <row r="509">
      <c r="A509" s="5"/>
    </row>
    <row r="510">
      <c r="A510" s="5"/>
    </row>
    <row r="511">
      <c r="A511" s="5"/>
    </row>
    <row r="512">
      <c r="A512" s="5"/>
    </row>
    <row r="513">
      <c r="A513" s="5"/>
    </row>
    <row r="514">
      <c r="A514" s="5"/>
    </row>
    <row r="515">
      <c r="A515" s="5"/>
    </row>
    <row r="516">
      <c r="A516" s="5"/>
    </row>
    <row r="517">
      <c r="A517" s="5"/>
    </row>
    <row r="518">
      <c r="A518" s="5"/>
    </row>
    <row r="519">
      <c r="A519" s="5"/>
    </row>
    <row r="520">
      <c r="A520" s="5"/>
    </row>
    <row r="521">
      <c r="A521" s="5"/>
    </row>
    <row r="522">
      <c r="A522" s="5"/>
    </row>
    <row r="523">
      <c r="A523" s="5"/>
    </row>
    <row r="524">
      <c r="A524" s="5"/>
    </row>
    <row r="525">
      <c r="A525" s="5"/>
    </row>
    <row r="526">
      <c r="A526" s="5"/>
    </row>
    <row r="527">
      <c r="A527" s="5"/>
    </row>
    <row r="528">
      <c r="A528" s="5"/>
    </row>
    <row r="529">
      <c r="A529" s="5"/>
    </row>
    <row r="530">
      <c r="A530" s="5"/>
    </row>
    <row r="531">
      <c r="A531" s="5"/>
    </row>
    <row r="532">
      <c r="A532" s="5"/>
    </row>
    <row r="533">
      <c r="A533" s="5"/>
    </row>
    <row r="534">
      <c r="A534" s="5"/>
    </row>
    <row r="535">
      <c r="A535" s="5"/>
    </row>
    <row r="536">
      <c r="A536" s="5"/>
    </row>
    <row r="537">
      <c r="A537" s="5"/>
    </row>
    <row r="538">
      <c r="A538" s="5"/>
    </row>
    <row r="539">
      <c r="A539" s="5"/>
    </row>
    <row r="540">
      <c r="A540" s="5"/>
    </row>
    <row r="541">
      <c r="A541" s="5"/>
    </row>
    <row r="542">
      <c r="A542" s="5"/>
    </row>
    <row r="543">
      <c r="A543" s="5"/>
    </row>
    <row r="544">
      <c r="A544" s="5"/>
    </row>
    <row r="545">
      <c r="A545" s="5"/>
    </row>
    <row r="546">
      <c r="A546" s="5"/>
    </row>
    <row r="547">
      <c r="A547" s="5"/>
    </row>
    <row r="548">
      <c r="A548" s="5"/>
    </row>
    <row r="549">
      <c r="A549" s="5"/>
    </row>
    <row r="550">
      <c r="A550" s="5"/>
    </row>
    <row r="551">
      <c r="A551" s="5"/>
    </row>
    <row r="552">
      <c r="A552" s="5"/>
    </row>
    <row r="553">
      <c r="A553" s="5"/>
    </row>
    <row r="554">
      <c r="A554" s="5"/>
    </row>
    <row r="555">
      <c r="A555" s="5"/>
    </row>
    <row r="556">
      <c r="A556" s="5"/>
    </row>
    <row r="557">
      <c r="A557" s="5"/>
    </row>
    <row r="558">
      <c r="A558" s="5"/>
    </row>
    <row r="559">
      <c r="A559" s="5"/>
    </row>
    <row r="560">
      <c r="A560" s="5"/>
    </row>
    <row r="561">
      <c r="A561" s="5"/>
    </row>
    <row r="562">
      <c r="A562" s="5"/>
    </row>
    <row r="563">
      <c r="A563" s="5"/>
    </row>
    <row r="564">
      <c r="A564" s="5"/>
    </row>
    <row r="565">
      <c r="A565" s="5"/>
    </row>
    <row r="566">
      <c r="A566" s="5"/>
    </row>
    <row r="567">
      <c r="A567" s="5"/>
    </row>
    <row r="568">
      <c r="A568" s="5"/>
    </row>
    <row r="569">
      <c r="A569" s="5"/>
    </row>
    <row r="570">
      <c r="A570" s="5"/>
    </row>
    <row r="571">
      <c r="A571" s="5"/>
    </row>
    <row r="572">
      <c r="A572" s="5"/>
    </row>
    <row r="573">
      <c r="A573" s="5"/>
    </row>
    <row r="574">
      <c r="A574" s="5"/>
    </row>
    <row r="575">
      <c r="A575" s="5"/>
    </row>
    <row r="576">
      <c r="A576" s="5"/>
    </row>
    <row r="577">
      <c r="A577" s="5"/>
    </row>
    <row r="578">
      <c r="A578" s="5"/>
    </row>
    <row r="579">
      <c r="A579" s="5"/>
    </row>
    <row r="580">
      <c r="A580" s="5"/>
    </row>
    <row r="581">
      <c r="A581" s="5"/>
    </row>
    <row r="582">
      <c r="A582" s="5"/>
    </row>
    <row r="583">
      <c r="A583" s="5"/>
    </row>
    <row r="584">
      <c r="A584" s="5"/>
    </row>
    <row r="585">
      <c r="A585" s="5"/>
    </row>
    <row r="586">
      <c r="A586" s="5"/>
    </row>
    <row r="587">
      <c r="A587" s="5"/>
    </row>
    <row r="588">
      <c r="A588" s="5"/>
    </row>
    <row r="589">
      <c r="A589" s="5"/>
    </row>
    <row r="590">
      <c r="A590" s="5"/>
    </row>
    <row r="591">
      <c r="A591" s="5"/>
    </row>
    <row r="592">
      <c r="A592" s="5"/>
    </row>
    <row r="593">
      <c r="A593" s="5"/>
    </row>
    <row r="594">
      <c r="A594" s="5"/>
    </row>
    <row r="595">
      <c r="A595" s="5"/>
    </row>
    <row r="596">
      <c r="A596" s="5"/>
    </row>
    <row r="597">
      <c r="A597" s="5"/>
    </row>
    <row r="598">
      <c r="A598" s="5"/>
    </row>
    <row r="599">
      <c r="A599" s="5"/>
    </row>
    <row r="600">
      <c r="A600" s="5"/>
    </row>
    <row r="601">
      <c r="A601" s="5"/>
    </row>
    <row r="602">
      <c r="A602" s="5"/>
    </row>
    <row r="603">
      <c r="A603" s="5"/>
    </row>
    <row r="604">
      <c r="A604" s="5"/>
    </row>
    <row r="605">
      <c r="A605" s="5"/>
    </row>
    <row r="606">
      <c r="A606" s="5"/>
    </row>
    <row r="607">
      <c r="A607" s="5"/>
    </row>
    <row r="608">
      <c r="A608" s="5"/>
    </row>
    <row r="609">
      <c r="A609" s="5"/>
    </row>
    <row r="610">
      <c r="A610" s="5"/>
    </row>
    <row r="611">
      <c r="A611" s="5"/>
    </row>
    <row r="612">
      <c r="A612" s="5"/>
    </row>
    <row r="613">
      <c r="A613" s="5"/>
    </row>
    <row r="614">
      <c r="A614" s="5"/>
    </row>
    <row r="615">
      <c r="A615" s="5"/>
    </row>
    <row r="616">
      <c r="A616" s="5"/>
    </row>
    <row r="617">
      <c r="A617" s="5"/>
    </row>
    <row r="618">
      <c r="A618" s="5"/>
    </row>
    <row r="619">
      <c r="A619" s="5"/>
    </row>
    <row r="620">
      <c r="A620" s="5"/>
    </row>
    <row r="621">
      <c r="A621" s="5"/>
    </row>
    <row r="622">
      <c r="A622" s="5"/>
    </row>
    <row r="623">
      <c r="A623" s="5"/>
    </row>
    <row r="624">
      <c r="A624" s="5"/>
    </row>
    <row r="625">
      <c r="A625" s="5"/>
    </row>
    <row r="626">
      <c r="A626" s="5"/>
    </row>
    <row r="627">
      <c r="A627" s="5"/>
    </row>
    <row r="628">
      <c r="A628" s="5"/>
    </row>
    <row r="629">
      <c r="A629" s="5"/>
    </row>
    <row r="630">
      <c r="A630" s="5"/>
    </row>
    <row r="631">
      <c r="A631" s="5"/>
    </row>
    <row r="632">
      <c r="A632" s="5"/>
    </row>
    <row r="633">
      <c r="A633" s="5"/>
    </row>
    <row r="634">
      <c r="A634" s="5"/>
    </row>
    <row r="635">
      <c r="A635" s="5"/>
    </row>
    <row r="636">
      <c r="A636" s="5"/>
    </row>
    <row r="637">
      <c r="A637" s="5"/>
    </row>
    <row r="638">
      <c r="A638" s="5"/>
    </row>
    <row r="639">
      <c r="A639" s="5"/>
    </row>
    <row r="640">
      <c r="A640" s="5"/>
    </row>
    <row r="641">
      <c r="A641" s="5"/>
    </row>
    <row r="642">
      <c r="A642" s="5"/>
    </row>
    <row r="643">
      <c r="A643" s="5"/>
    </row>
    <row r="644">
      <c r="A644" s="5"/>
    </row>
    <row r="645">
      <c r="A645" s="5"/>
    </row>
    <row r="646">
      <c r="A646" s="5"/>
    </row>
    <row r="647">
      <c r="A647" s="5"/>
    </row>
    <row r="648">
      <c r="A648" s="5"/>
    </row>
    <row r="649">
      <c r="A649" s="5"/>
    </row>
    <row r="650">
      <c r="A650" s="5"/>
    </row>
    <row r="651">
      <c r="A651" s="5"/>
    </row>
    <row r="652">
      <c r="A652" s="5"/>
    </row>
    <row r="653">
      <c r="A653" s="5"/>
    </row>
    <row r="654">
      <c r="A654" s="5"/>
    </row>
    <row r="655">
      <c r="A655" s="5"/>
    </row>
    <row r="656">
      <c r="A656" s="5"/>
    </row>
    <row r="657">
      <c r="A657" s="5"/>
    </row>
    <row r="658">
      <c r="A658" s="5"/>
    </row>
    <row r="659">
      <c r="A659" s="5"/>
    </row>
    <row r="660">
      <c r="A660" s="5"/>
    </row>
    <row r="661">
      <c r="A661" s="5"/>
    </row>
    <row r="662">
      <c r="A662" s="5"/>
    </row>
    <row r="663">
      <c r="A663" s="5"/>
    </row>
    <row r="664">
      <c r="A664" s="5"/>
    </row>
    <row r="665">
      <c r="A665" s="5"/>
    </row>
    <row r="666">
      <c r="A666" s="5"/>
    </row>
    <row r="667">
      <c r="A667" s="5"/>
    </row>
    <row r="668">
      <c r="A668" s="5"/>
    </row>
    <row r="669">
      <c r="A669" s="5"/>
    </row>
    <row r="670">
      <c r="A670" s="5"/>
    </row>
    <row r="671">
      <c r="A671" s="5"/>
    </row>
    <row r="672">
      <c r="A672" s="5"/>
    </row>
    <row r="673">
      <c r="A673" s="5"/>
    </row>
    <row r="674">
      <c r="A674" s="5"/>
    </row>
    <row r="675">
      <c r="A675" s="5"/>
    </row>
    <row r="676">
      <c r="A676" s="5"/>
    </row>
    <row r="677">
      <c r="A677" s="5"/>
    </row>
    <row r="678">
      <c r="A678" s="5"/>
    </row>
    <row r="679">
      <c r="A679" s="5"/>
    </row>
    <row r="680">
      <c r="A680" s="5"/>
    </row>
    <row r="681">
      <c r="A681" s="5"/>
    </row>
    <row r="682">
      <c r="A682" s="5"/>
    </row>
    <row r="683">
      <c r="A683" s="5"/>
    </row>
    <row r="684">
      <c r="A684" s="5"/>
    </row>
    <row r="685">
      <c r="A685" s="5"/>
    </row>
    <row r="686">
      <c r="A686" s="5"/>
    </row>
    <row r="687">
      <c r="A687" s="5"/>
    </row>
    <row r="688">
      <c r="A688" s="5"/>
    </row>
    <row r="689">
      <c r="A689" s="5"/>
    </row>
    <row r="690">
      <c r="A690" s="5"/>
    </row>
    <row r="691">
      <c r="A691" s="5"/>
    </row>
    <row r="692">
      <c r="A692" s="5"/>
    </row>
    <row r="693">
      <c r="A693" s="5"/>
    </row>
    <row r="694">
      <c r="A694" s="5"/>
    </row>
    <row r="695">
      <c r="A695" s="5"/>
    </row>
    <row r="696">
      <c r="A696" s="5"/>
    </row>
    <row r="697">
      <c r="A697" s="5"/>
    </row>
    <row r="698">
      <c r="A698" s="5"/>
    </row>
    <row r="699">
      <c r="A699" s="5"/>
    </row>
    <row r="700">
      <c r="A700" s="5"/>
    </row>
    <row r="701">
      <c r="A701" s="5"/>
    </row>
    <row r="702">
      <c r="A702" s="5"/>
    </row>
    <row r="703">
      <c r="A703" s="5"/>
    </row>
    <row r="704">
      <c r="A704" s="5"/>
    </row>
    <row r="705">
      <c r="A705" s="5"/>
    </row>
    <row r="706">
      <c r="A706" s="5"/>
    </row>
    <row r="707">
      <c r="A707" s="5"/>
    </row>
    <row r="708">
      <c r="A708" s="5"/>
    </row>
    <row r="709">
      <c r="A709" s="5"/>
    </row>
    <row r="710">
      <c r="A710" s="5"/>
    </row>
    <row r="711">
      <c r="A711" s="5"/>
    </row>
    <row r="712">
      <c r="A712" s="5"/>
    </row>
    <row r="713">
      <c r="A713" s="5"/>
    </row>
    <row r="714">
      <c r="A714" s="5"/>
    </row>
    <row r="715">
      <c r="A715" s="5"/>
    </row>
    <row r="716">
      <c r="A716" s="5"/>
    </row>
    <row r="717">
      <c r="A717" s="5"/>
    </row>
    <row r="718">
      <c r="A718" s="5"/>
    </row>
    <row r="719">
      <c r="A719" s="5"/>
    </row>
    <row r="720">
      <c r="A720" s="5"/>
    </row>
    <row r="721">
      <c r="A721" s="5"/>
    </row>
    <row r="722">
      <c r="A722" s="5"/>
    </row>
    <row r="723">
      <c r="A723" s="5"/>
    </row>
    <row r="724">
      <c r="A724" s="5"/>
    </row>
    <row r="725">
      <c r="A725" s="5"/>
    </row>
    <row r="726">
      <c r="A726" s="5"/>
    </row>
    <row r="727">
      <c r="A727" s="5"/>
    </row>
    <row r="728">
      <c r="A728" s="5"/>
    </row>
    <row r="729">
      <c r="A729" s="5"/>
    </row>
    <row r="730">
      <c r="A730" s="5"/>
    </row>
    <row r="731">
      <c r="A731" s="5"/>
    </row>
    <row r="732">
      <c r="A732" s="5"/>
    </row>
    <row r="733">
      <c r="A733" s="5"/>
    </row>
    <row r="734">
      <c r="A734" s="5"/>
    </row>
    <row r="735">
      <c r="A735" s="5"/>
    </row>
    <row r="736">
      <c r="A736" s="5"/>
    </row>
    <row r="737">
      <c r="A737" s="5"/>
    </row>
    <row r="738">
      <c r="A738" s="5"/>
    </row>
    <row r="739">
      <c r="A739" s="5"/>
    </row>
    <row r="740">
      <c r="A740" s="5"/>
    </row>
    <row r="741">
      <c r="A741" s="5"/>
    </row>
    <row r="742">
      <c r="A742" s="5"/>
    </row>
    <row r="743">
      <c r="A743" s="5"/>
    </row>
    <row r="744">
      <c r="A744" s="5"/>
    </row>
    <row r="745">
      <c r="A745" s="5"/>
    </row>
    <row r="746">
      <c r="A746" s="5"/>
    </row>
    <row r="747">
      <c r="A747" s="5"/>
    </row>
    <row r="748">
      <c r="A748" s="5"/>
    </row>
    <row r="749">
      <c r="A749" s="5"/>
    </row>
    <row r="750">
      <c r="A750" s="5"/>
    </row>
    <row r="751">
      <c r="A751" s="5"/>
    </row>
    <row r="752">
      <c r="A752" s="5"/>
    </row>
    <row r="753">
      <c r="A753" s="5"/>
    </row>
    <row r="754">
      <c r="A754" s="5"/>
    </row>
    <row r="755">
      <c r="A755" s="5"/>
    </row>
    <row r="756">
      <c r="A756" s="5"/>
    </row>
    <row r="757">
      <c r="A757" s="5"/>
    </row>
    <row r="758">
      <c r="A758" s="5"/>
    </row>
    <row r="759">
      <c r="A759" s="5"/>
    </row>
    <row r="760">
      <c r="A760" s="5"/>
    </row>
    <row r="761">
      <c r="A761" s="5"/>
    </row>
    <row r="762">
      <c r="A762" s="5"/>
    </row>
    <row r="763">
      <c r="A763" s="5"/>
    </row>
    <row r="764">
      <c r="A764" s="5"/>
    </row>
    <row r="765">
      <c r="A765" s="5"/>
    </row>
    <row r="766">
      <c r="A766" s="5"/>
    </row>
    <row r="767">
      <c r="A767" s="5"/>
    </row>
    <row r="768">
      <c r="A768" s="5"/>
    </row>
    <row r="769">
      <c r="A769" s="5"/>
    </row>
    <row r="770">
      <c r="A770" s="5"/>
    </row>
    <row r="771">
      <c r="A771" s="5"/>
    </row>
    <row r="772">
      <c r="A772" s="5"/>
    </row>
    <row r="773">
      <c r="A773" s="5"/>
    </row>
    <row r="774">
      <c r="A774" s="5"/>
    </row>
    <row r="775">
      <c r="A775" s="5"/>
    </row>
    <row r="776">
      <c r="A776" s="5"/>
    </row>
    <row r="777">
      <c r="A777" s="5"/>
    </row>
    <row r="778">
      <c r="A778" s="5"/>
    </row>
    <row r="779">
      <c r="A779" s="5"/>
    </row>
    <row r="780">
      <c r="A780" s="5"/>
    </row>
    <row r="781">
      <c r="A781" s="5"/>
    </row>
    <row r="782">
      <c r="A782" s="5"/>
    </row>
    <row r="783">
      <c r="A783" s="5"/>
    </row>
    <row r="784">
      <c r="A784" s="5"/>
    </row>
    <row r="785">
      <c r="A785" s="5"/>
    </row>
    <row r="786">
      <c r="A786" s="5"/>
    </row>
    <row r="787">
      <c r="A787" s="5"/>
    </row>
    <row r="788">
      <c r="A788" s="5"/>
    </row>
    <row r="789">
      <c r="A789" s="5"/>
    </row>
    <row r="790">
      <c r="A790" s="5"/>
    </row>
    <row r="791">
      <c r="A791" s="5"/>
    </row>
    <row r="792">
      <c r="A792" s="5"/>
    </row>
    <row r="793">
      <c r="A793" s="5"/>
    </row>
    <row r="794">
      <c r="A794" s="5"/>
    </row>
    <row r="795">
      <c r="A795" s="5"/>
    </row>
    <row r="796">
      <c r="A796" s="5"/>
    </row>
    <row r="797">
      <c r="A797" s="5"/>
    </row>
    <row r="798">
      <c r="A798" s="5"/>
    </row>
    <row r="799">
      <c r="A799" s="5"/>
    </row>
    <row r="800">
      <c r="A800" s="5"/>
    </row>
    <row r="801">
      <c r="A801" s="5"/>
    </row>
    <row r="802">
      <c r="A802" s="5"/>
    </row>
    <row r="803">
      <c r="A803" s="5"/>
    </row>
    <row r="804">
      <c r="A804" s="5"/>
    </row>
    <row r="805">
      <c r="A805" s="5"/>
    </row>
    <row r="806">
      <c r="A806" s="5"/>
    </row>
    <row r="807">
      <c r="A807" s="5"/>
    </row>
    <row r="808">
      <c r="A808" s="5"/>
    </row>
    <row r="809">
      <c r="A809" s="5"/>
    </row>
    <row r="810">
      <c r="A810" s="5"/>
    </row>
    <row r="811">
      <c r="A811" s="5"/>
    </row>
    <row r="812">
      <c r="A812" s="5"/>
    </row>
    <row r="813">
      <c r="A813" s="5"/>
    </row>
    <row r="814">
      <c r="A814" s="5"/>
    </row>
    <row r="815">
      <c r="A815" s="5"/>
    </row>
    <row r="816">
      <c r="A816" s="5"/>
    </row>
    <row r="817">
      <c r="A817" s="5"/>
    </row>
    <row r="818">
      <c r="A818" s="5"/>
    </row>
    <row r="819">
      <c r="A819" s="5"/>
    </row>
    <row r="820">
      <c r="A820" s="5"/>
    </row>
    <row r="821">
      <c r="A821" s="5"/>
    </row>
    <row r="822">
      <c r="A822" s="5"/>
    </row>
    <row r="823">
      <c r="A823" s="5"/>
    </row>
    <row r="824">
      <c r="A824" s="5"/>
    </row>
    <row r="825">
      <c r="A825" s="5"/>
    </row>
    <row r="826">
      <c r="A826" s="5"/>
    </row>
    <row r="827">
      <c r="A827" s="5"/>
    </row>
    <row r="828">
      <c r="A828" s="5"/>
    </row>
    <row r="829">
      <c r="A829" s="5"/>
    </row>
    <row r="830">
      <c r="A830" s="5"/>
    </row>
    <row r="831">
      <c r="A831" s="5"/>
    </row>
    <row r="832">
      <c r="A832" s="5"/>
    </row>
    <row r="833">
      <c r="A833" s="5"/>
    </row>
    <row r="834">
      <c r="A834" s="5"/>
    </row>
    <row r="835">
      <c r="A835" s="5"/>
    </row>
    <row r="836">
      <c r="A836" s="5"/>
    </row>
    <row r="837">
      <c r="A837" s="5"/>
    </row>
    <row r="838">
      <c r="A838" s="5"/>
    </row>
    <row r="839">
      <c r="A839" s="5"/>
    </row>
    <row r="840">
      <c r="A840" s="5"/>
    </row>
    <row r="841">
      <c r="A841" s="5"/>
    </row>
    <row r="842">
      <c r="A842" s="5"/>
    </row>
    <row r="843">
      <c r="A843" s="5"/>
    </row>
    <row r="844">
      <c r="A844" s="5"/>
    </row>
    <row r="845">
      <c r="A845" s="5"/>
    </row>
    <row r="846">
      <c r="A846" s="5"/>
    </row>
    <row r="847">
      <c r="A847" s="5"/>
    </row>
    <row r="848">
      <c r="A848" s="5"/>
    </row>
    <row r="849">
      <c r="A849" s="5"/>
    </row>
    <row r="850">
      <c r="A850" s="5"/>
    </row>
    <row r="851">
      <c r="A851" s="5"/>
    </row>
    <row r="852">
      <c r="A852" s="5"/>
    </row>
    <row r="853">
      <c r="A853" s="5"/>
    </row>
    <row r="854">
      <c r="A854" s="5"/>
    </row>
    <row r="855">
      <c r="A855" s="5"/>
    </row>
    <row r="856">
      <c r="A856" s="5"/>
    </row>
    <row r="857">
      <c r="A857" s="5"/>
    </row>
    <row r="858">
      <c r="A858" s="5"/>
    </row>
    <row r="859">
      <c r="A859" s="5"/>
    </row>
    <row r="860">
      <c r="A860" s="5"/>
    </row>
    <row r="861">
      <c r="A861" s="5"/>
    </row>
    <row r="862">
      <c r="A862" s="5"/>
    </row>
    <row r="863">
      <c r="A863" s="5"/>
    </row>
    <row r="864">
      <c r="A864" s="5"/>
    </row>
    <row r="865">
      <c r="A865" s="5"/>
    </row>
    <row r="866">
      <c r="A866" s="5"/>
    </row>
    <row r="867">
      <c r="A867" s="5"/>
    </row>
    <row r="868">
      <c r="A868" s="5"/>
    </row>
    <row r="869">
      <c r="A869" s="5"/>
    </row>
    <row r="870">
      <c r="A870" s="5"/>
    </row>
    <row r="871">
      <c r="A871" s="5"/>
    </row>
    <row r="872">
      <c r="A872" s="5"/>
    </row>
    <row r="873">
      <c r="A873" s="5"/>
    </row>
    <row r="874">
      <c r="A874" s="5"/>
    </row>
    <row r="875">
      <c r="A875" s="5"/>
    </row>
    <row r="876">
      <c r="A876" s="5"/>
    </row>
    <row r="877">
      <c r="A877" s="5"/>
    </row>
    <row r="878">
      <c r="A878" s="5"/>
    </row>
    <row r="879">
      <c r="A879" s="5"/>
    </row>
    <row r="880">
      <c r="A880" s="5"/>
    </row>
    <row r="881">
      <c r="A881" s="5"/>
    </row>
    <row r="882">
      <c r="A882" s="5"/>
    </row>
    <row r="883">
      <c r="A883" s="5"/>
    </row>
    <row r="884">
      <c r="A884" s="5"/>
    </row>
    <row r="885">
      <c r="A885" s="5"/>
    </row>
    <row r="886">
      <c r="A886" s="5"/>
    </row>
    <row r="887">
      <c r="A887" s="5"/>
    </row>
    <row r="888">
      <c r="A888" s="5"/>
    </row>
    <row r="889">
      <c r="A889" s="5"/>
    </row>
    <row r="890">
      <c r="A890" s="5"/>
    </row>
    <row r="891">
      <c r="A891" s="5"/>
    </row>
    <row r="892">
      <c r="A892" s="5"/>
    </row>
    <row r="893">
      <c r="A893" s="5"/>
    </row>
    <row r="894">
      <c r="A894" s="5"/>
    </row>
    <row r="895">
      <c r="A895" s="5"/>
    </row>
    <row r="896">
      <c r="A896" s="5"/>
    </row>
    <row r="897">
      <c r="A897" s="5"/>
    </row>
    <row r="898">
      <c r="A898" s="5"/>
    </row>
    <row r="899">
      <c r="A899" s="5"/>
    </row>
    <row r="900">
      <c r="A900" s="5"/>
    </row>
    <row r="901">
      <c r="A901" s="5"/>
    </row>
    <row r="902">
      <c r="A902" s="5"/>
    </row>
    <row r="903">
      <c r="A903" s="5"/>
    </row>
    <row r="904">
      <c r="A904" s="5"/>
    </row>
    <row r="905">
      <c r="A905" s="5"/>
    </row>
    <row r="906">
      <c r="A906" s="5"/>
    </row>
    <row r="907">
      <c r="A907" s="5"/>
    </row>
    <row r="908">
      <c r="A908" s="5"/>
    </row>
    <row r="909">
      <c r="A909" s="5"/>
    </row>
    <row r="910">
      <c r="A910" s="5"/>
    </row>
    <row r="911">
      <c r="A911" s="5"/>
    </row>
    <row r="912">
      <c r="A912" s="5"/>
    </row>
    <row r="913">
      <c r="A913" s="5"/>
    </row>
    <row r="914">
      <c r="A914" s="5"/>
    </row>
    <row r="915">
      <c r="A915" s="5"/>
    </row>
    <row r="916">
      <c r="A916" s="5"/>
    </row>
    <row r="917">
      <c r="A917" s="5"/>
    </row>
    <row r="918">
      <c r="A918" s="5"/>
    </row>
    <row r="919">
      <c r="A919" s="5"/>
    </row>
    <row r="920">
      <c r="A920" s="5"/>
    </row>
    <row r="921">
      <c r="A921" s="5"/>
    </row>
    <row r="922">
      <c r="A922" s="5"/>
    </row>
    <row r="923">
      <c r="A923" s="5"/>
    </row>
    <row r="924">
      <c r="A924" s="5"/>
    </row>
    <row r="925">
      <c r="A925" s="5"/>
    </row>
    <row r="926">
      <c r="A926" s="5"/>
    </row>
    <row r="927">
      <c r="A927" s="5"/>
    </row>
    <row r="928">
      <c r="A928" s="5"/>
    </row>
    <row r="929">
      <c r="A929" s="5"/>
    </row>
    <row r="930">
      <c r="A930" s="5"/>
    </row>
    <row r="931">
      <c r="A931" s="5"/>
    </row>
    <row r="932">
      <c r="A932" s="5"/>
    </row>
    <row r="933">
      <c r="A933" s="5"/>
    </row>
    <row r="934">
      <c r="A934" s="5"/>
    </row>
    <row r="935">
      <c r="A935" s="5"/>
    </row>
    <row r="936">
      <c r="A936" s="5"/>
    </row>
    <row r="937">
      <c r="A937" s="5"/>
    </row>
    <row r="938">
      <c r="A938" s="5"/>
    </row>
    <row r="939">
      <c r="A939" s="5"/>
    </row>
    <row r="940">
      <c r="A940" s="5"/>
    </row>
    <row r="941">
      <c r="A941" s="5"/>
    </row>
    <row r="942">
      <c r="A942" s="5"/>
    </row>
    <row r="943">
      <c r="A943" s="5"/>
    </row>
    <row r="944">
      <c r="A944" s="5"/>
    </row>
    <row r="945">
      <c r="A945" s="5"/>
    </row>
    <row r="946">
      <c r="A946" s="5"/>
    </row>
    <row r="947">
      <c r="A947" s="5"/>
    </row>
    <row r="948">
      <c r="A948" s="5"/>
    </row>
    <row r="949">
      <c r="A949" s="5"/>
    </row>
    <row r="950">
      <c r="A950" s="5"/>
    </row>
    <row r="951">
      <c r="A951" s="5"/>
    </row>
    <row r="952">
      <c r="A952" s="5"/>
    </row>
    <row r="953">
      <c r="A953" s="5"/>
    </row>
    <row r="954">
      <c r="A954" s="5"/>
    </row>
    <row r="955">
      <c r="A955" s="5"/>
    </row>
    <row r="956">
      <c r="A956" s="5"/>
    </row>
    <row r="957">
      <c r="A957" s="5"/>
    </row>
    <row r="958">
      <c r="A958" s="5"/>
    </row>
    <row r="959">
      <c r="A959" s="5"/>
    </row>
    <row r="960">
      <c r="A960" s="5"/>
    </row>
    <row r="961">
      <c r="A961" s="5"/>
    </row>
    <row r="962">
      <c r="A962" s="5"/>
    </row>
    <row r="963">
      <c r="A963" s="5"/>
    </row>
    <row r="964">
      <c r="A964" s="5"/>
    </row>
    <row r="965">
      <c r="A965" s="5"/>
    </row>
    <row r="966">
      <c r="A966" s="5"/>
    </row>
    <row r="967">
      <c r="A967" s="5"/>
    </row>
    <row r="968">
      <c r="A968" s="5"/>
    </row>
    <row r="969">
      <c r="A969" s="5"/>
    </row>
    <row r="970">
      <c r="A970" s="5"/>
    </row>
    <row r="971">
      <c r="A971" s="5"/>
    </row>
    <row r="972">
      <c r="A972" s="5"/>
    </row>
    <row r="973">
      <c r="A973" s="5"/>
    </row>
    <row r="974">
      <c r="A974" s="5"/>
    </row>
    <row r="975">
      <c r="A975" s="5"/>
    </row>
    <row r="976">
      <c r="A976" s="5"/>
    </row>
    <row r="977">
      <c r="A977" s="5"/>
    </row>
    <row r="978">
      <c r="A978" s="5"/>
    </row>
    <row r="979">
      <c r="A979" s="5"/>
    </row>
    <row r="980">
      <c r="A980" s="5"/>
    </row>
    <row r="981">
      <c r="A981" s="5"/>
    </row>
    <row r="982">
      <c r="A982" s="5"/>
    </row>
    <row r="983">
      <c r="A983" s="5"/>
    </row>
    <row r="984">
      <c r="A984" s="5"/>
    </row>
    <row r="985">
      <c r="A985" s="5"/>
    </row>
    <row r="986">
      <c r="A986" s="5"/>
    </row>
    <row r="987">
      <c r="A987" s="5"/>
    </row>
    <row r="988">
      <c r="A988" s="5"/>
    </row>
    <row r="989">
      <c r="A989" s="5"/>
    </row>
    <row r="990">
      <c r="A990" s="5"/>
    </row>
    <row r="991">
      <c r="A991" s="5"/>
    </row>
    <row r="992">
      <c r="A992" s="5"/>
    </row>
    <row r="993">
      <c r="A993" s="5"/>
    </row>
    <row r="994">
      <c r="A994" s="5"/>
    </row>
    <row r="995">
      <c r="A995" s="5"/>
    </row>
    <row r="996">
      <c r="A996" s="5"/>
    </row>
    <row r="997">
      <c r="A997" s="5"/>
    </row>
    <row r="998">
      <c r="A998" s="5"/>
    </row>
    <row r="999">
      <c r="A999" s="5"/>
    </row>
    <row r="1000">
      <c r="A1000" s="5"/>
    </row>
  </sheetData>
  <dataValidations>
    <dataValidation type="list" allowBlank="1" showErrorMessage="1" sqref="A1:A1000">
      <formula1>"Not Run,Pass,Fail,Blocked,Retest,N/A"</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
    <col customWidth="1" min="2" max="2" width="36.5"/>
    <col customWidth="1" min="3" max="3" width="35.38"/>
    <col customWidth="1" min="4" max="4" width="28.38"/>
    <col customWidth="1" min="5" max="5" width="14.25"/>
    <col customWidth="1" min="6" max="6" width="44.5"/>
    <col customWidth="1" min="7" max="7" width="25.0"/>
  </cols>
  <sheetData>
    <row r="1">
      <c r="A1" s="6" t="s">
        <v>1308</v>
      </c>
      <c r="B1" s="6" t="s">
        <v>1316</v>
      </c>
      <c r="C1" s="6" t="s">
        <v>1317</v>
      </c>
      <c r="D1" s="6" t="s">
        <v>0</v>
      </c>
      <c r="E1" s="6" t="s">
        <v>1319</v>
      </c>
      <c r="F1" s="6" t="s">
        <v>1321</v>
      </c>
      <c r="G1" s="6" t="s">
        <v>1324</v>
      </c>
      <c r="I1" s="2"/>
      <c r="J1" s="2"/>
      <c r="K1" s="2"/>
      <c r="L1" s="2"/>
      <c r="M1" s="2"/>
      <c r="N1" s="2"/>
      <c r="O1" s="2"/>
      <c r="P1" s="2"/>
      <c r="Q1" s="2"/>
      <c r="R1" s="2"/>
      <c r="S1" s="2"/>
      <c r="T1" s="2"/>
      <c r="U1" s="2"/>
      <c r="V1" s="2"/>
      <c r="W1" s="2"/>
      <c r="X1" s="2"/>
      <c r="Y1" s="2"/>
      <c r="Z1" s="2"/>
      <c r="AA1" s="2"/>
    </row>
    <row r="2">
      <c r="A2" s="1">
        <v>1.0</v>
      </c>
      <c r="B2" s="1" t="s">
        <v>1329</v>
      </c>
      <c r="C2" s="7" t="s">
        <v>1330</v>
      </c>
      <c r="D2" s="1" t="s">
        <v>1339</v>
      </c>
      <c r="E2" s="7" t="s">
        <v>1340</v>
      </c>
      <c r="F2" s="7" t="s">
        <v>1341</v>
      </c>
      <c r="G2" s="8" t="s">
        <v>1342</v>
      </c>
      <c r="I2" s="2"/>
      <c r="J2" s="2"/>
      <c r="K2" s="2"/>
      <c r="L2" s="2"/>
      <c r="M2" s="2"/>
      <c r="N2" s="2"/>
      <c r="O2" s="2"/>
      <c r="P2" s="2"/>
      <c r="Q2" s="2"/>
      <c r="R2" s="2"/>
      <c r="S2" s="2"/>
      <c r="T2" s="2"/>
      <c r="U2" s="2"/>
      <c r="V2" s="2"/>
      <c r="W2" s="2"/>
      <c r="X2" s="2"/>
      <c r="Y2" s="2"/>
      <c r="Z2" s="2"/>
      <c r="AA2" s="2"/>
    </row>
    <row r="3">
      <c r="A3" s="1">
        <v>2.0</v>
      </c>
      <c r="B3" s="1" t="s">
        <v>1347</v>
      </c>
      <c r="C3" s="7" t="s">
        <v>1348</v>
      </c>
      <c r="D3" s="1" t="s">
        <v>1339</v>
      </c>
      <c r="E3" s="7" t="s">
        <v>1340</v>
      </c>
      <c r="F3" s="7" t="s">
        <v>1349</v>
      </c>
      <c r="G3" s="8" t="s">
        <v>1342</v>
      </c>
      <c r="I3" s="2"/>
      <c r="J3" s="2"/>
      <c r="K3" s="2"/>
      <c r="L3" s="2"/>
      <c r="M3" s="2"/>
      <c r="N3" s="2"/>
      <c r="O3" s="2"/>
      <c r="P3" s="2"/>
      <c r="Q3" s="2"/>
      <c r="R3" s="2"/>
      <c r="S3" s="2"/>
      <c r="T3" s="2"/>
      <c r="U3" s="2"/>
      <c r="V3" s="2"/>
      <c r="W3" s="2"/>
      <c r="X3" s="2"/>
      <c r="Y3" s="2"/>
      <c r="Z3" s="2"/>
      <c r="AA3" s="2"/>
    </row>
    <row r="4">
      <c r="A4" s="1">
        <v>3.0</v>
      </c>
      <c r="B4" s="1" t="s">
        <v>1352</v>
      </c>
      <c r="C4" s="7" t="s">
        <v>1353</v>
      </c>
      <c r="D4" s="1" t="s">
        <v>1339</v>
      </c>
      <c r="E4" s="7" t="s">
        <v>1340</v>
      </c>
      <c r="F4" s="7" t="s">
        <v>1356</v>
      </c>
      <c r="G4" s="8" t="s">
        <v>1342</v>
      </c>
      <c r="I4" s="2"/>
      <c r="J4" s="2"/>
      <c r="K4" s="2"/>
      <c r="L4" s="2"/>
      <c r="M4" s="2"/>
      <c r="N4" s="2"/>
      <c r="O4" s="2"/>
      <c r="P4" s="2"/>
      <c r="Q4" s="2"/>
      <c r="R4" s="2"/>
      <c r="S4" s="2"/>
      <c r="T4" s="2"/>
      <c r="U4" s="2"/>
      <c r="V4" s="2"/>
      <c r="W4" s="2"/>
      <c r="X4" s="2"/>
      <c r="Y4" s="2"/>
      <c r="Z4" s="2"/>
      <c r="AA4" s="2"/>
    </row>
    <row r="5">
      <c r="A5" s="1">
        <v>4.0</v>
      </c>
      <c r="B5" s="1" t="s">
        <v>1358</v>
      </c>
      <c r="C5" s="7" t="s">
        <v>1360</v>
      </c>
      <c r="D5" s="1" t="s">
        <v>1339</v>
      </c>
      <c r="E5" s="7" t="s">
        <v>1340</v>
      </c>
      <c r="F5" s="7" t="s">
        <v>1363</v>
      </c>
      <c r="G5" s="8" t="s">
        <v>1342</v>
      </c>
      <c r="I5" s="2"/>
      <c r="J5" s="2"/>
      <c r="K5" s="2"/>
      <c r="L5" s="2"/>
      <c r="M5" s="2"/>
      <c r="N5" s="2"/>
      <c r="O5" s="2"/>
      <c r="P5" s="2"/>
      <c r="Q5" s="2"/>
      <c r="R5" s="2"/>
      <c r="S5" s="2"/>
      <c r="T5" s="2"/>
      <c r="U5" s="2"/>
      <c r="V5" s="2"/>
      <c r="W5" s="2"/>
      <c r="X5" s="2"/>
      <c r="Y5" s="2"/>
      <c r="Z5" s="2"/>
      <c r="AA5" s="2"/>
    </row>
    <row r="6">
      <c r="A6" s="1">
        <v>5.0</v>
      </c>
      <c r="B6" s="1" t="s">
        <v>1365</v>
      </c>
      <c r="C6" s="7" t="s">
        <v>1367</v>
      </c>
      <c r="D6" s="2" t="s">
        <v>1369</v>
      </c>
      <c r="E6" s="7" t="s">
        <v>1340</v>
      </c>
      <c r="F6" s="7" t="s">
        <v>1371</v>
      </c>
      <c r="G6" s="8" t="s">
        <v>1372</v>
      </c>
      <c r="I6" s="2"/>
      <c r="J6" s="2"/>
      <c r="K6" s="2"/>
      <c r="L6" s="2"/>
      <c r="M6" s="2"/>
      <c r="N6" s="2"/>
      <c r="O6" s="2"/>
      <c r="P6" s="2"/>
      <c r="Q6" s="2"/>
      <c r="R6" s="2"/>
      <c r="S6" s="2"/>
      <c r="T6" s="2"/>
      <c r="U6" s="2"/>
      <c r="V6" s="2"/>
      <c r="W6" s="2"/>
      <c r="X6" s="2"/>
      <c r="Y6" s="2"/>
      <c r="Z6" s="2"/>
      <c r="AA6" s="2"/>
    </row>
    <row r="7">
      <c r="A7" s="1">
        <v>6.0</v>
      </c>
      <c r="B7" s="1" t="s">
        <v>1374</v>
      </c>
      <c r="C7" s="7" t="s">
        <v>1375</v>
      </c>
      <c r="D7" s="1" t="s">
        <v>1339</v>
      </c>
      <c r="E7" s="7" t="s">
        <v>1340</v>
      </c>
      <c r="F7" s="7" t="s">
        <v>1379</v>
      </c>
      <c r="G7" s="8" t="s">
        <v>1342</v>
      </c>
      <c r="I7" s="2"/>
      <c r="J7" s="2"/>
      <c r="K7" s="2"/>
      <c r="L7" s="2"/>
      <c r="M7" s="2"/>
      <c r="N7" s="2"/>
      <c r="O7" s="2"/>
      <c r="P7" s="2"/>
      <c r="Q7" s="2"/>
      <c r="R7" s="2"/>
      <c r="S7" s="2"/>
      <c r="T7" s="2"/>
      <c r="U7" s="2"/>
      <c r="V7" s="2"/>
      <c r="W7" s="2"/>
      <c r="X7" s="2"/>
      <c r="Y7" s="2"/>
      <c r="Z7" s="2"/>
      <c r="AA7" s="2"/>
    </row>
    <row r="8">
      <c r="A8" s="1">
        <v>7.0</v>
      </c>
      <c r="B8" s="1" t="s">
        <v>1380</v>
      </c>
      <c r="C8" s="7" t="s">
        <v>1382</v>
      </c>
      <c r="D8" s="1" t="s">
        <v>1384</v>
      </c>
      <c r="E8" s="7" t="s">
        <v>1386</v>
      </c>
      <c r="F8" s="7" t="s">
        <v>1388</v>
      </c>
      <c r="G8" s="8" t="s">
        <v>1389</v>
      </c>
      <c r="I8" s="2"/>
      <c r="J8" s="2"/>
      <c r="K8" s="2"/>
      <c r="L8" s="2"/>
      <c r="M8" s="2"/>
      <c r="N8" s="2"/>
      <c r="O8" s="2"/>
      <c r="P8" s="2"/>
      <c r="Q8" s="2"/>
      <c r="R8" s="2"/>
      <c r="S8" s="2"/>
      <c r="T8" s="2"/>
      <c r="U8" s="2"/>
      <c r="V8" s="2"/>
      <c r="W8" s="2"/>
      <c r="X8" s="2"/>
      <c r="Y8" s="2"/>
      <c r="Z8" s="2"/>
      <c r="AA8" s="2"/>
    </row>
    <row r="9">
      <c r="A9" s="1">
        <v>8.0</v>
      </c>
      <c r="B9" s="1" t="s">
        <v>1391</v>
      </c>
      <c r="C9" s="7" t="s">
        <v>1392</v>
      </c>
      <c r="D9" s="1" t="s">
        <v>1384</v>
      </c>
      <c r="E9" s="7" t="s">
        <v>1395</v>
      </c>
      <c r="F9" s="7" t="s">
        <v>1397</v>
      </c>
      <c r="G9" s="8" t="s">
        <v>1389</v>
      </c>
      <c r="I9" s="2"/>
      <c r="J9" s="2"/>
      <c r="K9" s="2"/>
      <c r="L9" s="2"/>
      <c r="M9" s="2"/>
      <c r="N9" s="2"/>
      <c r="O9" s="2"/>
      <c r="P9" s="2"/>
      <c r="Q9" s="2"/>
      <c r="R9" s="2"/>
      <c r="S9" s="2"/>
      <c r="T9" s="2"/>
      <c r="U9" s="2"/>
      <c r="V9" s="2"/>
      <c r="W9" s="2"/>
      <c r="X9" s="2"/>
      <c r="Y9" s="2"/>
      <c r="Z9" s="2"/>
      <c r="AA9" s="2"/>
    </row>
    <row r="10">
      <c r="A10" s="1">
        <v>9.0</v>
      </c>
      <c r="B10" s="1" t="s">
        <v>1398</v>
      </c>
      <c r="C10" s="7" t="s">
        <v>1400</v>
      </c>
      <c r="D10" s="1" t="s">
        <v>1384</v>
      </c>
      <c r="E10" s="7" t="s">
        <v>1402</v>
      </c>
      <c r="F10" s="7" t="s">
        <v>1403</v>
      </c>
      <c r="G10" s="8" t="s">
        <v>1389</v>
      </c>
      <c r="I10" s="2"/>
      <c r="J10" s="2"/>
      <c r="K10" s="2"/>
      <c r="L10" s="2"/>
      <c r="M10" s="2"/>
      <c r="N10" s="2"/>
      <c r="O10" s="2"/>
      <c r="P10" s="2"/>
      <c r="Q10" s="2"/>
      <c r="R10" s="2"/>
      <c r="S10" s="2"/>
      <c r="T10" s="2"/>
      <c r="U10" s="2"/>
      <c r="V10" s="2"/>
      <c r="W10" s="2"/>
      <c r="X10" s="2"/>
      <c r="Y10" s="2"/>
      <c r="Z10" s="2"/>
      <c r="AA10" s="2"/>
    </row>
    <row r="11">
      <c r="A11" s="1">
        <v>10.0</v>
      </c>
      <c r="B11" s="1" t="s">
        <v>1406</v>
      </c>
      <c r="C11" s="7" t="s">
        <v>1407</v>
      </c>
      <c r="D11" s="1" t="s">
        <v>1384</v>
      </c>
      <c r="E11" s="7" t="s">
        <v>1409</v>
      </c>
      <c r="F11" s="7" t="s">
        <v>1410</v>
      </c>
      <c r="G11" s="8" t="s">
        <v>1389</v>
      </c>
      <c r="I11" s="2"/>
      <c r="J11" s="2"/>
      <c r="K11" s="2"/>
      <c r="L11" s="2"/>
      <c r="M11" s="2"/>
      <c r="N11" s="2"/>
      <c r="O11" s="2"/>
      <c r="P11" s="2"/>
      <c r="Q11" s="2"/>
      <c r="R11" s="2"/>
      <c r="S11" s="2"/>
      <c r="T11" s="2"/>
      <c r="U11" s="2"/>
      <c r="V11" s="2"/>
      <c r="W11" s="2"/>
      <c r="X11" s="2"/>
      <c r="Y11" s="2"/>
      <c r="Z11" s="2"/>
      <c r="AA11" s="2"/>
    </row>
    <row r="12">
      <c r="A12" s="1">
        <v>11.0</v>
      </c>
      <c r="B12" s="1" t="s">
        <v>1414</v>
      </c>
      <c r="C12" s="7" t="s">
        <v>1415</v>
      </c>
      <c r="D12" s="1" t="s">
        <v>1339</v>
      </c>
      <c r="E12" s="7" t="s">
        <v>1340</v>
      </c>
      <c r="F12" s="7" t="s">
        <v>1416</v>
      </c>
      <c r="G12" s="8" t="s">
        <v>1342</v>
      </c>
      <c r="I12" s="2"/>
      <c r="J12" s="2"/>
      <c r="K12" s="2"/>
      <c r="L12" s="2"/>
      <c r="M12" s="2"/>
      <c r="N12" s="2"/>
      <c r="O12" s="2"/>
      <c r="P12" s="2"/>
      <c r="Q12" s="2"/>
      <c r="R12" s="2"/>
      <c r="S12" s="2"/>
      <c r="T12" s="2"/>
      <c r="U12" s="2"/>
      <c r="V12" s="2"/>
      <c r="W12" s="2"/>
      <c r="X12" s="2"/>
      <c r="Y12" s="2"/>
      <c r="Z12" s="2"/>
      <c r="AA12" s="2"/>
    </row>
    <row r="13">
      <c r="A13" s="1">
        <v>12.0</v>
      </c>
      <c r="B13" s="1" t="s">
        <v>1421</v>
      </c>
      <c r="C13" s="7" t="s">
        <v>1422</v>
      </c>
      <c r="D13" s="1" t="s">
        <v>1339</v>
      </c>
      <c r="E13" s="7" t="s">
        <v>1340</v>
      </c>
      <c r="F13" s="7" t="s">
        <v>1423</v>
      </c>
      <c r="G13" s="8" t="s">
        <v>1342</v>
      </c>
      <c r="I13" s="2"/>
      <c r="J13" s="2"/>
      <c r="K13" s="2"/>
      <c r="L13" s="2"/>
      <c r="M13" s="2"/>
      <c r="N13" s="2"/>
      <c r="O13" s="2"/>
      <c r="P13" s="2"/>
      <c r="Q13" s="2"/>
      <c r="R13" s="2"/>
      <c r="S13" s="2"/>
      <c r="T13" s="2"/>
      <c r="U13" s="2"/>
      <c r="V13" s="2"/>
      <c r="W13" s="2"/>
      <c r="X13" s="2"/>
      <c r="Y13" s="2"/>
      <c r="Z13" s="2"/>
      <c r="AA13" s="2"/>
    </row>
    <row r="14">
      <c r="A14" s="1">
        <v>13.0</v>
      </c>
      <c r="B14" s="1" t="s">
        <v>1428</v>
      </c>
      <c r="C14" s="7" t="s">
        <v>1429</v>
      </c>
      <c r="D14" s="1" t="s">
        <v>1339</v>
      </c>
      <c r="E14" s="7" t="s">
        <v>1340</v>
      </c>
      <c r="F14" s="7" t="s">
        <v>1430</v>
      </c>
      <c r="G14" s="8" t="s">
        <v>1342</v>
      </c>
      <c r="I14" s="2"/>
      <c r="J14" s="2"/>
      <c r="K14" s="2"/>
      <c r="L14" s="2"/>
      <c r="M14" s="2"/>
      <c r="N14" s="2"/>
      <c r="O14" s="2"/>
      <c r="P14" s="2"/>
      <c r="Q14" s="2"/>
      <c r="R14" s="2"/>
      <c r="S14" s="2"/>
      <c r="T14" s="2"/>
      <c r="U14" s="2"/>
      <c r="V14" s="2"/>
      <c r="W14" s="2"/>
      <c r="X14" s="2"/>
      <c r="Y14" s="2"/>
      <c r="Z14" s="2"/>
      <c r="AA14" s="2"/>
    </row>
    <row r="15">
      <c r="A15" s="1">
        <v>14.0</v>
      </c>
      <c r="B15" s="1" t="s">
        <v>1433</v>
      </c>
      <c r="C15" s="7" t="s">
        <v>1434</v>
      </c>
      <c r="D15" s="1" t="s">
        <v>1339</v>
      </c>
      <c r="E15" s="7" t="s">
        <v>1340</v>
      </c>
      <c r="F15" s="7" t="s">
        <v>1437</v>
      </c>
      <c r="G15" s="8" t="s">
        <v>1342</v>
      </c>
      <c r="I15" s="2"/>
      <c r="J15" s="2"/>
      <c r="K15" s="2"/>
      <c r="L15" s="2"/>
      <c r="M15" s="2"/>
      <c r="N15" s="2"/>
      <c r="O15" s="2"/>
      <c r="P15" s="2"/>
      <c r="Q15" s="2"/>
      <c r="R15" s="2"/>
      <c r="S15" s="2"/>
      <c r="T15" s="2"/>
      <c r="U15" s="2"/>
      <c r="V15" s="2"/>
      <c r="W15" s="2"/>
      <c r="X15" s="2"/>
      <c r="Y15" s="2"/>
      <c r="Z15" s="2"/>
      <c r="AA15" s="2"/>
    </row>
    <row r="16">
      <c r="A16" s="1">
        <v>15.0</v>
      </c>
      <c r="B16" s="1" t="s">
        <v>1439</v>
      </c>
      <c r="C16" s="7" t="s">
        <v>1440</v>
      </c>
      <c r="D16" s="1" t="s">
        <v>1369</v>
      </c>
      <c r="E16" s="7" t="s">
        <v>1340</v>
      </c>
      <c r="F16" s="7" t="s">
        <v>1443</v>
      </c>
      <c r="G16" s="8" t="s">
        <v>1372</v>
      </c>
      <c r="I16" s="2"/>
      <c r="J16" s="2"/>
      <c r="K16" s="2"/>
      <c r="L16" s="2"/>
      <c r="M16" s="2"/>
      <c r="N16" s="2"/>
      <c r="O16" s="2"/>
      <c r="P16" s="2"/>
      <c r="Q16" s="2"/>
      <c r="R16" s="2"/>
      <c r="S16" s="2"/>
      <c r="T16" s="2"/>
      <c r="U16" s="2"/>
      <c r="V16" s="2"/>
      <c r="W16" s="2"/>
      <c r="X16" s="2"/>
      <c r="Y16" s="2"/>
      <c r="Z16" s="2"/>
      <c r="AA16" s="2"/>
    </row>
    <row r="17">
      <c r="A17" s="1">
        <v>16.0</v>
      </c>
      <c r="B17" s="1" t="s">
        <v>1445</v>
      </c>
      <c r="C17" s="7" t="s">
        <v>1446</v>
      </c>
      <c r="D17" s="1" t="s">
        <v>1339</v>
      </c>
      <c r="E17" s="7" t="s">
        <v>1340</v>
      </c>
      <c r="F17" s="7" t="s">
        <v>1447</v>
      </c>
      <c r="G17" s="8" t="s">
        <v>1342</v>
      </c>
      <c r="I17" s="2"/>
      <c r="J17" s="2"/>
      <c r="K17" s="2"/>
      <c r="L17" s="2"/>
      <c r="M17" s="2"/>
      <c r="N17" s="2"/>
      <c r="O17" s="2"/>
      <c r="P17" s="2"/>
      <c r="Q17" s="2"/>
      <c r="R17" s="2"/>
      <c r="S17" s="2"/>
      <c r="T17" s="2"/>
      <c r="U17" s="2"/>
      <c r="V17" s="2"/>
      <c r="W17" s="2"/>
      <c r="X17" s="2"/>
      <c r="Y17" s="2"/>
      <c r="Z17" s="2"/>
      <c r="AA17" s="2"/>
    </row>
    <row r="18">
      <c r="A18" s="1">
        <v>17.0</v>
      </c>
      <c r="B18" s="1" t="s">
        <v>1451</v>
      </c>
      <c r="C18" s="7" t="s">
        <v>1453</v>
      </c>
      <c r="D18" s="1" t="s">
        <v>1339</v>
      </c>
      <c r="E18" s="7" t="s">
        <v>1340</v>
      </c>
      <c r="F18" s="7" t="s">
        <v>1454</v>
      </c>
      <c r="G18" s="8" t="s">
        <v>1342</v>
      </c>
      <c r="I18" s="2"/>
      <c r="J18" s="2"/>
      <c r="K18" s="2"/>
      <c r="L18" s="2"/>
      <c r="M18" s="2"/>
      <c r="N18" s="2"/>
      <c r="O18" s="2"/>
      <c r="P18" s="2"/>
      <c r="Q18" s="2"/>
      <c r="R18" s="2"/>
      <c r="S18" s="2"/>
      <c r="T18" s="2"/>
      <c r="U18" s="2"/>
      <c r="V18" s="2"/>
      <c r="W18" s="2"/>
      <c r="X18" s="2"/>
      <c r="Y18" s="2"/>
      <c r="Z18" s="2"/>
      <c r="AA18" s="2"/>
    </row>
    <row r="19">
      <c r="A19" s="1">
        <v>18.0</v>
      </c>
      <c r="B19" s="9" t="s">
        <v>1459</v>
      </c>
      <c r="C19" s="7" t="s">
        <v>1471</v>
      </c>
      <c r="D19" s="1" t="s">
        <v>1339</v>
      </c>
      <c r="E19" s="7" t="s">
        <v>1340</v>
      </c>
      <c r="F19" s="7" t="s">
        <v>1473</v>
      </c>
      <c r="G19" s="8" t="s">
        <v>1342</v>
      </c>
      <c r="I19" s="2"/>
      <c r="J19" s="2"/>
      <c r="K19" s="2"/>
      <c r="L19" s="2"/>
      <c r="M19" s="2"/>
      <c r="N19" s="2"/>
      <c r="O19" s="2"/>
      <c r="P19" s="2"/>
      <c r="Q19" s="2"/>
      <c r="R19" s="2"/>
      <c r="S19" s="2"/>
      <c r="T19" s="2"/>
      <c r="U19" s="2"/>
      <c r="V19" s="2"/>
      <c r="W19" s="2"/>
      <c r="X19" s="2"/>
      <c r="Y19" s="2"/>
      <c r="Z19" s="2"/>
      <c r="AA19" s="2"/>
    </row>
    <row r="20">
      <c r="A20" s="1">
        <v>19.0</v>
      </c>
      <c r="B20" s="1" t="s">
        <v>1478</v>
      </c>
      <c r="C20" s="7" t="s">
        <v>1479</v>
      </c>
      <c r="D20" s="1" t="s">
        <v>1339</v>
      </c>
      <c r="E20" s="7" t="s">
        <v>1340</v>
      </c>
      <c r="F20" s="7" t="s">
        <v>1480</v>
      </c>
      <c r="G20" s="8" t="s">
        <v>1342</v>
      </c>
      <c r="I20" s="2"/>
      <c r="J20" s="2"/>
      <c r="K20" s="2"/>
      <c r="L20" s="2"/>
      <c r="M20" s="2"/>
      <c r="N20" s="2"/>
      <c r="O20" s="2"/>
      <c r="P20" s="2"/>
      <c r="Q20" s="2"/>
      <c r="R20" s="2"/>
      <c r="S20" s="2"/>
      <c r="T20" s="2"/>
      <c r="U20" s="2"/>
      <c r="V20" s="2"/>
      <c r="W20" s="2"/>
      <c r="X20" s="2"/>
      <c r="Y20" s="2"/>
      <c r="Z20" s="2"/>
      <c r="AA20" s="2"/>
    </row>
    <row r="21">
      <c r="A21" s="1">
        <v>20.0</v>
      </c>
      <c r="B21" s="1" t="s">
        <v>1483</v>
      </c>
      <c r="C21" s="7" t="s">
        <v>1484</v>
      </c>
      <c r="D21" s="1" t="s">
        <v>1339</v>
      </c>
      <c r="E21" s="7" t="s">
        <v>1340</v>
      </c>
      <c r="F21" s="7" t="s">
        <v>1487</v>
      </c>
      <c r="G21" s="8" t="s">
        <v>1342</v>
      </c>
      <c r="I21" s="2"/>
      <c r="J21" s="2"/>
      <c r="K21" s="2"/>
      <c r="L21" s="2"/>
      <c r="M21" s="2"/>
      <c r="N21" s="2"/>
      <c r="O21" s="2"/>
      <c r="P21" s="2"/>
      <c r="Q21" s="2"/>
      <c r="R21" s="2"/>
      <c r="S21" s="2"/>
      <c r="T21" s="2"/>
      <c r="U21" s="2"/>
      <c r="V21" s="2"/>
      <c r="W21" s="2"/>
      <c r="X21" s="2"/>
      <c r="Y21" s="2"/>
      <c r="Z21" s="2"/>
      <c r="AA21" s="2"/>
    </row>
    <row r="22">
      <c r="A22" s="1">
        <v>21.0</v>
      </c>
      <c r="B22" s="1" t="s">
        <v>1489</v>
      </c>
      <c r="C22" s="7" t="s">
        <v>1490</v>
      </c>
      <c r="D22" s="1" t="s">
        <v>1384</v>
      </c>
      <c r="E22" s="7" t="s">
        <v>1493</v>
      </c>
      <c r="F22" s="7" t="s">
        <v>1495</v>
      </c>
      <c r="G22" s="8" t="s">
        <v>1389</v>
      </c>
      <c r="I22" s="2"/>
      <c r="J22" s="2"/>
      <c r="K22" s="2"/>
      <c r="L22" s="2"/>
      <c r="M22" s="2"/>
      <c r="N22" s="2"/>
      <c r="O22" s="2"/>
      <c r="P22" s="2"/>
      <c r="Q22" s="2"/>
      <c r="R22" s="2"/>
      <c r="S22" s="2"/>
      <c r="T22" s="2"/>
      <c r="U22" s="2"/>
      <c r="V22" s="2"/>
      <c r="W22" s="2"/>
      <c r="X22" s="2"/>
      <c r="Y22" s="2"/>
      <c r="Z22" s="2"/>
      <c r="AA22" s="2"/>
    </row>
    <row r="23">
      <c r="A23" s="1">
        <v>22.0</v>
      </c>
      <c r="B23" s="1" t="s">
        <v>1496</v>
      </c>
      <c r="C23" s="7" t="s">
        <v>1498</v>
      </c>
      <c r="D23" s="1" t="s">
        <v>1339</v>
      </c>
      <c r="E23" s="7" t="s">
        <v>1340</v>
      </c>
      <c r="F23" s="7" t="s">
        <v>1500</v>
      </c>
      <c r="G23" s="8" t="s">
        <v>1342</v>
      </c>
      <c r="I23" s="2"/>
      <c r="J23" s="2"/>
      <c r="K23" s="2"/>
      <c r="L23" s="2"/>
      <c r="M23" s="2"/>
      <c r="N23" s="2"/>
      <c r="O23" s="2"/>
      <c r="P23" s="2"/>
      <c r="Q23" s="2"/>
      <c r="R23" s="2"/>
      <c r="S23" s="2"/>
      <c r="T23" s="2"/>
      <c r="U23" s="2"/>
      <c r="V23" s="2"/>
      <c r="W23" s="2"/>
      <c r="X23" s="2"/>
      <c r="Y23" s="2"/>
      <c r="Z23" s="2"/>
      <c r="AA23" s="2"/>
    </row>
    <row r="24">
      <c r="A24" s="1">
        <v>23.0</v>
      </c>
      <c r="B24" s="1" t="s">
        <v>1503</v>
      </c>
      <c r="C24" s="7" t="s">
        <v>1506</v>
      </c>
      <c r="D24" s="1" t="s">
        <v>1384</v>
      </c>
      <c r="E24" s="7" t="s">
        <v>1508</v>
      </c>
      <c r="F24" s="7" t="s">
        <v>1511</v>
      </c>
      <c r="G24" s="8" t="s">
        <v>1389</v>
      </c>
      <c r="I24" s="2"/>
      <c r="J24" s="2"/>
      <c r="K24" s="2"/>
      <c r="L24" s="2"/>
      <c r="M24" s="2"/>
      <c r="N24" s="2"/>
      <c r="O24" s="2"/>
      <c r="P24" s="2"/>
      <c r="Q24" s="2"/>
      <c r="R24" s="2"/>
      <c r="S24" s="2"/>
      <c r="T24" s="2"/>
      <c r="U24" s="2"/>
      <c r="V24" s="2"/>
      <c r="W24" s="2"/>
      <c r="X24" s="2"/>
      <c r="Y24" s="2"/>
      <c r="Z24" s="2"/>
      <c r="AA24" s="2"/>
    </row>
    <row r="25">
      <c r="A25" s="1">
        <v>24.0</v>
      </c>
      <c r="B25" s="1" t="s">
        <v>1513</v>
      </c>
      <c r="C25" s="7" t="s">
        <v>1515</v>
      </c>
      <c r="D25" s="2" t="s">
        <v>1369</v>
      </c>
      <c r="E25" s="7" t="s">
        <v>1517</v>
      </c>
      <c r="F25" s="7" t="s">
        <v>1519</v>
      </c>
      <c r="G25" s="8" t="s">
        <v>1372</v>
      </c>
      <c r="I25" s="2"/>
      <c r="J25" s="2"/>
      <c r="K25" s="2"/>
      <c r="L25" s="2"/>
      <c r="M25" s="2"/>
      <c r="N25" s="2"/>
      <c r="O25" s="2"/>
      <c r="P25" s="2"/>
      <c r="Q25" s="2"/>
      <c r="R25" s="2"/>
      <c r="S25" s="2"/>
      <c r="T25" s="2"/>
      <c r="U25" s="2"/>
      <c r="V25" s="2"/>
      <c r="W25" s="2"/>
      <c r="X25" s="2"/>
      <c r="Y25" s="2"/>
      <c r="Z25" s="2"/>
      <c r="AA25" s="2"/>
    </row>
    <row r="26">
      <c r="A26" s="1">
        <v>25.0</v>
      </c>
      <c r="B26" s="1" t="s">
        <v>1521</v>
      </c>
      <c r="C26" s="7" t="s">
        <v>1522</v>
      </c>
      <c r="D26" s="1" t="s">
        <v>1339</v>
      </c>
      <c r="E26" s="7" t="s">
        <v>1340</v>
      </c>
      <c r="F26" s="7" t="s">
        <v>1526</v>
      </c>
      <c r="G26" s="8" t="s">
        <v>1342</v>
      </c>
      <c r="I26" s="2"/>
      <c r="J26" s="2"/>
      <c r="K26" s="2"/>
      <c r="L26" s="2"/>
      <c r="M26" s="2"/>
      <c r="N26" s="2"/>
      <c r="O26" s="2"/>
      <c r="P26" s="2"/>
      <c r="Q26" s="2"/>
      <c r="R26" s="2"/>
      <c r="S26" s="2"/>
      <c r="T26" s="2"/>
      <c r="U26" s="2"/>
      <c r="V26" s="2"/>
      <c r="W26" s="2"/>
      <c r="X26" s="2"/>
      <c r="Y26" s="2"/>
      <c r="Z26" s="2"/>
      <c r="AA26" s="2"/>
    </row>
    <row r="27">
      <c r="A27" s="1">
        <v>26.0</v>
      </c>
      <c r="B27" s="1" t="s">
        <v>1528</v>
      </c>
      <c r="C27" s="7" t="s">
        <v>1533</v>
      </c>
      <c r="D27" s="1" t="s">
        <v>1339</v>
      </c>
      <c r="E27" s="7" t="s">
        <v>1534</v>
      </c>
      <c r="F27" s="7" t="s">
        <v>1536</v>
      </c>
      <c r="G27" s="8" t="s">
        <v>1342</v>
      </c>
      <c r="I27" s="2"/>
      <c r="J27" s="2"/>
      <c r="K27" s="2"/>
      <c r="L27" s="2"/>
      <c r="M27" s="2"/>
      <c r="N27" s="2"/>
      <c r="O27" s="2"/>
      <c r="P27" s="2"/>
      <c r="Q27" s="2"/>
      <c r="R27" s="2"/>
      <c r="S27" s="2"/>
      <c r="T27" s="2"/>
      <c r="U27" s="2"/>
      <c r="V27" s="2"/>
      <c r="W27" s="2"/>
      <c r="X27" s="2"/>
      <c r="Y27" s="2"/>
      <c r="Z27" s="2"/>
      <c r="AA27" s="2"/>
    </row>
    <row r="28">
      <c r="A28" s="1">
        <v>27.0</v>
      </c>
      <c r="B28" s="1" t="s">
        <v>1537</v>
      </c>
      <c r="C28" s="7" t="s">
        <v>1539</v>
      </c>
      <c r="D28" s="1" t="s">
        <v>1339</v>
      </c>
      <c r="E28" s="7" t="s">
        <v>1340</v>
      </c>
      <c r="F28" s="7" t="s">
        <v>1542</v>
      </c>
      <c r="G28" s="8" t="s">
        <v>1342</v>
      </c>
      <c r="I28" s="2"/>
      <c r="J28" s="2"/>
      <c r="K28" s="2"/>
      <c r="L28" s="2"/>
      <c r="M28" s="2"/>
      <c r="N28" s="2"/>
      <c r="O28" s="2"/>
      <c r="P28" s="2"/>
      <c r="Q28" s="2"/>
      <c r="R28" s="2"/>
      <c r="S28" s="2"/>
      <c r="T28" s="2"/>
      <c r="U28" s="2"/>
      <c r="V28" s="2"/>
      <c r="W28" s="2"/>
      <c r="X28" s="2"/>
      <c r="Y28" s="2"/>
      <c r="Z28" s="2"/>
      <c r="AA28" s="2"/>
    </row>
    <row r="29">
      <c r="A29" s="1">
        <v>28.0</v>
      </c>
      <c r="B29" s="1" t="s">
        <v>1543</v>
      </c>
      <c r="C29" s="7" t="s">
        <v>1544</v>
      </c>
      <c r="D29" s="1" t="s">
        <v>1384</v>
      </c>
      <c r="E29" s="7" t="s">
        <v>1545</v>
      </c>
      <c r="F29" s="7" t="s">
        <v>1546</v>
      </c>
      <c r="G29" s="8" t="s">
        <v>1389</v>
      </c>
      <c r="I29" s="2"/>
      <c r="J29" s="2"/>
      <c r="K29" s="2"/>
      <c r="L29" s="2"/>
      <c r="M29" s="2"/>
      <c r="N29" s="2"/>
      <c r="O29" s="2"/>
      <c r="P29" s="2"/>
      <c r="Q29" s="2"/>
      <c r="R29" s="2"/>
      <c r="S29" s="2"/>
      <c r="T29" s="2"/>
      <c r="U29" s="2"/>
      <c r="V29" s="2"/>
      <c r="W29" s="2"/>
      <c r="X29" s="2"/>
      <c r="Y29" s="2"/>
      <c r="Z29" s="2"/>
      <c r="AA29" s="2"/>
    </row>
    <row r="30">
      <c r="A30" s="1">
        <v>29.0</v>
      </c>
      <c r="B30" s="1" t="s">
        <v>1547</v>
      </c>
      <c r="C30" s="7" t="s">
        <v>1548</v>
      </c>
      <c r="D30" s="1" t="s">
        <v>1384</v>
      </c>
      <c r="E30" s="7" t="s">
        <v>1550</v>
      </c>
      <c r="F30" s="7" t="s">
        <v>1551</v>
      </c>
      <c r="G30" s="8" t="s">
        <v>1389</v>
      </c>
      <c r="I30" s="2"/>
      <c r="J30" s="2"/>
      <c r="K30" s="2"/>
      <c r="L30" s="2"/>
      <c r="M30" s="2"/>
      <c r="N30" s="2"/>
      <c r="O30" s="2"/>
      <c r="P30" s="2"/>
      <c r="Q30" s="2"/>
      <c r="R30" s="2"/>
      <c r="S30" s="2"/>
      <c r="T30" s="2"/>
      <c r="U30" s="2"/>
      <c r="V30" s="2"/>
      <c r="W30" s="2"/>
      <c r="X30" s="2"/>
      <c r="Y30" s="2"/>
      <c r="Z30" s="2"/>
      <c r="AA30" s="2"/>
    </row>
    <row r="31">
      <c r="A31" s="1">
        <v>30.0</v>
      </c>
      <c r="B31" s="1" t="s">
        <v>1555</v>
      </c>
      <c r="C31" s="7" t="s">
        <v>1556</v>
      </c>
      <c r="D31" s="1" t="s">
        <v>1384</v>
      </c>
      <c r="E31" s="7" t="s">
        <v>1557</v>
      </c>
      <c r="F31" s="7" t="s">
        <v>1558</v>
      </c>
      <c r="G31" s="8" t="s">
        <v>1389</v>
      </c>
      <c r="I31" s="2"/>
      <c r="J31" s="2"/>
      <c r="K31" s="2"/>
      <c r="L31" s="2"/>
      <c r="M31" s="2"/>
      <c r="N31" s="2"/>
      <c r="O31" s="2"/>
      <c r="P31" s="2"/>
      <c r="Q31" s="2"/>
      <c r="R31" s="2"/>
      <c r="S31" s="2"/>
      <c r="T31" s="2"/>
      <c r="U31" s="2"/>
      <c r="V31" s="2"/>
      <c r="W31" s="2"/>
      <c r="X31" s="2"/>
      <c r="Y31" s="2"/>
      <c r="Z31" s="2"/>
      <c r="AA31" s="2"/>
    </row>
    <row r="32">
      <c r="A32" s="1">
        <v>31.0</v>
      </c>
      <c r="B32" s="1" t="s">
        <v>1561</v>
      </c>
      <c r="C32" s="7" t="s">
        <v>1562</v>
      </c>
      <c r="D32" s="1" t="s">
        <v>1384</v>
      </c>
      <c r="E32" s="7" t="s">
        <v>1564</v>
      </c>
      <c r="F32" s="7" t="s">
        <v>1565</v>
      </c>
      <c r="G32" s="8" t="s">
        <v>1389</v>
      </c>
      <c r="I32" s="2"/>
      <c r="J32" s="2"/>
      <c r="K32" s="2"/>
      <c r="L32" s="2"/>
      <c r="M32" s="2"/>
      <c r="N32" s="2"/>
      <c r="O32" s="2"/>
      <c r="P32" s="2"/>
      <c r="Q32" s="2"/>
      <c r="R32" s="2"/>
      <c r="S32" s="2"/>
      <c r="T32" s="2"/>
      <c r="U32" s="2"/>
      <c r="V32" s="2"/>
      <c r="W32" s="2"/>
      <c r="X32" s="2"/>
      <c r="Y32" s="2"/>
      <c r="Z32" s="2"/>
      <c r="AA32" s="2"/>
    </row>
    <row r="33">
      <c r="A33" s="1">
        <v>32.0</v>
      </c>
      <c r="B33" s="1" t="s">
        <v>1569</v>
      </c>
      <c r="C33" s="7" t="s">
        <v>1570</v>
      </c>
      <c r="D33" s="1" t="s">
        <v>1571</v>
      </c>
      <c r="E33" s="7" t="s">
        <v>1572</v>
      </c>
      <c r="F33" s="7" t="s">
        <v>1574</v>
      </c>
      <c r="G33" s="8" t="s">
        <v>1389</v>
      </c>
      <c r="I33" s="2"/>
      <c r="J33" s="2"/>
      <c r="K33" s="2"/>
      <c r="L33" s="2"/>
      <c r="M33" s="2"/>
      <c r="N33" s="2"/>
      <c r="O33" s="2"/>
      <c r="P33" s="2"/>
      <c r="Q33" s="2"/>
      <c r="R33" s="2"/>
      <c r="S33" s="2"/>
      <c r="T33" s="2"/>
      <c r="U33" s="2"/>
      <c r="V33" s="2"/>
      <c r="W33" s="2"/>
      <c r="X33" s="2"/>
      <c r="Y33" s="2"/>
      <c r="Z33" s="2"/>
      <c r="AA33" s="2"/>
    </row>
    <row r="34">
      <c r="A34" s="1">
        <v>33.0</v>
      </c>
      <c r="B34" s="1" t="s">
        <v>1579</v>
      </c>
      <c r="C34" s="7" t="s">
        <v>1580</v>
      </c>
      <c r="D34" s="1" t="s">
        <v>1384</v>
      </c>
      <c r="E34" s="7" t="s">
        <v>1582</v>
      </c>
      <c r="F34" s="7" t="s">
        <v>1583</v>
      </c>
      <c r="G34" s="8" t="s">
        <v>1389</v>
      </c>
      <c r="I34" s="2"/>
      <c r="J34" s="2"/>
      <c r="K34" s="2"/>
      <c r="L34" s="2"/>
      <c r="M34" s="2"/>
      <c r="N34" s="2"/>
      <c r="O34" s="2"/>
      <c r="P34" s="2"/>
      <c r="Q34" s="2"/>
      <c r="R34" s="2"/>
      <c r="S34" s="2"/>
      <c r="T34" s="2"/>
      <c r="U34" s="2"/>
      <c r="V34" s="2"/>
      <c r="W34" s="2"/>
      <c r="X34" s="2"/>
      <c r="Y34" s="2"/>
      <c r="Z34" s="2"/>
      <c r="AA34" s="2"/>
    </row>
    <row r="35">
      <c r="A35" s="1">
        <v>34.0</v>
      </c>
      <c r="B35" s="1" t="s">
        <v>1587</v>
      </c>
      <c r="C35" s="7" t="s">
        <v>1588</v>
      </c>
      <c r="D35" s="1" t="s">
        <v>1339</v>
      </c>
      <c r="E35" s="7" t="s">
        <v>1590</v>
      </c>
      <c r="F35" s="7" t="s">
        <v>1591</v>
      </c>
      <c r="G35" s="8" t="s">
        <v>1593</v>
      </c>
      <c r="I35" s="2"/>
      <c r="J35" s="2"/>
      <c r="K35" s="2"/>
      <c r="L35" s="2"/>
      <c r="M35" s="2"/>
      <c r="N35" s="2"/>
      <c r="O35" s="2"/>
      <c r="P35" s="2"/>
      <c r="Q35" s="2"/>
      <c r="R35" s="2"/>
      <c r="S35" s="2"/>
      <c r="T35" s="2"/>
      <c r="U35" s="2"/>
      <c r="V35" s="2"/>
      <c r="W35" s="2"/>
      <c r="X35" s="2"/>
      <c r="Y35" s="2"/>
      <c r="Z35" s="2"/>
      <c r="AA35" s="2"/>
    </row>
    <row r="36">
      <c r="A36" s="1">
        <v>35.0</v>
      </c>
      <c r="B36" s="1" t="s">
        <v>1596</v>
      </c>
      <c r="C36" s="7" t="s">
        <v>1598</v>
      </c>
      <c r="D36" s="1" t="s">
        <v>1384</v>
      </c>
      <c r="E36" s="7" t="s">
        <v>1601</v>
      </c>
      <c r="F36" s="7" t="s">
        <v>1603</v>
      </c>
      <c r="G36" s="8" t="s">
        <v>1389</v>
      </c>
      <c r="I36" s="2"/>
      <c r="J36" s="2"/>
      <c r="K36" s="2"/>
      <c r="L36" s="2"/>
      <c r="M36" s="2"/>
      <c r="N36" s="2"/>
      <c r="O36" s="2"/>
      <c r="P36" s="2"/>
      <c r="Q36" s="2"/>
      <c r="R36" s="2"/>
      <c r="S36" s="2"/>
      <c r="T36" s="2"/>
      <c r="U36" s="2"/>
      <c r="V36" s="2"/>
      <c r="W36" s="2"/>
      <c r="X36" s="2"/>
      <c r="Y36" s="2"/>
      <c r="Z36" s="2"/>
      <c r="AA36" s="2"/>
    </row>
    <row r="37">
      <c r="A37" s="1">
        <v>36.0</v>
      </c>
      <c r="B37" s="1" t="s">
        <v>1606</v>
      </c>
      <c r="C37" s="7" t="s">
        <v>1607</v>
      </c>
      <c r="D37" s="1" t="s">
        <v>1384</v>
      </c>
      <c r="E37" s="7" t="s">
        <v>1608</v>
      </c>
      <c r="F37" s="7" t="s">
        <v>1609</v>
      </c>
      <c r="G37" s="8" t="s">
        <v>1389</v>
      </c>
      <c r="I37" s="2"/>
      <c r="J37" s="2"/>
      <c r="K37" s="2"/>
      <c r="L37" s="2"/>
      <c r="M37" s="2"/>
      <c r="N37" s="2"/>
      <c r="O37" s="2"/>
      <c r="P37" s="2"/>
      <c r="Q37" s="2"/>
      <c r="R37" s="2"/>
      <c r="S37" s="2"/>
      <c r="T37" s="2"/>
      <c r="U37" s="2"/>
      <c r="V37" s="2"/>
      <c r="W37" s="2"/>
      <c r="X37" s="2"/>
      <c r="Y37" s="2"/>
      <c r="Z37" s="2"/>
      <c r="AA37" s="2"/>
    </row>
    <row r="38">
      <c r="A38" s="1">
        <v>37.0</v>
      </c>
      <c r="B38" s="1" t="s">
        <v>1612</v>
      </c>
      <c r="C38" s="7" t="s">
        <v>1613</v>
      </c>
      <c r="D38" s="1" t="s">
        <v>1384</v>
      </c>
      <c r="E38" s="7" t="s">
        <v>1616</v>
      </c>
      <c r="F38" s="7" t="s">
        <v>1617</v>
      </c>
      <c r="G38" s="8" t="s">
        <v>1389</v>
      </c>
      <c r="I38" s="2"/>
      <c r="J38" s="2"/>
      <c r="K38" s="2"/>
      <c r="L38" s="2"/>
      <c r="M38" s="2"/>
      <c r="N38" s="2"/>
      <c r="O38" s="2"/>
      <c r="P38" s="2"/>
      <c r="Q38" s="2"/>
      <c r="R38" s="2"/>
      <c r="S38" s="2"/>
      <c r="T38" s="2"/>
      <c r="U38" s="2"/>
      <c r="V38" s="2"/>
      <c r="W38" s="2"/>
      <c r="X38" s="2"/>
      <c r="Y38" s="2"/>
      <c r="Z38" s="2"/>
      <c r="AA38" s="2"/>
    </row>
    <row r="39">
      <c r="A39" s="1">
        <v>38.0</v>
      </c>
      <c r="B39" s="1" t="s">
        <v>1620</v>
      </c>
      <c r="C39" s="7" t="s">
        <v>1622</v>
      </c>
      <c r="D39" s="1" t="s">
        <v>1384</v>
      </c>
      <c r="E39" s="7" t="s">
        <v>1626</v>
      </c>
      <c r="F39" s="7" t="s">
        <v>1627</v>
      </c>
      <c r="G39" s="8" t="s">
        <v>1389</v>
      </c>
      <c r="I39" s="2"/>
      <c r="J39" s="2"/>
      <c r="K39" s="2"/>
      <c r="L39" s="2"/>
      <c r="M39" s="2"/>
      <c r="N39" s="2"/>
      <c r="O39" s="2"/>
      <c r="P39" s="2"/>
      <c r="Q39" s="2"/>
      <c r="R39" s="2"/>
      <c r="S39" s="2"/>
      <c r="T39" s="2"/>
      <c r="U39" s="2"/>
      <c r="V39" s="2"/>
      <c r="W39" s="2"/>
      <c r="X39" s="2"/>
      <c r="Y39" s="2"/>
      <c r="Z39" s="2"/>
      <c r="AA39" s="2"/>
    </row>
    <row r="40">
      <c r="A40" s="1">
        <v>39.0</v>
      </c>
      <c r="B40" s="1" t="s">
        <v>1632</v>
      </c>
      <c r="C40" s="7" t="s">
        <v>1633</v>
      </c>
      <c r="D40" s="1" t="s">
        <v>1384</v>
      </c>
      <c r="E40" s="7" t="s">
        <v>1634</v>
      </c>
      <c r="F40" s="7" t="s">
        <v>1635</v>
      </c>
      <c r="G40" s="8" t="s">
        <v>1389</v>
      </c>
      <c r="I40" s="2"/>
      <c r="J40" s="2"/>
      <c r="K40" s="2"/>
      <c r="L40" s="2"/>
      <c r="M40" s="2"/>
      <c r="N40" s="2"/>
      <c r="O40" s="2"/>
      <c r="P40" s="2"/>
      <c r="Q40" s="2"/>
      <c r="R40" s="2"/>
      <c r="S40" s="2"/>
      <c r="T40" s="2"/>
      <c r="U40" s="2"/>
      <c r="V40" s="2"/>
      <c r="W40" s="2"/>
      <c r="X40" s="2"/>
      <c r="Y40" s="2"/>
      <c r="Z40" s="2"/>
      <c r="AA40" s="2"/>
    </row>
    <row r="41">
      <c r="A41" s="1">
        <v>40.0</v>
      </c>
      <c r="B41" s="1" t="s">
        <v>1640</v>
      </c>
      <c r="C41" s="7" t="s">
        <v>1641</v>
      </c>
      <c r="D41" s="1" t="s">
        <v>1339</v>
      </c>
      <c r="E41" s="7" t="s">
        <v>1642</v>
      </c>
      <c r="F41" s="7" t="s">
        <v>1643</v>
      </c>
      <c r="G41" s="8" t="s">
        <v>1593</v>
      </c>
      <c r="I41" s="2"/>
      <c r="J41" s="2"/>
      <c r="K41" s="2"/>
      <c r="L41" s="2"/>
      <c r="M41" s="2"/>
      <c r="N41" s="2"/>
      <c r="O41" s="2"/>
      <c r="P41" s="2"/>
      <c r="Q41" s="2"/>
      <c r="R41" s="2"/>
      <c r="S41" s="2"/>
      <c r="T41" s="2"/>
      <c r="U41" s="2"/>
      <c r="V41" s="2"/>
      <c r="W41" s="2"/>
      <c r="X41" s="2"/>
      <c r="Y41" s="2"/>
      <c r="Z41" s="2"/>
      <c r="AA41" s="2"/>
    </row>
    <row r="42">
      <c r="A42" s="1">
        <v>41.0</v>
      </c>
      <c r="B42" s="1" t="s">
        <v>1645</v>
      </c>
      <c r="C42" s="1" t="s">
        <v>1645</v>
      </c>
      <c r="D42" s="1" t="s">
        <v>1384</v>
      </c>
      <c r="E42" s="2"/>
      <c r="F42" s="10"/>
      <c r="G42" s="10"/>
      <c r="I42" s="2"/>
      <c r="J42" s="2"/>
      <c r="K42" s="2"/>
      <c r="L42" s="2"/>
      <c r="M42" s="2"/>
      <c r="N42" s="2"/>
      <c r="O42" s="2"/>
      <c r="P42" s="2"/>
      <c r="Q42" s="2"/>
      <c r="R42" s="2"/>
      <c r="S42" s="2"/>
      <c r="T42" s="2"/>
      <c r="U42" s="2"/>
      <c r="V42" s="2"/>
      <c r="W42" s="2"/>
      <c r="X42" s="2"/>
      <c r="Y42" s="2"/>
      <c r="Z42" s="2"/>
      <c r="AA42" s="2"/>
    </row>
    <row r="43">
      <c r="A43" s="1">
        <v>42.0</v>
      </c>
      <c r="B43" s="1" t="s">
        <v>1653</v>
      </c>
      <c r="D43" s="1" t="s">
        <v>1384</v>
      </c>
      <c r="E43" s="2"/>
      <c r="F43" s="10"/>
      <c r="G43" s="10"/>
      <c r="I43" s="2"/>
      <c r="J43" s="2"/>
      <c r="K43" s="2"/>
      <c r="L43" s="2"/>
      <c r="M43" s="2"/>
      <c r="N43" s="2"/>
      <c r="O43" s="2"/>
      <c r="P43" s="2"/>
      <c r="Q43" s="2"/>
      <c r="R43" s="2"/>
      <c r="S43" s="2"/>
      <c r="T43" s="2"/>
      <c r="U43" s="2"/>
      <c r="V43" s="2"/>
      <c r="W43" s="2"/>
      <c r="X43" s="2"/>
      <c r="Y43" s="2"/>
      <c r="Z43" s="2"/>
      <c r="AA43" s="2"/>
    </row>
    <row r="44">
      <c r="A44" s="1">
        <v>43.0</v>
      </c>
      <c r="B44" s="1" t="s">
        <v>1660</v>
      </c>
      <c r="D44" s="1" t="s">
        <v>1384</v>
      </c>
      <c r="E44" s="2"/>
      <c r="F44" s="10"/>
      <c r="G44" s="10"/>
      <c r="I44" s="2"/>
      <c r="J44" s="2"/>
      <c r="K44" s="2"/>
      <c r="L44" s="2"/>
      <c r="M44" s="2"/>
      <c r="N44" s="2"/>
      <c r="O44" s="2"/>
      <c r="P44" s="2"/>
      <c r="Q44" s="2"/>
      <c r="R44" s="2"/>
      <c r="S44" s="2"/>
      <c r="T44" s="2"/>
      <c r="U44" s="2"/>
      <c r="V44" s="2"/>
      <c r="W44" s="2"/>
      <c r="X44" s="2"/>
      <c r="Y44" s="2"/>
      <c r="Z44" s="2"/>
      <c r="AA44" s="2"/>
    </row>
    <row r="45">
      <c r="A45" s="1">
        <v>44.0</v>
      </c>
      <c r="B45" s="1" t="s">
        <v>1662</v>
      </c>
      <c r="C45" s="3" t="s">
        <v>1664</v>
      </c>
      <c r="D45" s="1" t="s">
        <v>1571</v>
      </c>
      <c r="E45" s="2"/>
      <c r="F45" s="10"/>
      <c r="G45" s="10"/>
      <c r="I45" s="2"/>
      <c r="J45" s="2"/>
      <c r="K45" s="2"/>
      <c r="L45" s="2"/>
      <c r="M45" s="2"/>
      <c r="N45" s="2"/>
      <c r="O45" s="2"/>
      <c r="P45" s="2"/>
      <c r="Q45" s="2"/>
      <c r="R45" s="2"/>
      <c r="S45" s="2"/>
      <c r="T45" s="2"/>
      <c r="U45" s="2"/>
      <c r="V45" s="2"/>
      <c r="W45" s="2"/>
      <c r="X45" s="2"/>
      <c r="Y45" s="2"/>
      <c r="Z45" s="2"/>
      <c r="AA45" s="2"/>
    </row>
    <row r="46">
      <c r="A46" s="1">
        <v>45.0</v>
      </c>
      <c r="B46" s="1" t="s">
        <v>1667</v>
      </c>
      <c r="D46" s="2"/>
      <c r="E46" s="2"/>
      <c r="F46" s="10"/>
      <c r="G46" s="10"/>
      <c r="I46" s="2"/>
      <c r="J46" s="2"/>
      <c r="K46" s="2"/>
      <c r="L46" s="2"/>
      <c r="M46" s="2"/>
      <c r="N46" s="2"/>
      <c r="O46" s="2"/>
      <c r="P46" s="2"/>
      <c r="Q46" s="2"/>
      <c r="R46" s="2"/>
      <c r="S46" s="2"/>
      <c r="T46" s="2"/>
      <c r="U46" s="2"/>
      <c r="V46" s="2"/>
      <c r="W46" s="2"/>
      <c r="X46" s="2"/>
      <c r="Y46" s="2"/>
      <c r="Z46" s="2"/>
      <c r="AA46" s="2"/>
    </row>
    <row r="47">
      <c r="A47" s="1">
        <v>46.0</v>
      </c>
      <c r="B47" s="1" t="s">
        <v>1672</v>
      </c>
      <c r="D47" s="2"/>
      <c r="E47" s="2"/>
      <c r="F47" s="10"/>
      <c r="G47" s="10"/>
      <c r="I47" s="2"/>
      <c r="J47" s="2"/>
      <c r="K47" s="2"/>
      <c r="L47" s="2"/>
      <c r="M47" s="2"/>
      <c r="N47" s="2"/>
      <c r="O47" s="2"/>
      <c r="P47" s="2"/>
      <c r="Q47" s="2"/>
      <c r="R47" s="2"/>
      <c r="S47" s="2"/>
      <c r="T47" s="2"/>
      <c r="U47" s="2"/>
      <c r="V47" s="2"/>
      <c r="W47" s="2"/>
      <c r="X47" s="2"/>
      <c r="Y47" s="2"/>
      <c r="Z47" s="2"/>
      <c r="AA47" s="2"/>
    </row>
    <row r="48">
      <c r="A48" s="1">
        <v>47.0</v>
      </c>
      <c r="B48" s="1" t="s">
        <v>1674</v>
      </c>
      <c r="D48" s="2"/>
      <c r="E48" s="2"/>
      <c r="F48" s="10"/>
      <c r="G48" s="10"/>
      <c r="I48" s="2"/>
      <c r="J48" s="2"/>
      <c r="K48" s="2"/>
      <c r="L48" s="2"/>
      <c r="M48" s="2"/>
      <c r="N48" s="2"/>
      <c r="O48" s="2"/>
      <c r="P48" s="2"/>
      <c r="Q48" s="2"/>
      <c r="R48" s="2"/>
      <c r="S48" s="2"/>
      <c r="T48" s="2"/>
      <c r="U48" s="2"/>
      <c r="V48" s="2"/>
      <c r="W48" s="2"/>
      <c r="X48" s="2"/>
      <c r="Y48" s="2"/>
      <c r="Z48" s="2"/>
      <c r="AA48" s="2"/>
    </row>
    <row r="49">
      <c r="A49" s="1">
        <v>48.0</v>
      </c>
      <c r="B49" s="2"/>
      <c r="D49" s="2"/>
      <c r="E49" s="2"/>
      <c r="F49" s="10"/>
      <c r="G49" s="10"/>
      <c r="I49" s="2"/>
      <c r="J49" s="2"/>
      <c r="K49" s="2"/>
      <c r="L49" s="2"/>
      <c r="M49" s="2"/>
      <c r="N49" s="2"/>
      <c r="O49" s="2"/>
      <c r="P49" s="2"/>
      <c r="Q49" s="2"/>
      <c r="R49" s="2"/>
      <c r="S49" s="2"/>
      <c r="T49" s="2"/>
      <c r="U49" s="2"/>
      <c r="V49" s="2"/>
      <c r="W49" s="2"/>
      <c r="X49" s="2"/>
      <c r="Y49" s="2"/>
      <c r="Z49" s="2"/>
      <c r="AA49" s="2"/>
    </row>
    <row r="50">
      <c r="A50" s="1">
        <v>49.0</v>
      </c>
      <c r="B50" s="2"/>
      <c r="D50" s="2"/>
      <c r="E50" s="2"/>
      <c r="F50" s="10"/>
      <c r="G50" s="10"/>
      <c r="I50" s="2"/>
      <c r="J50" s="2"/>
      <c r="K50" s="2"/>
      <c r="L50" s="2"/>
      <c r="M50" s="2"/>
      <c r="N50" s="2"/>
      <c r="O50" s="2"/>
      <c r="P50" s="2"/>
      <c r="Q50" s="2"/>
      <c r="R50" s="2"/>
      <c r="S50" s="2"/>
      <c r="T50" s="2"/>
      <c r="U50" s="2"/>
      <c r="V50" s="2"/>
      <c r="W50" s="2"/>
      <c r="X50" s="2"/>
      <c r="Y50" s="2"/>
      <c r="Z50" s="2"/>
      <c r="AA50" s="2"/>
    </row>
    <row r="51">
      <c r="A51" s="1">
        <v>50.0</v>
      </c>
      <c r="B51" s="2"/>
      <c r="D51" s="2"/>
      <c r="E51" s="2"/>
      <c r="F51" s="10"/>
      <c r="G51" s="10"/>
      <c r="I51" s="2"/>
      <c r="J51" s="2"/>
      <c r="K51" s="2"/>
      <c r="L51" s="2"/>
      <c r="M51" s="2"/>
      <c r="N51" s="2"/>
      <c r="O51" s="2"/>
      <c r="P51" s="2"/>
      <c r="Q51" s="2"/>
      <c r="R51" s="2"/>
      <c r="S51" s="2"/>
      <c r="T51" s="2"/>
      <c r="U51" s="2"/>
      <c r="V51" s="2"/>
      <c r="W51" s="2"/>
      <c r="X51" s="2"/>
      <c r="Y51" s="2"/>
      <c r="Z51" s="2"/>
      <c r="AA51" s="2"/>
    </row>
    <row r="52">
      <c r="A52" s="1">
        <v>51.0</v>
      </c>
      <c r="B52" s="2"/>
      <c r="D52" s="2"/>
      <c r="E52" s="2"/>
      <c r="F52" s="10"/>
      <c r="G52" s="10"/>
      <c r="I52" s="2"/>
      <c r="J52" s="2"/>
      <c r="K52" s="2"/>
      <c r="L52" s="2"/>
      <c r="M52" s="2"/>
      <c r="N52" s="2"/>
      <c r="O52" s="2"/>
      <c r="P52" s="2"/>
      <c r="Q52" s="2"/>
      <c r="R52" s="2"/>
      <c r="S52" s="2"/>
      <c r="T52" s="2"/>
      <c r="U52" s="2"/>
      <c r="V52" s="2"/>
      <c r="W52" s="2"/>
      <c r="X52" s="2"/>
      <c r="Y52" s="2"/>
      <c r="Z52" s="2"/>
      <c r="AA52" s="2"/>
    </row>
    <row r="53">
      <c r="A53" s="1">
        <v>52.0</v>
      </c>
      <c r="B53" s="2"/>
      <c r="D53" s="2"/>
      <c r="E53" s="2"/>
      <c r="F53" s="10"/>
      <c r="G53" s="10"/>
      <c r="I53" s="2"/>
      <c r="J53" s="2"/>
      <c r="K53" s="2"/>
      <c r="L53" s="2"/>
      <c r="M53" s="2"/>
      <c r="N53" s="2"/>
      <c r="O53" s="2"/>
      <c r="P53" s="2"/>
      <c r="Q53" s="2"/>
      <c r="R53" s="2"/>
      <c r="S53" s="2"/>
      <c r="T53" s="2"/>
      <c r="U53" s="2"/>
      <c r="V53" s="2"/>
      <c r="W53" s="2"/>
      <c r="X53" s="2"/>
      <c r="Y53" s="2"/>
      <c r="Z53" s="2"/>
      <c r="AA53" s="2"/>
    </row>
    <row r="54">
      <c r="A54" s="1">
        <v>53.0</v>
      </c>
      <c r="B54" s="2"/>
      <c r="D54" s="2"/>
      <c r="E54" s="2"/>
      <c r="F54" s="10"/>
      <c r="G54" s="10"/>
      <c r="I54" s="2"/>
      <c r="J54" s="2"/>
      <c r="K54" s="2"/>
      <c r="L54" s="2"/>
      <c r="M54" s="2"/>
      <c r="N54" s="2"/>
      <c r="O54" s="2"/>
      <c r="P54" s="2"/>
      <c r="Q54" s="2"/>
      <c r="R54" s="2"/>
      <c r="S54" s="2"/>
      <c r="T54" s="2"/>
      <c r="U54" s="2"/>
      <c r="V54" s="2"/>
      <c r="W54" s="2"/>
      <c r="X54" s="2"/>
      <c r="Y54" s="2"/>
      <c r="Z54" s="2"/>
      <c r="AA54" s="2"/>
    </row>
    <row r="55">
      <c r="A55" s="1">
        <v>54.0</v>
      </c>
      <c r="B55" s="2"/>
      <c r="D55" s="2"/>
      <c r="E55" s="2"/>
      <c r="F55" s="10"/>
      <c r="G55" s="10"/>
      <c r="I55" s="2"/>
      <c r="J55" s="2"/>
      <c r="K55" s="2"/>
      <c r="L55" s="2"/>
      <c r="M55" s="2"/>
      <c r="N55" s="2"/>
      <c r="O55" s="2"/>
      <c r="P55" s="2"/>
      <c r="Q55" s="2"/>
      <c r="R55" s="2"/>
      <c r="S55" s="2"/>
      <c r="T55" s="2"/>
      <c r="U55" s="2"/>
      <c r="V55" s="2"/>
      <c r="W55" s="2"/>
      <c r="X55" s="2"/>
      <c r="Y55" s="2"/>
      <c r="Z55" s="2"/>
      <c r="AA55" s="2"/>
    </row>
    <row r="56">
      <c r="A56" s="1">
        <v>55.0</v>
      </c>
      <c r="B56" s="2"/>
      <c r="D56" s="2"/>
      <c r="E56" s="2"/>
      <c r="F56" s="10"/>
      <c r="G56" s="10"/>
      <c r="I56" s="2"/>
      <c r="J56" s="2"/>
      <c r="K56" s="2"/>
      <c r="L56" s="2"/>
      <c r="M56" s="2"/>
      <c r="N56" s="2"/>
      <c r="O56" s="2"/>
      <c r="P56" s="2"/>
      <c r="Q56" s="2"/>
      <c r="R56" s="2"/>
      <c r="S56" s="2"/>
      <c r="T56" s="2"/>
      <c r="U56" s="2"/>
      <c r="V56" s="2"/>
      <c r="W56" s="2"/>
      <c r="X56" s="2"/>
      <c r="Y56" s="2"/>
      <c r="Z56" s="2"/>
      <c r="AA56" s="2"/>
    </row>
    <row r="57">
      <c r="A57" s="1">
        <v>56.0</v>
      </c>
      <c r="B57" s="2"/>
      <c r="D57" s="2"/>
      <c r="E57" s="2"/>
      <c r="F57" s="10"/>
      <c r="G57" s="10"/>
      <c r="I57" s="2"/>
      <c r="J57" s="2"/>
      <c r="K57" s="2"/>
      <c r="L57" s="2"/>
      <c r="M57" s="2"/>
      <c r="N57" s="2"/>
      <c r="O57" s="2"/>
      <c r="P57" s="2"/>
      <c r="Q57" s="2"/>
      <c r="R57" s="2"/>
      <c r="S57" s="2"/>
      <c r="T57" s="2"/>
      <c r="U57" s="2"/>
      <c r="V57" s="2"/>
      <c r="W57" s="2"/>
      <c r="X57" s="2"/>
      <c r="Y57" s="2"/>
      <c r="Z57" s="2"/>
      <c r="AA57" s="2"/>
    </row>
    <row r="58">
      <c r="A58" s="1">
        <v>57.0</v>
      </c>
      <c r="B58" s="2"/>
      <c r="D58" s="2"/>
      <c r="E58" s="2"/>
      <c r="F58" s="10"/>
      <c r="G58" s="10"/>
      <c r="I58" s="2"/>
      <c r="J58" s="2"/>
      <c r="K58" s="2"/>
      <c r="L58" s="2"/>
      <c r="M58" s="2"/>
      <c r="N58" s="2"/>
      <c r="O58" s="2"/>
      <c r="P58" s="2"/>
      <c r="Q58" s="2"/>
      <c r="R58" s="2"/>
      <c r="S58" s="2"/>
      <c r="T58" s="2"/>
      <c r="U58" s="2"/>
      <c r="V58" s="2"/>
      <c r="W58" s="2"/>
      <c r="X58" s="2"/>
      <c r="Y58" s="2"/>
      <c r="Z58" s="2"/>
      <c r="AA58" s="2"/>
    </row>
    <row r="59">
      <c r="A59" s="1">
        <v>58.0</v>
      </c>
      <c r="B59" s="2"/>
      <c r="D59" s="2"/>
      <c r="E59" s="2"/>
      <c r="F59" s="10"/>
      <c r="G59" s="10"/>
      <c r="I59" s="2"/>
      <c r="J59" s="2"/>
      <c r="K59" s="2"/>
      <c r="L59" s="2"/>
      <c r="M59" s="2"/>
      <c r="N59" s="2"/>
      <c r="O59" s="2"/>
      <c r="P59" s="2"/>
      <c r="Q59" s="2"/>
      <c r="R59" s="2"/>
      <c r="S59" s="2"/>
      <c r="T59" s="2"/>
      <c r="U59" s="2"/>
      <c r="V59" s="2"/>
      <c r="W59" s="2"/>
      <c r="X59" s="2"/>
      <c r="Y59" s="2"/>
      <c r="Z59" s="2"/>
      <c r="AA59" s="2"/>
    </row>
    <row r="60">
      <c r="A60" s="1">
        <v>59.0</v>
      </c>
      <c r="B60" s="2"/>
      <c r="D60" s="2"/>
      <c r="E60" s="2"/>
      <c r="F60" s="10"/>
      <c r="G60" s="10"/>
      <c r="I60" s="2"/>
      <c r="J60" s="2"/>
      <c r="K60" s="2"/>
      <c r="L60" s="2"/>
      <c r="M60" s="2"/>
      <c r="N60" s="2"/>
      <c r="O60" s="2"/>
      <c r="P60" s="2"/>
      <c r="Q60" s="2"/>
      <c r="R60" s="2"/>
      <c r="S60" s="2"/>
      <c r="T60" s="2"/>
      <c r="U60" s="2"/>
      <c r="V60" s="2"/>
      <c r="W60" s="2"/>
      <c r="X60" s="2"/>
      <c r="Y60" s="2"/>
      <c r="Z60" s="2"/>
      <c r="AA60" s="2"/>
    </row>
    <row r="61">
      <c r="A61" s="1">
        <v>60.0</v>
      </c>
      <c r="B61" s="2"/>
      <c r="D61" s="2"/>
      <c r="E61" s="2"/>
      <c r="F61" s="10"/>
      <c r="G61" s="10"/>
      <c r="I61" s="2"/>
      <c r="J61" s="2"/>
      <c r="K61" s="2"/>
      <c r="L61" s="2"/>
      <c r="M61" s="2"/>
      <c r="N61" s="2"/>
      <c r="O61" s="2"/>
      <c r="P61" s="2"/>
      <c r="Q61" s="2"/>
      <c r="R61" s="2"/>
      <c r="S61" s="2"/>
      <c r="T61" s="2"/>
      <c r="U61" s="2"/>
      <c r="V61" s="2"/>
      <c r="W61" s="2"/>
      <c r="X61" s="2"/>
      <c r="Y61" s="2"/>
      <c r="Z61" s="2"/>
      <c r="AA61" s="2"/>
    </row>
    <row r="62">
      <c r="A62" s="1">
        <v>61.0</v>
      </c>
      <c r="B62" s="2"/>
      <c r="D62" s="2"/>
      <c r="E62" s="2"/>
      <c r="F62" s="10"/>
      <c r="G62" s="10"/>
      <c r="I62" s="2"/>
      <c r="J62" s="2"/>
      <c r="K62" s="2"/>
      <c r="L62" s="2"/>
      <c r="M62" s="2"/>
      <c r="N62" s="2"/>
      <c r="O62" s="2"/>
      <c r="P62" s="2"/>
      <c r="Q62" s="2"/>
      <c r="R62" s="2"/>
      <c r="S62" s="2"/>
      <c r="T62" s="2"/>
      <c r="U62" s="2"/>
      <c r="V62" s="2"/>
      <c r="W62" s="2"/>
      <c r="X62" s="2"/>
      <c r="Y62" s="2"/>
      <c r="Z62" s="2"/>
      <c r="AA62" s="2"/>
    </row>
    <row r="63">
      <c r="A63" s="1">
        <v>62.0</v>
      </c>
      <c r="B63" s="2"/>
      <c r="D63" s="2"/>
      <c r="E63" s="2"/>
      <c r="F63" s="10"/>
      <c r="G63" s="10"/>
      <c r="I63" s="2"/>
      <c r="J63" s="2"/>
      <c r="K63" s="2"/>
      <c r="L63" s="2"/>
      <c r="M63" s="2"/>
      <c r="N63" s="2"/>
      <c r="O63" s="2"/>
      <c r="P63" s="2"/>
      <c r="Q63" s="2"/>
      <c r="R63" s="2"/>
      <c r="S63" s="2"/>
      <c r="T63" s="2"/>
      <c r="U63" s="2"/>
      <c r="V63" s="2"/>
      <c r="W63" s="2"/>
      <c r="X63" s="2"/>
      <c r="Y63" s="2"/>
      <c r="Z63" s="2"/>
      <c r="AA63" s="2"/>
    </row>
    <row r="64">
      <c r="A64" s="1">
        <v>63.0</v>
      </c>
      <c r="B64" s="2"/>
      <c r="D64" s="2"/>
      <c r="E64" s="2"/>
      <c r="F64" s="10"/>
      <c r="G64" s="10"/>
      <c r="I64" s="2"/>
      <c r="J64" s="2"/>
      <c r="K64" s="2"/>
      <c r="L64" s="2"/>
      <c r="M64" s="2"/>
      <c r="N64" s="2"/>
      <c r="O64" s="2"/>
      <c r="P64" s="2"/>
      <c r="Q64" s="2"/>
      <c r="R64" s="2"/>
      <c r="S64" s="2"/>
      <c r="T64" s="2"/>
      <c r="U64" s="2"/>
      <c r="V64" s="2"/>
      <c r="W64" s="2"/>
      <c r="X64" s="2"/>
      <c r="Y64" s="2"/>
      <c r="Z64" s="2"/>
      <c r="AA64" s="2"/>
    </row>
    <row r="65">
      <c r="A65" s="1">
        <v>64.0</v>
      </c>
      <c r="B65" s="2"/>
      <c r="D65" s="2"/>
      <c r="E65" s="2"/>
      <c r="F65" s="10"/>
      <c r="G65" s="10"/>
      <c r="I65" s="2"/>
      <c r="J65" s="2"/>
      <c r="K65" s="2"/>
      <c r="L65" s="2"/>
      <c r="M65" s="2"/>
      <c r="N65" s="2"/>
      <c r="O65" s="2"/>
      <c r="P65" s="2"/>
      <c r="Q65" s="2"/>
      <c r="R65" s="2"/>
      <c r="S65" s="2"/>
      <c r="T65" s="2"/>
      <c r="U65" s="2"/>
      <c r="V65" s="2"/>
      <c r="W65" s="2"/>
      <c r="X65" s="2"/>
      <c r="Y65" s="2"/>
      <c r="Z65" s="2"/>
      <c r="AA65" s="2"/>
    </row>
    <row r="66">
      <c r="A66" s="1">
        <v>65.0</v>
      </c>
      <c r="B66" s="2"/>
      <c r="D66" s="2"/>
      <c r="E66" s="2"/>
      <c r="F66" s="10"/>
      <c r="G66" s="10"/>
      <c r="I66" s="2"/>
      <c r="J66" s="2"/>
      <c r="K66" s="2"/>
      <c r="L66" s="2"/>
      <c r="M66" s="2"/>
      <c r="N66" s="2"/>
      <c r="O66" s="2"/>
      <c r="P66" s="2"/>
      <c r="Q66" s="2"/>
      <c r="R66" s="2"/>
      <c r="S66" s="2"/>
      <c r="T66" s="2"/>
      <c r="U66" s="2"/>
      <c r="V66" s="2"/>
      <c r="W66" s="2"/>
      <c r="X66" s="2"/>
      <c r="Y66" s="2"/>
      <c r="Z66" s="2"/>
      <c r="AA66" s="2"/>
    </row>
    <row r="67">
      <c r="A67" s="1">
        <v>66.0</v>
      </c>
      <c r="B67" s="2"/>
      <c r="D67" s="2"/>
      <c r="E67" s="2"/>
      <c r="F67" s="10"/>
      <c r="G67" s="10"/>
      <c r="I67" s="2"/>
      <c r="J67" s="2"/>
      <c r="K67" s="2"/>
      <c r="L67" s="2"/>
      <c r="M67" s="2"/>
      <c r="N67" s="2"/>
      <c r="O67" s="2"/>
      <c r="P67" s="2"/>
      <c r="Q67" s="2"/>
      <c r="R67" s="2"/>
      <c r="S67" s="2"/>
      <c r="T67" s="2"/>
      <c r="U67" s="2"/>
      <c r="V67" s="2"/>
      <c r="W67" s="2"/>
      <c r="X67" s="2"/>
      <c r="Y67" s="2"/>
      <c r="Z67" s="2"/>
      <c r="AA67" s="2"/>
    </row>
    <row r="68">
      <c r="A68" s="1">
        <v>67.0</v>
      </c>
      <c r="B68" s="2"/>
      <c r="D68" s="2"/>
      <c r="E68" s="2"/>
      <c r="F68" s="10"/>
      <c r="G68" s="10"/>
      <c r="I68" s="2"/>
      <c r="J68" s="2"/>
      <c r="K68" s="2"/>
      <c r="L68" s="2"/>
      <c r="M68" s="2"/>
      <c r="N68" s="2"/>
      <c r="O68" s="2"/>
      <c r="P68" s="2"/>
      <c r="Q68" s="2"/>
      <c r="R68" s="2"/>
      <c r="S68" s="2"/>
      <c r="T68" s="2"/>
      <c r="U68" s="2"/>
      <c r="V68" s="2"/>
      <c r="W68" s="2"/>
      <c r="X68" s="2"/>
      <c r="Y68" s="2"/>
      <c r="Z68" s="2"/>
      <c r="AA68" s="2"/>
    </row>
    <row r="69">
      <c r="A69" s="1">
        <v>68.0</v>
      </c>
      <c r="B69" s="2"/>
      <c r="D69" s="2"/>
      <c r="E69" s="2"/>
      <c r="F69" s="10"/>
      <c r="G69" s="10"/>
      <c r="I69" s="2"/>
      <c r="J69" s="2"/>
      <c r="K69" s="2"/>
      <c r="L69" s="2"/>
      <c r="M69" s="2"/>
      <c r="N69" s="2"/>
      <c r="O69" s="2"/>
      <c r="P69" s="2"/>
      <c r="Q69" s="2"/>
      <c r="R69" s="2"/>
      <c r="S69" s="2"/>
      <c r="T69" s="2"/>
      <c r="U69" s="2"/>
      <c r="V69" s="2"/>
      <c r="W69" s="2"/>
      <c r="X69" s="2"/>
      <c r="Y69" s="2"/>
      <c r="Z69" s="2"/>
      <c r="AA69" s="2"/>
    </row>
    <row r="70">
      <c r="A70" s="1">
        <v>69.0</v>
      </c>
      <c r="B70" s="2"/>
      <c r="D70" s="2"/>
      <c r="E70" s="2"/>
      <c r="F70" s="10"/>
      <c r="G70" s="10"/>
      <c r="I70" s="2"/>
      <c r="J70" s="2"/>
      <c r="K70" s="2"/>
      <c r="L70" s="2"/>
      <c r="M70" s="2"/>
      <c r="N70" s="2"/>
      <c r="O70" s="2"/>
      <c r="P70" s="2"/>
      <c r="Q70" s="2"/>
      <c r="R70" s="2"/>
      <c r="S70" s="2"/>
      <c r="T70" s="2"/>
      <c r="U70" s="2"/>
      <c r="V70" s="2"/>
      <c r="W70" s="2"/>
      <c r="X70" s="2"/>
      <c r="Y70" s="2"/>
      <c r="Z70" s="2"/>
      <c r="AA70" s="2"/>
    </row>
    <row r="71">
      <c r="A71" s="1">
        <v>70.0</v>
      </c>
      <c r="B71" s="2"/>
      <c r="D71" s="2"/>
      <c r="E71" s="2"/>
      <c r="F71" s="10"/>
      <c r="G71" s="10"/>
      <c r="I71" s="2"/>
      <c r="J71" s="2"/>
      <c r="K71" s="2"/>
      <c r="L71" s="2"/>
      <c r="M71" s="2"/>
      <c r="N71" s="2"/>
      <c r="O71" s="2"/>
      <c r="P71" s="2"/>
      <c r="Q71" s="2"/>
      <c r="R71" s="2"/>
      <c r="S71" s="2"/>
      <c r="T71" s="2"/>
      <c r="U71" s="2"/>
      <c r="V71" s="2"/>
      <c r="W71" s="2"/>
      <c r="X71" s="2"/>
      <c r="Y71" s="2"/>
      <c r="Z71" s="2"/>
      <c r="AA71" s="2"/>
    </row>
    <row r="72">
      <c r="A72" s="1">
        <v>71.0</v>
      </c>
      <c r="B72" s="2"/>
      <c r="D72" s="2"/>
      <c r="E72" s="2"/>
      <c r="F72" s="10"/>
      <c r="G72" s="10"/>
      <c r="I72" s="2"/>
      <c r="J72" s="2"/>
      <c r="K72" s="2"/>
      <c r="L72" s="2"/>
      <c r="M72" s="2"/>
      <c r="N72" s="2"/>
      <c r="O72" s="2"/>
      <c r="P72" s="2"/>
      <c r="Q72" s="2"/>
      <c r="R72" s="2"/>
      <c r="S72" s="2"/>
      <c r="T72" s="2"/>
      <c r="U72" s="2"/>
      <c r="V72" s="2"/>
      <c r="W72" s="2"/>
      <c r="X72" s="2"/>
      <c r="Y72" s="2"/>
      <c r="Z72" s="2"/>
      <c r="AA72" s="2"/>
    </row>
    <row r="73">
      <c r="A73" s="1">
        <v>72.0</v>
      </c>
      <c r="B73" s="2"/>
      <c r="D73" s="2"/>
      <c r="E73" s="2"/>
      <c r="F73" s="10"/>
      <c r="G73" s="10"/>
      <c r="I73" s="2"/>
      <c r="J73" s="2"/>
      <c r="K73" s="2"/>
      <c r="L73" s="2"/>
      <c r="M73" s="2"/>
      <c r="N73" s="2"/>
      <c r="O73" s="2"/>
      <c r="P73" s="2"/>
      <c r="Q73" s="2"/>
      <c r="R73" s="2"/>
      <c r="S73" s="2"/>
      <c r="T73" s="2"/>
      <c r="U73" s="2"/>
      <c r="V73" s="2"/>
      <c r="W73" s="2"/>
      <c r="X73" s="2"/>
      <c r="Y73" s="2"/>
      <c r="Z73" s="2"/>
      <c r="AA73" s="2"/>
    </row>
    <row r="74">
      <c r="A74" s="1">
        <v>73.0</v>
      </c>
      <c r="B74" s="2"/>
      <c r="D74" s="2"/>
      <c r="E74" s="2"/>
      <c r="F74" s="10"/>
      <c r="G74" s="10"/>
      <c r="I74" s="2"/>
      <c r="J74" s="2"/>
      <c r="K74" s="2"/>
      <c r="L74" s="2"/>
      <c r="M74" s="2"/>
      <c r="N74" s="2"/>
      <c r="O74" s="2"/>
      <c r="P74" s="2"/>
      <c r="Q74" s="2"/>
      <c r="R74" s="2"/>
      <c r="S74" s="2"/>
      <c r="T74" s="2"/>
      <c r="U74" s="2"/>
      <c r="V74" s="2"/>
      <c r="W74" s="2"/>
      <c r="X74" s="2"/>
      <c r="Y74" s="2"/>
      <c r="Z74" s="2"/>
      <c r="AA74" s="2"/>
    </row>
    <row r="75">
      <c r="A75" s="1">
        <v>74.0</v>
      </c>
      <c r="B75" s="2"/>
      <c r="D75" s="2"/>
      <c r="E75" s="2"/>
      <c r="F75" s="10"/>
      <c r="G75" s="10"/>
      <c r="I75" s="2"/>
      <c r="J75" s="2"/>
      <c r="K75" s="2"/>
      <c r="L75" s="2"/>
      <c r="M75" s="2"/>
      <c r="N75" s="2"/>
      <c r="O75" s="2"/>
      <c r="P75" s="2"/>
      <c r="Q75" s="2"/>
      <c r="R75" s="2"/>
      <c r="S75" s="2"/>
      <c r="T75" s="2"/>
      <c r="U75" s="2"/>
      <c r="V75" s="2"/>
      <c r="W75" s="2"/>
      <c r="X75" s="2"/>
      <c r="Y75" s="2"/>
      <c r="Z75" s="2"/>
      <c r="AA75" s="2"/>
    </row>
    <row r="76">
      <c r="A76" s="1">
        <v>75.0</v>
      </c>
      <c r="B76" s="2"/>
      <c r="D76" s="2"/>
      <c r="E76" s="2"/>
      <c r="F76" s="10"/>
      <c r="G76" s="10"/>
      <c r="I76" s="2"/>
      <c r="J76" s="2"/>
      <c r="K76" s="2"/>
      <c r="L76" s="2"/>
      <c r="M76" s="2"/>
      <c r="N76" s="2"/>
      <c r="O76" s="2"/>
      <c r="P76" s="2"/>
      <c r="Q76" s="2"/>
      <c r="R76" s="2"/>
      <c r="S76" s="2"/>
      <c r="T76" s="2"/>
      <c r="U76" s="2"/>
      <c r="V76" s="2"/>
      <c r="W76" s="2"/>
      <c r="X76" s="2"/>
      <c r="Y76" s="2"/>
      <c r="Z76" s="2"/>
      <c r="AA76" s="2"/>
    </row>
    <row r="77">
      <c r="A77" s="1">
        <v>76.0</v>
      </c>
      <c r="B77" s="2"/>
      <c r="D77" s="2"/>
      <c r="E77" s="2"/>
      <c r="F77" s="10"/>
      <c r="G77" s="10"/>
      <c r="I77" s="2"/>
      <c r="J77" s="2"/>
      <c r="K77" s="2"/>
      <c r="L77" s="2"/>
      <c r="M77" s="2"/>
      <c r="N77" s="2"/>
      <c r="O77" s="2"/>
      <c r="P77" s="2"/>
      <c r="Q77" s="2"/>
      <c r="R77" s="2"/>
      <c r="S77" s="2"/>
      <c r="T77" s="2"/>
      <c r="U77" s="2"/>
      <c r="V77" s="2"/>
      <c r="W77" s="2"/>
      <c r="X77" s="2"/>
      <c r="Y77" s="2"/>
      <c r="Z77" s="2"/>
      <c r="AA77" s="2"/>
    </row>
    <row r="78">
      <c r="A78" s="1">
        <v>77.0</v>
      </c>
      <c r="B78" s="2"/>
      <c r="D78" s="2"/>
      <c r="E78" s="2"/>
      <c r="F78" s="10"/>
      <c r="G78" s="10"/>
      <c r="I78" s="2"/>
      <c r="J78" s="2"/>
      <c r="K78" s="2"/>
      <c r="L78" s="2"/>
      <c r="M78" s="2"/>
      <c r="N78" s="2"/>
      <c r="O78" s="2"/>
      <c r="P78" s="2"/>
      <c r="Q78" s="2"/>
      <c r="R78" s="2"/>
      <c r="S78" s="2"/>
      <c r="T78" s="2"/>
      <c r="U78" s="2"/>
      <c r="V78" s="2"/>
      <c r="W78" s="2"/>
      <c r="X78" s="2"/>
      <c r="Y78" s="2"/>
      <c r="Z78" s="2"/>
      <c r="AA78" s="2"/>
    </row>
    <row r="79">
      <c r="A79" s="1">
        <v>78.0</v>
      </c>
      <c r="B79" s="2"/>
      <c r="D79" s="2"/>
      <c r="E79" s="2"/>
      <c r="F79" s="10"/>
      <c r="G79" s="10"/>
      <c r="I79" s="2"/>
      <c r="J79" s="2"/>
      <c r="K79" s="2"/>
      <c r="L79" s="2"/>
      <c r="M79" s="2"/>
      <c r="N79" s="2"/>
      <c r="O79" s="2"/>
      <c r="P79" s="2"/>
      <c r="Q79" s="2"/>
      <c r="R79" s="2"/>
      <c r="S79" s="2"/>
      <c r="T79" s="2"/>
      <c r="U79" s="2"/>
      <c r="V79" s="2"/>
      <c r="W79" s="2"/>
      <c r="X79" s="2"/>
      <c r="Y79" s="2"/>
      <c r="Z79" s="2"/>
      <c r="AA79" s="2"/>
    </row>
    <row r="80">
      <c r="A80" s="1">
        <v>79.0</v>
      </c>
      <c r="B80" s="2"/>
      <c r="D80" s="2"/>
      <c r="E80" s="2"/>
      <c r="F80" s="10"/>
      <c r="G80" s="10"/>
      <c r="I80" s="2"/>
      <c r="J80" s="2"/>
      <c r="K80" s="2"/>
      <c r="L80" s="2"/>
      <c r="M80" s="2"/>
      <c r="N80" s="2"/>
      <c r="O80" s="2"/>
      <c r="P80" s="2"/>
      <c r="Q80" s="2"/>
      <c r="R80" s="2"/>
      <c r="S80" s="2"/>
      <c r="T80" s="2"/>
      <c r="U80" s="2"/>
      <c r="V80" s="2"/>
      <c r="W80" s="2"/>
      <c r="X80" s="2"/>
      <c r="Y80" s="2"/>
      <c r="Z80" s="2"/>
      <c r="AA80" s="2"/>
    </row>
    <row r="81">
      <c r="A81" s="1">
        <v>80.0</v>
      </c>
      <c r="B81" s="2"/>
      <c r="D81" s="2"/>
      <c r="E81" s="2"/>
      <c r="F81" s="10"/>
      <c r="G81" s="10"/>
      <c r="I81" s="2"/>
      <c r="J81" s="2"/>
      <c r="K81" s="2"/>
      <c r="L81" s="2"/>
      <c r="M81" s="2"/>
      <c r="N81" s="2"/>
      <c r="O81" s="2"/>
      <c r="P81" s="2"/>
      <c r="Q81" s="2"/>
      <c r="R81" s="2"/>
      <c r="S81" s="2"/>
      <c r="T81" s="2"/>
      <c r="U81" s="2"/>
      <c r="V81" s="2"/>
      <c r="W81" s="2"/>
      <c r="X81" s="2"/>
      <c r="Y81" s="2"/>
      <c r="Z81" s="2"/>
      <c r="AA81" s="2"/>
    </row>
    <row r="82">
      <c r="A82" s="1">
        <v>81.0</v>
      </c>
      <c r="B82" s="2"/>
      <c r="D82" s="2"/>
      <c r="E82" s="2"/>
      <c r="F82" s="10"/>
      <c r="G82" s="10"/>
      <c r="I82" s="2"/>
      <c r="J82" s="2"/>
      <c r="K82" s="2"/>
      <c r="L82" s="2"/>
      <c r="M82" s="2"/>
      <c r="N82" s="2"/>
      <c r="O82" s="2"/>
      <c r="P82" s="2"/>
      <c r="Q82" s="2"/>
      <c r="R82" s="2"/>
      <c r="S82" s="2"/>
      <c r="T82" s="2"/>
      <c r="U82" s="2"/>
      <c r="V82" s="2"/>
      <c r="W82" s="2"/>
      <c r="X82" s="2"/>
      <c r="Y82" s="2"/>
      <c r="Z82" s="2"/>
      <c r="AA82" s="2"/>
    </row>
    <row r="83">
      <c r="A83" s="1">
        <v>82.0</v>
      </c>
      <c r="B83" s="2"/>
      <c r="D83" s="2"/>
      <c r="E83" s="2"/>
      <c r="F83" s="10"/>
      <c r="G83" s="10"/>
      <c r="I83" s="2"/>
      <c r="J83" s="2"/>
      <c r="K83" s="2"/>
      <c r="L83" s="2"/>
      <c r="M83" s="2"/>
      <c r="N83" s="2"/>
      <c r="O83" s="2"/>
      <c r="P83" s="2"/>
      <c r="Q83" s="2"/>
      <c r="R83" s="2"/>
      <c r="S83" s="2"/>
      <c r="T83" s="2"/>
      <c r="U83" s="2"/>
      <c r="V83" s="2"/>
      <c r="W83" s="2"/>
      <c r="X83" s="2"/>
      <c r="Y83" s="2"/>
      <c r="Z83" s="2"/>
      <c r="AA83" s="2"/>
    </row>
    <row r="84">
      <c r="A84" s="1">
        <v>83.0</v>
      </c>
      <c r="B84" s="2"/>
      <c r="D84" s="2"/>
      <c r="E84" s="2"/>
      <c r="F84" s="10"/>
      <c r="G84" s="10"/>
      <c r="I84" s="2"/>
      <c r="J84" s="2"/>
      <c r="K84" s="2"/>
      <c r="L84" s="2"/>
      <c r="M84" s="2"/>
      <c r="N84" s="2"/>
      <c r="O84" s="2"/>
      <c r="P84" s="2"/>
      <c r="Q84" s="2"/>
      <c r="R84" s="2"/>
      <c r="S84" s="2"/>
      <c r="T84" s="2"/>
      <c r="U84" s="2"/>
      <c r="V84" s="2"/>
      <c r="W84" s="2"/>
      <c r="X84" s="2"/>
      <c r="Y84" s="2"/>
      <c r="Z84" s="2"/>
      <c r="AA84" s="2"/>
    </row>
    <row r="85">
      <c r="A85" s="1">
        <v>84.0</v>
      </c>
      <c r="B85" s="2"/>
      <c r="D85" s="2"/>
      <c r="E85" s="2"/>
      <c r="F85" s="10"/>
      <c r="G85" s="10"/>
      <c r="I85" s="2"/>
      <c r="J85" s="2"/>
      <c r="K85" s="2"/>
      <c r="L85" s="2"/>
      <c r="M85" s="2"/>
      <c r="N85" s="2"/>
      <c r="O85" s="2"/>
      <c r="P85" s="2"/>
      <c r="Q85" s="2"/>
      <c r="R85" s="2"/>
      <c r="S85" s="2"/>
      <c r="T85" s="2"/>
      <c r="U85" s="2"/>
      <c r="V85" s="2"/>
      <c r="W85" s="2"/>
      <c r="X85" s="2"/>
      <c r="Y85" s="2"/>
      <c r="Z85" s="2"/>
      <c r="AA85" s="2"/>
    </row>
    <row r="86">
      <c r="A86" s="1">
        <v>85.0</v>
      </c>
      <c r="B86" s="2"/>
      <c r="D86" s="2"/>
      <c r="E86" s="2"/>
      <c r="F86" s="10"/>
      <c r="G86" s="10"/>
      <c r="I86" s="2"/>
      <c r="J86" s="2"/>
      <c r="K86" s="2"/>
      <c r="L86" s="2"/>
      <c r="M86" s="2"/>
      <c r="N86" s="2"/>
      <c r="O86" s="2"/>
      <c r="P86" s="2"/>
      <c r="Q86" s="2"/>
      <c r="R86" s="2"/>
      <c r="S86" s="2"/>
      <c r="T86" s="2"/>
      <c r="U86" s="2"/>
      <c r="V86" s="2"/>
      <c r="W86" s="2"/>
      <c r="X86" s="2"/>
      <c r="Y86" s="2"/>
      <c r="Z86" s="2"/>
      <c r="AA86" s="2"/>
    </row>
    <row r="87">
      <c r="A87" s="1">
        <v>86.0</v>
      </c>
      <c r="B87" s="2"/>
      <c r="D87" s="2"/>
      <c r="E87" s="2"/>
      <c r="F87" s="10"/>
      <c r="G87" s="10"/>
      <c r="I87" s="2"/>
      <c r="J87" s="2"/>
      <c r="K87" s="2"/>
      <c r="L87" s="2"/>
      <c r="M87" s="2"/>
      <c r="N87" s="2"/>
      <c r="O87" s="2"/>
      <c r="P87" s="2"/>
      <c r="Q87" s="2"/>
      <c r="R87" s="2"/>
      <c r="S87" s="2"/>
      <c r="T87" s="2"/>
      <c r="U87" s="2"/>
      <c r="V87" s="2"/>
      <c r="W87" s="2"/>
      <c r="X87" s="2"/>
      <c r="Y87" s="2"/>
      <c r="Z87" s="2"/>
      <c r="AA87" s="2"/>
    </row>
    <row r="88">
      <c r="A88" s="1">
        <v>87.0</v>
      </c>
      <c r="B88" s="2"/>
      <c r="D88" s="2"/>
      <c r="E88" s="2"/>
      <c r="F88" s="10"/>
      <c r="G88" s="10"/>
      <c r="I88" s="2"/>
      <c r="J88" s="2"/>
      <c r="K88" s="2"/>
      <c r="L88" s="2"/>
      <c r="M88" s="2"/>
      <c r="N88" s="2"/>
      <c r="O88" s="2"/>
      <c r="P88" s="2"/>
      <c r="Q88" s="2"/>
      <c r="R88" s="2"/>
      <c r="S88" s="2"/>
      <c r="T88" s="2"/>
      <c r="U88" s="2"/>
      <c r="V88" s="2"/>
      <c r="W88" s="2"/>
      <c r="X88" s="2"/>
      <c r="Y88" s="2"/>
      <c r="Z88" s="2"/>
      <c r="AA88" s="2"/>
    </row>
    <row r="89">
      <c r="A89" s="1">
        <v>88.0</v>
      </c>
      <c r="B89" s="2"/>
      <c r="D89" s="2"/>
      <c r="E89" s="2"/>
      <c r="F89" s="10"/>
      <c r="G89" s="10"/>
      <c r="I89" s="2"/>
      <c r="J89" s="2"/>
      <c r="K89" s="2"/>
      <c r="L89" s="2"/>
      <c r="M89" s="2"/>
      <c r="N89" s="2"/>
      <c r="O89" s="2"/>
      <c r="P89" s="2"/>
      <c r="Q89" s="2"/>
      <c r="R89" s="2"/>
      <c r="S89" s="2"/>
      <c r="T89" s="2"/>
      <c r="U89" s="2"/>
      <c r="V89" s="2"/>
      <c r="W89" s="2"/>
      <c r="X89" s="2"/>
      <c r="Y89" s="2"/>
      <c r="Z89" s="2"/>
      <c r="AA89" s="2"/>
    </row>
    <row r="90">
      <c r="A90" s="1">
        <v>89.0</v>
      </c>
      <c r="B90" s="2"/>
      <c r="D90" s="2"/>
      <c r="E90" s="2"/>
      <c r="F90" s="10"/>
      <c r="G90" s="10"/>
      <c r="I90" s="2"/>
      <c r="J90" s="2"/>
      <c r="K90" s="2"/>
      <c r="L90" s="2"/>
      <c r="M90" s="2"/>
      <c r="N90" s="2"/>
      <c r="O90" s="2"/>
      <c r="P90" s="2"/>
      <c r="Q90" s="2"/>
      <c r="R90" s="2"/>
      <c r="S90" s="2"/>
      <c r="T90" s="2"/>
      <c r="U90" s="2"/>
      <c r="V90" s="2"/>
      <c r="W90" s="2"/>
      <c r="X90" s="2"/>
      <c r="Y90" s="2"/>
      <c r="Z90" s="2"/>
      <c r="AA90" s="2"/>
    </row>
    <row r="91">
      <c r="A91" s="1">
        <v>90.0</v>
      </c>
      <c r="B91" s="2"/>
      <c r="D91" s="2"/>
      <c r="E91" s="2"/>
      <c r="F91" s="10"/>
      <c r="G91" s="10"/>
      <c r="I91" s="2"/>
      <c r="J91" s="2"/>
      <c r="K91" s="2"/>
      <c r="L91" s="2"/>
      <c r="M91" s="2"/>
      <c r="N91" s="2"/>
      <c r="O91" s="2"/>
      <c r="P91" s="2"/>
      <c r="Q91" s="2"/>
      <c r="R91" s="2"/>
      <c r="S91" s="2"/>
      <c r="T91" s="2"/>
      <c r="U91" s="2"/>
      <c r="V91" s="2"/>
      <c r="W91" s="2"/>
      <c r="X91" s="2"/>
      <c r="Y91" s="2"/>
      <c r="Z91" s="2"/>
      <c r="AA91" s="2"/>
    </row>
    <row r="92">
      <c r="A92" s="1">
        <v>91.0</v>
      </c>
      <c r="B92" s="2"/>
      <c r="D92" s="2"/>
      <c r="E92" s="2"/>
      <c r="F92" s="10"/>
      <c r="G92" s="10"/>
      <c r="I92" s="2"/>
      <c r="J92" s="2"/>
      <c r="K92" s="2"/>
      <c r="L92" s="2"/>
      <c r="M92" s="2"/>
      <c r="N92" s="2"/>
      <c r="O92" s="2"/>
      <c r="P92" s="2"/>
      <c r="Q92" s="2"/>
      <c r="R92" s="2"/>
      <c r="S92" s="2"/>
      <c r="T92" s="2"/>
      <c r="U92" s="2"/>
      <c r="V92" s="2"/>
      <c r="W92" s="2"/>
      <c r="X92" s="2"/>
      <c r="Y92" s="2"/>
      <c r="Z92" s="2"/>
      <c r="AA92" s="2"/>
    </row>
    <row r="93">
      <c r="A93" s="1">
        <v>92.0</v>
      </c>
      <c r="B93" s="2"/>
      <c r="D93" s="2"/>
      <c r="E93" s="2"/>
      <c r="F93" s="10"/>
      <c r="G93" s="10"/>
      <c r="I93" s="2"/>
      <c r="J93" s="2"/>
      <c r="K93" s="2"/>
      <c r="L93" s="2"/>
      <c r="M93" s="2"/>
      <c r="N93" s="2"/>
      <c r="O93" s="2"/>
      <c r="P93" s="2"/>
      <c r="Q93" s="2"/>
      <c r="R93" s="2"/>
      <c r="S93" s="2"/>
      <c r="T93" s="2"/>
      <c r="U93" s="2"/>
      <c r="V93" s="2"/>
      <c r="W93" s="2"/>
      <c r="X93" s="2"/>
      <c r="Y93" s="2"/>
      <c r="Z93" s="2"/>
      <c r="AA93" s="2"/>
    </row>
    <row r="94">
      <c r="A94" s="1">
        <v>93.0</v>
      </c>
      <c r="B94" s="2"/>
      <c r="D94" s="2"/>
      <c r="E94" s="2"/>
      <c r="F94" s="10"/>
      <c r="G94" s="10"/>
      <c r="I94" s="2"/>
      <c r="J94" s="2"/>
      <c r="K94" s="2"/>
      <c r="L94" s="2"/>
      <c r="M94" s="2"/>
      <c r="N94" s="2"/>
      <c r="O94" s="2"/>
      <c r="P94" s="2"/>
      <c r="Q94" s="2"/>
      <c r="R94" s="2"/>
      <c r="S94" s="2"/>
      <c r="T94" s="2"/>
      <c r="U94" s="2"/>
      <c r="V94" s="2"/>
      <c r="W94" s="2"/>
      <c r="X94" s="2"/>
      <c r="Y94" s="2"/>
      <c r="Z94" s="2"/>
      <c r="AA94" s="2"/>
    </row>
    <row r="95">
      <c r="A95" s="1">
        <v>94.0</v>
      </c>
      <c r="B95" s="2"/>
      <c r="D95" s="2"/>
      <c r="E95" s="2"/>
      <c r="F95" s="10"/>
      <c r="G95" s="10"/>
      <c r="I95" s="2"/>
      <c r="J95" s="2"/>
      <c r="K95" s="2"/>
      <c r="L95" s="2"/>
      <c r="M95" s="2"/>
      <c r="N95" s="2"/>
      <c r="O95" s="2"/>
      <c r="P95" s="2"/>
      <c r="Q95" s="2"/>
      <c r="R95" s="2"/>
      <c r="S95" s="2"/>
      <c r="T95" s="2"/>
      <c r="U95" s="2"/>
      <c r="V95" s="2"/>
      <c r="W95" s="2"/>
      <c r="X95" s="2"/>
      <c r="Y95" s="2"/>
      <c r="Z95" s="2"/>
      <c r="AA95" s="2"/>
    </row>
    <row r="96">
      <c r="A96" s="1">
        <v>95.0</v>
      </c>
      <c r="B96" s="2"/>
      <c r="D96" s="2"/>
      <c r="E96" s="2"/>
      <c r="F96" s="10"/>
      <c r="G96" s="10"/>
      <c r="I96" s="2"/>
      <c r="J96" s="2"/>
      <c r="K96" s="2"/>
      <c r="L96" s="2"/>
      <c r="M96" s="2"/>
      <c r="N96" s="2"/>
      <c r="O96" s="2"/>
      <c r="P96" s="2"/>
      <c r="Q96" s="2"/>
      <c r="R96" s="2"/>
      <c r="S96" s="2"/>
      <c r="T96" s="2"/>
      <c r="U96" s="2"/>
      <c r="V96" s="2"/>
      <c r="W96" s="2"/>
      <c r="X96" s="2"/>
      <c r="Y96" s="2"/>
      <c r="Z96" s="2"/>
      <c r="AA96" s="2"/>
    </row>
    <row r="97">
      <c r="A97" s="1">
        <v>96.0</v>
      </c>
      <c r="B97" s="2"/>
      <c r="D97" s="2"/>
      <c r="E97" s="2"/>
      <c r="F97" s="10"/>
      <c r="G97" s="10"/>
      <c r="I97" s="2"/>
      <c r="J97" s="2"/>
      <c r="K97" s="2"/>
      <c r="L97" s="2"/>
      <c r="M97" s="2"/>
      <c r="N97" s="2"/>
      <c r="O97" s="2"/>
      <c r="P97" s="2"/>
      <c r="Q97" s="2"/>
      <c r="R97" s="2"/>
      <c r="S97" s="2"/>
      <c r="T97" s="2"/>
      <c r="U97" s="2"/>
      <c r="V97" s="2"/>
      <c r="W97" s="2"/>
      <c r="X97" s="2"/>
      <c r="Y97" s="2"/>
      <c r="Z97" s="2"/>
      <c r="AA97" s="2"/>
    </row>
    <row r="98">
      <c r="A98" s="1">
        <v>97.0</v>
      </c>
      <c r="B98" s="2"/>
      <c r="D98" s="2"/>
      <c r="E98" s="2"/>
      <c r="F98" s="10"/>
      <c r="G98" s="10"/>
      <c r="I98" s="2"/>
      <c r="J98" s="2"/>
      <c r="K98" s="2"/>
      <c r="L98" s="2"/>
      <c r="M98" s="2"/>
      <c r="N98" s="2"/>
      <c r="O98" s="2"/>
      <c r="P98" s="2"/>
      <c r="Q98" s="2"/>
      <c r="R98" s="2"/>
      <c r="S98" s="2"/>
      <c r="T98" s="2"/>
      <c r="U98" s="2"/>
      <c r="V98" s="2"/>
      <c r="W98" s="2"/>
      <c r="X98" s="2"/>
      <c r="Y98" s="2"/>
      <c r="Z98" s="2"/>
      <c r="AA98" s="2"/>
    </row>
    <row r="99">
      <c r="A99" s="1">
        <v>98.0</v>
      </c>
      <c r="B99" s="2"/>
      <c r="D99" s="2"/>
      <c r="E99" s="2"/>
      <c r="F99" s="10"/>
      <c r="G99" s="10"/>
      <c r="I99" s="2"/>
      <c r="J99" s="2"/>
      <c r="K99" s="2"/>
      <c r="L99" s="2"/>
      <c r="M99" s="2"/>
      <c r="N99" s="2"/>
      <c r="O99" s="2"/>
      <c r="P99" s="2"/>
      <c r="Q99" s="2"/>
      <c r="R99" s="2"/>
      <c r="S99" s="2"/>
      <c r="T99" s="2"/>
      <c r="U99" s="2"/>
      <c r="V99" s="2"/>
      <c r="W99" s="2"/>
      <c r="X99" s="2"/>
      <c r="Y99" s="2"/>
      <c r="Z99" s="2"/>
      <c r="AA99" s="2"/>
    </row>
    <row r="100">
      <c r="A100" s="1">
        <v>99.0</v>
      </c>
      <c r="B100" s="2"/>
      <c r="D100" s="2"/>
      <c r="E100" s="2"/>
      <c r="F100" s="10"/>
      <c r="G100" s="10"/>
      <c r="I100" s="2"/>
      <c r="J100" s="2"/>
      <c r="K100" s="2"/>
      <c r="L100" s="2"/>
      <c r="M100" s="2"/>
      <c r="N100" s="2"/>
      <c r="O100" s="2"/>
      <c r="P100" s="2"/>
      <c r="Q100" s="2"/>
      <c r="R100" s="2"/>
      <c r="S100" s="2"/>
      <c r="T100" s="2"/>
      <c r="U100" s="2"/>
      <c r="V100" s="2"/>
      <c r="W100" s="2"/>
      <c r="X100" s="2"/>
      <c r="Y100" s="2"/>
      <c r="Z100" s="2"/>
      <c r="AA100" s="2"/>
    </row>
    <row r="101">
      <c r="A101" s="1">
        <v>100.0</v>
      </c>
      <c r="B101" s="2"/>
      <c r="D101" s="2"/>
      <c r="E101" s="2"/>
      <c r="F101" s="10"/>
      <c r="G101" s="10"/>
      <c r="I101" s="2"/>
      <c r="J101" s="2"/>
      <c r="K101" s="2"/>
      <c r="L101" s="2"/>
      <c r="M101" s="2"/>
      <c r="N101" s="2"/>
      <c r="O101" s="2"/>
      <c r="P101" s="2"/>
      <c r="Q101" s="2"/>
      <c r="R101" s="2"/>
      <c r="S101" s="2"/>
      <c r="T101" s="2"/>
      <c r="U101" s="2"/>
      <c r="V101" s="2"/>
      <c r="W101" s="2"/>
      <c r="X101" s="2"/>
      <c r="Y101" s="2"/>
      <c r="Z101" s="2"/>
      <c r="AA101" s="2"/>
    </row>
    <row r="102">
      <c r="A102" s="1">
        <v>101.0</v>
      </c>
      <c r="B102" s="2"/>
      <c r="D102" s="2"/>
      <c r="E102" s="2"/>
      <c r="F102" s="10"/>
      <c r="G102" s="10"/>
      <c r="I102" s="2"/>
      <c r="J102" s="2"/>
      <c r="K102" s="2"/>
      <c r="L102" s="2"/>
      <c r="M102" s="2"/>
      <c r="N102" s="2"/>
      <c r="O102" s="2"/>
      <c r="P102" s="2"/>
      <c r="Q102" s="2"/>
      <c r="R102" s="2"/>
      <c r="S102" s="2"/>
      <c r="T102" s="2"/>
      <c r="U102" s="2"/>
      <c r="V102" s="2"/>
      <c r="W102" s="2"/>
      <c r="X102" s="2"/>
      <c r="Y102" s="2"/>
      <c r="Z102" s="2"/>
      <c r="AA102" s="2"/>
    </row>
    <row r="103">
      <c r="A103" s="1">
        <v>102.0</v>
      </c>
      <c r="B103" s="2"/>
      <c r="D103" s="2"/>
      <c r="E103" s="2"/>
      <c r="F103" s="10"/>
      <c r="G103" s="10"/>
      <c r="I103" s="2"/>
      <c r="J103" s="2"/>
      <c r="K103" s="2"/>
      <c r="L103" s="2"/>
      <c r="M103" s="2"/>
      <c r="N103" s="2"/>
      <c r="O103" s="2"/>
      <c r="P103" s="2"/>
      <c r="Q103" s="2"/>
      <c r="R103" s="2"/>
      <c r="S103" s="2"/>
      <c r="T103" s="2"/>
      <c r="U103" s="2"/>
      <c r="V103" s="2"/>
      <c r="W103" s="2"/>
      <c r="X103" s="2"/>
      <c r="Y103" s="2"/>
      <c r="Z103" s="2"/>
      <c r="AA103" s="2"/>
    </row>
    <row r="104">
      <c r="A104" s="1">
        <v>103.0</v>
      </c>
      <c r="B104" s="2"/>
      <c r="D104" s="2"/>
      <c r="E104" s="2"/>
      <c r="F104" s="10"/>
      <c r="G104" s="10"/>
      <c r="I104" s="2"/>
      <c r="J104" s="2"/>
      <c r="K104" s="2"/>
      <c r="L104" s="2"/>
      <c r="M104" s="2"/>
      <c r="N104" s="2"/>
      <c r="O104" s="2"/>
      <c r="P104" s="2"/>
      <c r="Q104" s="2"/>
      <c r="R104" s="2"/>
      <c r="S104" s="2"/>
      <c r="T104" s="2"/>
      <c r="U104" s="2"/>
      <c r="V104" s="2"/>
      <c r="W104" s="2"/>
      <c r="X104" s="2"/>
      <c r="Y104" s="2"/>
      <c r="Z104" s="2"/>
      <c r="AA104" s="2"/>
    </row>
    <row r="105">
      <c r="A105" s="1">
        <v>104.0</v>
      </c>
      <c r="B105" s="2"/>
      <c r="D105" s="2"/>
      <c r="E105" s="2"/>
      <c r="F105" s="10"/>
      <c r="G105" s="10"/>
      <c r="I105" s="2"/>
      <c r="J105" s="2"/>
      <c r="K105" s="2"/>
      <c r="L105" s="2"/>
      <c r="M105" s="2"/>
      <c r="N105" s="2"/>
      <c r="O105" s="2"/>
      <c r="P105" s="2"/>
      <c r="Q105" s="2"/>
      <c r="R105" s="2"/>
      <c r="S105" s="2"/>
      <c r="T105" s="2"/>
      <c r="U105" s="2"/>
      <c r="V105" s="2"/>
      <c r="W105" s="2"/>
      <c r="X105" s="2"/>
      <c r="Y105" s="2"/>
      <c r="Z105" s="2"/>
      <c r="AA105" s="2"/>
    </row>
    <row r="106">
      <c r="A106" s="1">
        <v>105.0</v>
      </c>
      <c r="B106" s="2"/>
      <c r="D106" s="2"/>
      <c r="E106" s="2"/>
      <c r="F106" s="10"/>
      <c r="G106" s="10"/>
      <c r="I106" s="2"/>
      <c r="J106" s="2"/>
      <c r="K106" s="2"/>
      <c r="L106" s="2"/>
      <c r="M106" s="2"/>
      <c r="N106" s="2"/>
      <c r="O106" s="2"/>
      <c r="P106" s="2"/>
      <c r="Q106" s="2"/>
      <c r="R106" s="2"/>
      <c r="S106" s="2"/>
      <c r="T106" s="2"/>
      <c r="U106" s="2"/>
      <c r="V106" s="2"/>
      <c r="W106" s="2"/>
      <c r="X106" s="2"/>
      <c r="Y106" s="2"/>
      <c r="Z106" s="2"/>
      <c r="AA106" s="2"/>
    </row>
    <row r="107">
      <c r="A107" s="1">
        <v>106.0</v>
      </c>
      <c r="B107" s="2"/>
      <c r="D107" s="2"/>
      <c r="E107" s="2"/>
      <c r="F107" s="10"/>
      <c r="G107" s="10"/>
      <c r="I107" s="2"/>
      <c r="J107" s="2"/>
      <c r="K107" s="2"/>
      <c r="L107" s="2"/>
      <c r="M107" s="2"/>
      <c r="N107" s="2"/>
      <c r="O107" s="2"/>
      <c r="P107" s="2"/>
      <c r="Q107" s="2"/>
      <c r="R107" s="2"/>
      <c r="S107" s="2"/>
      <c r="T107" s="2"/>
      <c r="U107" s="2"/>
      <c r="V107" s="2"/>
      <c r="W107" s="2"/>
      <c r="X107" s="2"/>
      <c r="Y107" s="2"/>
      <c r="Z107" s="2"/>
      <c r="AA107" s="2"/>
    </row>
    <row r="108">
      <c r="A108" s="1">
        <v>107.0</v>
      </c>
      <c r="B108" s="2"/>
      <c r="D108" s="2"/>
      <c r="E108" s="2"/>
      <c r="F108" s="10"/>
      <c r="G108" s="10"/>
      <c r="I108" s="2"/>
      <c r="J108" s="2"/>
      <c r="K108" s="2"/>
      <c r="L108" s="2"/>
      <c r="M108" s="2"/>
      <c r="N108" s="2"/>
      <c r="O108" s="2"/>
      <c r="P108" s="2"/>
      <c r="Q108" s="2"/>
      <c r="R108" s="2"/>
      <c r="S108" s="2"/>
      <c r="T108" s="2"/>
      <c r="U108" s="2"/>
      <c r="V108" s="2"/>
      <c r="W108" s="2"/>
      <c r="X108" s="2"/>
      <c r="Y108" s="2"/>
      <c r="Z108" s="2"/>
      <c r="AA108" s="2"/>
    </row>
    <row r="109">
      <c r="A109" s="1">
        <v>108.0</v>
      </c>
      <c r="B109" s="2"/>
      <c r="D109" s="2"/>
      <c r="E109" s="2"/>
      <c r="F109" s="10"/>
      <c r="G109" s="10"/>
      <c r="I109" s="2"/>
      <c r="J109" s="2"/>
      <c r="K109" s="2"/>
      <c r="L109" s="2"/>
      <c r="M109" s="2"/>
      <c r="N109" s="2"/>
      <c r="O109" s="2"/>
      <c r="P109" s="2"/>
      <c r="Q109" s="2"/>
      <c r="R109" s="2"/>
      <c r="S109" s="2"/>
      <c r="T109" s="2"/>
      <c r="U109" s="2"/>
      <c r="V109" s="2"/>
      <c r="W109" s="2"/>
      <c r="X109" s="2"/>
      <c r="Y109" s="2"/>
      <c r="Z109" s="2"/>
      <c r="AA109" s="2"/>
    </row>
    <row r="110">
      <c r="A110" s="1">
        <v>109.0</v>
      </c>
      <c r="B110" s="2"/>
      <c r="D110" s="2"/>
      <c r="E110" s="2"/>
      <c r="F110" s="10"/>
      <c r="G110" s="10"/>
      <c r="I110" s="2"/>
      <c r="J110" s="2"/>
      <c r="K110" s="2"/>
      <c r="L110" s="2"/>
      <c r="M110" s="2"/>
      <c r="N110" s="2"/>
      <c r="O110" s="2"/>
      <c r="P110" s="2"/>
      <c r="Q110" s="2"/>
      <c r="R110" s="2"/>
      <c r="S110" s="2"/>
      <c r="T110" s="2"/>
      <c r="U110" s="2"/>
      <c r="V110" s="2"/>
      <c r="W110" s="2"/>
      <c r="X110" s="2"/>
      <c r="Y110" s="2"/>
      <c r="Z110" s="2"/>
      <c r="AA110" s="2"/>
    </row>
    <row r="111">
      <c r="A111" s="2"/>
      <c r="B111" s="2"/>
      <c r="D111" s="2"/>
      <c r="E111" s="2"/>
      <c r="F111" s="10"/>
      <c r="G111" s="10"/>
      <c r="I111" s="2"/>
      <c r="J111" s="2"/>
      <c r="K111" s="2"/>
      <c r="L111" s="2"/>
      <c r="M111" s="2"/>
      <c r="N111" s="2"/>
      <c r="O111" s="2"/>
      <c r="P111" s="2"/>
      <c r="Q111" s="2"/>
      <c r="R111" s="2"/>
      <c r="S111" s="2"/>
      <c r="T111" s="2"/>
      <c r="U111" s="2"/>
      <c r="V111" s="2"/>
      <c r="W111" s="2"/>
      <c r="X111" s="2"/>
      <c r="Y111" s="2"/>
      <c r="Z111" s="2"/>
      <c r="AA111" s="2"/>
    </row>
    <row r="112">
      <c r="A112" s="2"/>
      <c r="B112" s="2"/>
      <c r="D112" s="2"/>
      <c r="E112" s="2"/>
      <c r="F112" s="10"/>
      <c r="G112" s="10"/>
      <c r="I112" s="2"/>
      <c r="J112" s="2"/>
      <c r="K112" s="2"/>
      <c r="L112" s="2"/>
      <c r="M112" s="2"/>
      <c r="N112" s="2"/>
      <c r="O112" s="2"/>
      <c r="P112" s="2"/>
      <c r="Q112" s="2"/>
      <c r="R112" s="2"/>
      <c r="S112" s="2"/>
      <c r="T112" s="2"/>
      <c r="U112" s="2"/>
      <c r="V112" s="2"/>
      <c r="W112" s="2"/>
      <c r="X112" s="2"/>
      <c r="Y112" s="2"/>
      <c r="Z112" s="2"/>
      <c r="AA112" s="2"/>
    </row>
    <row r="113">
      <c r="A113" s="2"/>
      <c r="B113" s="2"/>
      <c r="D113" s="2"/>
      <c r="E113" s="2"/>
      <c r="F113" s="10"/>
      <c r="G113" s="10"/>
      <c r="I113" s="2"/>
      <c r="J113" s="2"/>
      <c r="K113" s="2"/>
      <c r="L113" s="2"/>
      <c r="M113" s="2"/>
      <c r="N113" s="2"/>
      <c r="O113" s="2"/>
      <c r="P113" s="2"/>
      <c r="Q113" s="2"/>
      <c r="R113" s="2"/>
      <c r="S113" s="2"/>
      <c r="T113" s="2"/>
      <c r="U113" s="2"/>
      <c r="V113" s="2"/>
      <c r="W113" s="2"/>
      <c r="X113" s="2"/>
      <c r="Y113" s="2"/>
      <c r="Z113" s="2"/>
      <c r="AA113" s="2"/>
    </row>
    <row r="114">
      <c r="A114" s="2"/>
      <c r="B114" s="2"/>
      <c r="D114" s="2"/>
      <c r="E114" s="2"/>
      <c r="F114" s="10"/>
      <c r="G114" s="10"/>
      <c r="I114" s="2"/>
      <c r="J114" s="2"/>
      <c r="K114" s="2"/>
      <c r="L114" s="2"/>
      <c r="M114" s="2"/>
      <c r="N114" s="2"/>
      <c r="O114" s="2"/>
      <c r="P114" s="2"/>
      <c r="Q114" s="2"/>
      <c r="R114" s="2"/>
      <c r="S114" s="2"/>
      <c r="T114" s="2"/>
      <c r="U114" s="2"/>
      <c r="V114" s="2"/>
      <c r="W114" s="2"/>
      <c r="X114" s="2"/>
      <c r="Y114" s="2"/>
      <c r="Z114" s="2"/>
      <c r="AA114" s="2"/>
    </row>
    <row r="115">
      <c r="A115" s="2"/>
      <c r="B115" s="2"/>
      <c r="D115" s="2"/>
      <c r="E115" s="2"/>
      <c r="F115" s="10"/>
      <c r="G115" s="10"/>
      <c r="I115" s="2"/>
      <c r="J115" s="2"/>
      <c r="K115" s="2"/>
      <c r="L115" s="2"/>
      <c r="M115" s="2"/>
      <c r="N115" s="2"/>
      <c r="O115" s="2"/>
      <c r="P115" s="2"/>
      <c r="Q115" s="2"/>
      <c r="R115" s="2"/>
      <c r="S115" s="2"/>
      <c r="T115" s="2"/>
      <c r="U115" s="2"/>
      <c r="V115" s="2"/>
      <c r="W115" s="2"/>
      <c r="X115" s="2"/>
      <c r="Y115" s="2"/>
      <c r="Z115" s="2"/>
      <c r="AA115" s="2"/>
    </row>
    <row r="116">
      <c r="A116" s="2"/>
      <c r="B116" s="2"/>
      <c r="D116" s="2"/>
      <c r="E116" s="2"/>
      <c r="F116" s="10"/>
      <c r="G116" s="10"/>
      <c r="I116" s="2"/>
      <c r="J116" s="2"/>
      <c r="K116" s="2"/>
      <c r="L116" s="2"/>
      <c r="M116" s="2"/>
      <c r="N116" s="2"/>
      <c r="O116" s="2"/>
      <c r="P116" s="2"/>
      <c r="Q116" s="2"/>
      <c r="R116" s="2"/>
      <c r="S116" s="2"/>
      <c r="T116" s="2"/>
      <c r="U116" s="2"/>
      <c r="V116" s="2"/>
      <c r="W116" s="2"/>
      <c r="X116" s="2"/>
      <c r="Y116" s="2"/>
      <c r="Z116" s="2"/>
      <c r="AA116" s="2"/>
    </row>
    <row r="117">
      <c r="A117" s="2"/>
      <c r="B117" s="2"/>
      <c r="D117" s="2"/>
      <c r="E117" s="2"/>
      <c r="F117" s="10"/>
      <c r="G117" s="10"/>
      <c r="I117" s="2"/>
      <c r="J117" s="2"/>
      <c r="K117" s="2"/>
      <c r="L117" s="2"/>
      <c r="M117" s="2"/>
      <c r="N117" s="2"/>
      <c r="O117" s="2"/>
      <c r="P117" s="2"/>
      <c r="Q117" s="2"/>
      <c r="R117" s="2"/>
      <c r="S117" s="2"/>
      <c r="T117" s="2"/>
      <c r="U117" s="2"/>
      <c r="V117" s="2"/>
      <c r="W117" s="2"/>
      <c r="X117" s="2"/>
      <c r="Y117" s="2"/>
      <c r="Z117" s="2"/>
      <c r="AA117" s="2"/>
    </row>
    <row r="118">
      <c r="A118" s="2"/>
      <c r="B118" s="2"/>
      <c r="D118" s="2"/>
      <c r="E118" s="2"/>
      <c r="F118" s="10"/>
      <c r="G118" s="10"/>
      <c r="I118" s="2"/>
      <c r="J118" s="2"/>
      <c r="K118" s="2"/>
      <c r="L118" s="2"/>
      <c r="M118" s="2"/>
      <c r="N118" s="2"/>
      <c r="O118" s="2"/>
      <c r="P118" s="2"/>
      <c r="Q118" s="2"/>
      <c r="R118" s="2"/>
      <c r="S118" s="2"/>
      <c r="T118" s="2"/>
      <c r="U118" s="2"/>
      <c r="V118" s="2"/>
      <c r="W118" s="2"/>
      <c r="X118" s="2"/>
      <c r="Y118" s="2"/>
      <c r="Z118" s="2"/>
      <c r="AA118" s="2"/>
    </row>
    <row r="119">
      <c r="A119" s="2"/>
      <c r="B119" s="2"/>
      <c r="D119" s="2"/>
      <c r="E119" s="2"/>
      <c r="F119" s="10"/>
      <c r="G119" s="10"/>
      <c r="I119" s="2"/>
      <c r="J119" s="2"/>
      <c r="K119" s="2"/>
      <c r="L119" s="2"/>
      <c r="M119" s="2"/>
      <c r="N119" s="2"/>
      <c r="O119" s="2"/>
      <c r="P119" s="2"/>
      <c r="Q119" s="2"/>
      <c r="R119" s="2"/>
      <c r="S119" s="2"/>
      <c r="T119" s="2"/>
      <c r="U119" s="2"/>
      <c r="V119" s="2"/>
      <c r="W119" s="2"/>
      <c r="X119" s="2"/>
      <c r="Y119" s="2"/>
      <c r="Z119" s="2"/>
      <c r="AA119" s="2"/>
    </row>
    <row r="120">
      <c r="A120" s="2"/>
      <c r="B120" s="2"/>
      <c r="D120" s="2"/>
      <c r="E120" s="2"/>
      <c r="F120" s="10"/>
      <c r="G120" s="10"/>
      <c r="I120" s="2"/>
      <c r="J120" s="2"/>
      <c r="K120" s="2"/>
      <c r="L120" s="2"/>
      <c r="M120" s="2"/>
      <c r="N120" s="2"/>
      <c r="O120" s="2"/>
      <c r="P120" s="2"/>
      <c r="Q120" s="2"/>
      <c r="R120" s="2"/>
      <c r="S120" s="2"/>
      <c r="T120" s="2"/>
      <c r="U120" s="2"/>
      <c r="V120" s="2"/>
      <c r="W120" s="2"/>
      <c r="X120" s="2"/>
      <c r="Y120" s="2"/>
      <c r="Z120" s="2"/>
      <c r="AA120" s="2"/>
    </row>
    <row r="121">
      <c r="A121" s="2"/>
      <c r="B121" s="2"/>
      <c r="D121" s="2"/>
      <c r="E121" s="2"/>
      <c r="F121" s="10"/>
      <c r="G121" s="10"/>
      <c r="I121" s="2"/>
      <c r="J121" s="2"/>
      <c r="K121" s="2"/>
      <c r="L121" s="2"/>
      <c r="M121" s="2"/>
      <c r="N121" s="2"/>
      <c r="O121" s="2"/>
      <c r="P121" s="2"/>
      <c r="Q121" s="2"/>
      <c r="R121" s="2"/>
      <c r="S121" s="2"/>
      <c r="T121" s="2"/>
      <c r="U121" s="2"/>
      <c r="V121" s="2"/>
      <c r="W121" s="2"/>
      <c r="X121" s="2"/>
      <c r="Y121" s="2"/>
      <c r="Z121" s="2"/>
      <c r="AA121" s="2"/>
    </row>
    <row r="122">
      <c r="A122" s="2"/>
      <c r="B122" s="2"/>
      <c r="D122" s="2"/>
      <c r="E122" s="2"/>
      <c r="F122" s="10"/>
      <c r="G122" s="10"/>
      <c r="I122" s="2"/>
      <c r="J122" s="2"/>
      <c r="K122" s="2"/>
      <c r="L122" s="2"/>
      <c r="M122" s="2"/>
      <c r="N122" s="2"/>
      <c r="O122" s="2"/>
      <c r="P122" s="2"/>
      <c r="Q122" s="2"/>
      <c r="R122" s="2"/>
      <c r="S122" s="2"/>
      <c r="T122" s="2"/>
      <c r="U122" s="2"/>
      <c r="V122" s="2"/>
      <c r="W122" s="2"/>
      <c r="X122" s="2"/>
      <c r="Y122" s="2"/>
      <c r="Z122" s="2"/>
      <c r="AA122" s="2"/>
    </row>
    <row r="123">
      <c r="A123" s="2"/>
      <c r="B123" s="2"/>
      <c r="D123" s="2"/>
      <c r="E123" s="2"/>
      <c r="F123" s="10"/>
      <c r="G123" s="10"/>
      <c r="I123" s="2"/>
      <c r="J123" s="2"/>
      <c r="K123" s="2"/>
      <c r="L123" s="2"/>
      <c r="M123" s="2"/>
      <c r="N123" s="2"/>
      <c r="O123" s="2"/>
      <c r="P123" s="2"/>
      <c r="Q123" s="2"/>
      <c r="R123" s="2"/>
      <c r="S123" s="2"/>
      <c r="T123" s="2"/>
      <c r="U123" s="2"/>
      <c r="V123" s="2"/>
      <c r="W123" s="2"/>
      <c r="X123" s="2"/>
      <c r="Y123" s="2"/>
      <c r="Z123" s="2"/>
      <c r="AA123" s="2"/>
    </row>
    <row r="124">
      <c r="A124" s="2"/>
      <c r="B124" s="2"/>
      <c r="D124" s="2"/>
      <c r="E124" s="2"/>
      <c r="F124" s="10"/>
      <c r="G124" s="10"/>
      <c r="I124" s="2"/>
      <c r="J124" s="2"/>
      <c r="K124" s="2"/>
      <c r="L124" s="2"/>
      <c r="M124" s="2"/>
      <c r="N124" s="2"/>
      <c r="O124" s="2"/>
      <c r="P124" s="2"/>
      <c r="Q124" s="2"/>
      <c r="R124" s="2"/>
      <c r="S124" s="2"/>
      <c r="T124" s="2"/>
      <c r="U124" s="2"/>
      <c r="V124" s="2"/>
      <c r="W124" s="2"/>
      <c r="X124" s="2"/>
      <c r="Y124" s="2"/>
      <c r="Z124" s="2"/>
      <c r="AA124" s="2"/>
    </row>
    <row r="125">
      <c r="A125" s="2"/>
      <c r="B125" s="2"/>
      <c r="D125" s="2"/>
      <c r="E125" s="2"/>
      <c r="F125" s="10"/>
      <c r="G125" s="10"/>
      <c r="I125" s="2"/>
      <c r="J125" s="2"/>
      <c r="K125" s="2"/>
      <c r="L125" s="2"/>
      <c r="M125" s="2"/>
      <c r="N125" s="2"/>
      <c r="O125" s="2"/>
      <c r="P125" s="2"/>
      <c r="Q125" s="2"/>
      <c r="R125" s="2"/>
      <c r="S125" s="2"/>
      <c r="T125" s="2"/>
      <c r="U125" s="2"/>
      <c r="V125" s="2"/>
      <c r="W125" s="2"/>
      <c r="X125" s="2"/>
      <c r="Y125" s="2"/>
      <c r="Z125" s="2"/>
      <c r="AA125" s="2"/>
    </row>
    <row r="126">
      <c r="A126" s="2"/>
      <c r="B126" s="2"/>
      <c r="D126" s="2"/>
      <c r="E126" s="2"/>
      <c r="F126" s="10"/>
      <c r="G126" s="10"/>
      <c r="I126" s="2"/>
      <c r="J126" s="2"/>
      <c r="K126" s="2"/>
      <c r="L126" s="2"/>
      <c r="M126" s="2"/>
      <c r="N126" s="2"/>
      <c r="O126" s="2"/>
      <c r="P126" s="2"/>
      <c r="Q126" s="2"/>
      <c r="R126" s="2"/>
      <c r="S126" s="2"/>
      <c r="T126" s="2"/>
      <c r="U126" s="2"/>
      <c r="V126" s="2"/>
      <c r="W126" s="2"/>
      <c r="X126" s="2"/>
      <c r="Y126" s="2"/>
      <c r="Z126" s="2"/>
      <c r="AA126" s="2"/>
    </row>
    <row r="127">
      <c r="A127" s="2"/>
      <c r="B127" s="2"/>
      <c r="D127" s="2"/>
      <c r="E127" s="2"/>
      <c r="F127" s="10"/>
      <c r="G127" s="10"/>
      <c r="I127" s="2"/>
      <c r="J127" s="2"/>
      <c r="K127" s="2"/>
      <c r="L127" s="2"/>
      <c r="M127" s="2"/>
      <c r="N127" s="2"/>
      <c r="O127" s="2"/>
      <c r="P127" s="2"/>
      <c r="Q127" s="2"/>
      <c r="R127" s="2"/>
      <c r="S127" s="2"/>
      <c r="T127" s="2"/>
      <c r="U127" s="2"/>
      <c r="V127" s="2"/>
      <c r="W127" s="2"/>
      <c r="X127" s="2"/>
      <c r="Y127" s="2"/>
      <c r="Z127" s="2"/>
      <c r="AA127" s="2"/>
    </row>
    <row r="128">
      <c r="A128" s="2"/>
      <c r="B128" s="2"/>
      <c r="D128" s="2"/>
      <c r="E128" s="2"/>
      <c r="F128" s="10"/>
      <c r="G128" s="10"/>
      <c r="I128" s="2"/>
      <c r="J128" s="2"/>
      <c r="K128" s="2"/>
      <c r="L128" s="2"/>
      <c r="M128" s="2"/>
      <c r="N128" s="2"/>
      <c r="O128" s="2"/>
      <c r="P128" s="2"/>
      <c r="Q128" s="2"/>
      <c r="R128" s="2"/>
      <c r="S128" s="2"/>
      <c r="T128" s="2"/>
      <c r="U128" s="2"/>
      <c r="V128" s="2"/>
      <c r="W128" s="2"/>
      <c r="X128" s="2"/>
      <c r="Y128" s="2"/>
      <c r="Z128" s="2"/>
      <c r="AA128" s="2"/>
    </row>
    <row r="129">
      <c r="A129" s="2"/>
      <c r="B129" s="2"/>
      <c r="D129" s="2"/>
      <c r="E129" s="2"/>
      <c r="F129" s="10"/>
      <c r="G129" s="10"/>
      <c r="I129" s="2"/>
      <c r="J129" s="2"/>
      <c r="K129" s="2"/>
      <c r="L129" s="2"/>
      <c r="M129" s="2"/>
      <c r="N129" s="2"/>
      <c r="O129" s="2"/>
      <c r="P129" s="2"/>
      <c r="Q129" s="2"/>
      <c r="R129" s="2"/>
      <c r="S129" s="2"/>
      <c r="T129" s="2"/>
      <c r="U129" s="2"/>
      <c r="V129" s="2"/>
      <c r="W129" s="2"/>
      <c r="X129" s="2"/>
      <c r="Y129" s="2"/>
      <c r="Z129" s="2"/>
      <c r="AA129" s="2"/>
    </row>
    <row r="130">
      <c r="A130" s="2"/>
      <c r="B130" s="2"/>
      <c r="D130" s="2"/>
      <c r="E130" s="2"/>
      <c r="F130" s="10"/>
      <c r="G130" s="10"/>
      <c r="I130" s="2"/>
      <c r="J130" s="2"/>
      <c r="K130" s="2"/>
      <c r="L130" s="2"/>
      <c r="M130" s="2"/>
      <c r="N130" s="2"/>
      <c r="O130" s="2"/>
      <c r="P130" s="2"/>
      <c r="Q130" s="2"/>
      <c r="R130" s="2"/>
      <c r="S130" s="2"/>
      <c r="T130" s="2"/>
      <c r="U130" s="2"/>
      <c r="V130" s="2"/>
      <c r="W130" s="2"/>
      <c r="X130" s="2"/>
      <c r="Y130" s="2"/>
      <c r="Z130" s="2"/>
      <c r="AA130" s="2"/>
    </row>
    <row r="131">
      <c r="A131" s="2"/>
      <c r="B131" s="2"/>
      <c r="D131" s="2"/>
      <c r="E131" s="2"/>
      <c r="F131" s="10"/>
      <c r="G131" s="10"/>
      <c r="I131" s="2"/>
      <c r="J131" s="2"/>
      <c r="K131" s="2"/>
      <c r="L131" s="2"/>
      <c r="M131" s="2"/>
      <c r="N131" s="2"/>
      <c r="O131" s="2"/>
      <c r="P131" s="2"/>
      <c r="Q131" s="2"/>
      <c r="R131" s="2"/>
      <c r="S131" s="2"/>
      <c r="T131" s="2"/>
      <c r="U131" s="2"/>
      <c r="V131" s="2"/>
      <c r="W131" s="2"/>
      <c r="X131" s="2"/>
      <c r="Y131" s="2"/>
      <c r="Z131" s="2"/>
      <c r="AA131" s="2"/>
    </row>
    <row r="132">
      <c r="A132" s="2"/>
      <c r="B132" s="2"/>
      <c r="D132" s="2"/>
      <c r="E132" s="2"/>
      <c r="F132" s="10"/>
      <c r="G132" s="10"/>
      <c r="I132" s="2"/>
      <c r="J132" s="2"/>
      <c r="K132" s="2"/>
      <c r="L132" s="2"/>
      <c r="M132" s="2"/>
      <c r="N132" s="2"/>
      <c r="O132" s="2"/>
      <c r="P132" s="2"/>
      <c r="Q132" s="2"/>
      <c r="R132" s="2"/>
      <c r="S132" s="2"/>
      <c r="T132" s="2"/>
      <c r="U132" s="2"/>
      <c r="V132" s="2"/>
      <c r="W132" s="2"/>
      <c r="X132" s="2"/>
      <c r="Y132" s="2"/>
      <c r="Z132" s="2"/>
      <c r="AA132" s="2"/>
    </row>
    <row r="133">
      <c r="A133" s="2"/>
      <c r="B133" s="2"/>
      <c r="D133" s="2"/>
      <c r="E133" s="2"/>
      <c r="F133" s="10"/>
      <c r="G133" s="10"/>
      <c r="I133" s="2"/>
      <c r="J133" s="2"/>
      <c r="K133" s="2"/>
      <c r="L133" s="2"/>
      <c r="M133" s="2"/>
      <c r="N133" s="2"/>
      <c r="O133" s="2"/>
      <c r="P133" s="2"/>
      <c r="Q133" s="2"/>
      <c r="R133" s="2"/>
      <c r="S133" s="2"/>
      <c r="T133" s="2"/>
      <c r="U133" s="2"/>
      <c r="V133" s="2"/>
      <c r="W133" s="2"/>
      <c r="X133" s="2"/>
      <c r="Y133" s="2"/>
      <c r="Z133" s="2"/>
      <c r="AA133" s="2"/>
    </row>
    <row r="134">
      <c r="A134" s="2"/>
      <c r="B134" s="2"/>
      <c r="D134" s="2"/>
      <c r="E134" s="2"/>
      <c r="F134" s="10"/>
      <c r="G134" s="10"/>
      <c r="I134" s="2"/>
      <c r="J134" s="2"/>
      <c r="K134" s="2"/>
      <c r="L134" s="2"/>
      <c r="M134" s="2"/>
      <c r="N134" s="2"/>
      <c r="O134" s="2"/>
      <c r="P134" s="2"/>
      <c r="Q134" s="2"/>
      <c r="R134" s="2"/>
      <c r="S134" s="2"/>
      <c r="T134" s="2"/>
      <c r="U134" s="2"/>
      <c r="V134" s="2"/>
      <c r="W134" s="2"/>
      <c r="X134" s="2"/>
      <c r="Y134" s="2"/>
      <c r="Z134" s="2"/>
      <c r="AA134" s="2"/>
    </row>
    <row r="135">
      <c r="A135" s="2"/>
      <c r="B135" s="2"/>
      <c r="D135" s="2"/>
      <c r="E135" s="2"/>
      <c r="F135" s="10"/>
      <c r="G135" s="10"/>
      <c r="I135" s="2"/>
      <c r="J135" s="2"/>
      <c r="K135" s="2"/>
      <c r="L135" s="2"/>
      <c r="M135" s="2"/>
      <c r="N135" s="2"/>
      <c r="O135" s="2"/>
      <c r="P135" s="2"/>
      <c r="Q135" s="2"/>
      <c r="R135" s="2"/>
      <c r="S135" s="2"/>
      <c r="T135" s="2"/>
      <c r="U135" s="2"/>
      <c r="V135" s="2"/>
      <c r="W135" s="2"/>
      <c r="X135" s="2"/>
      <c r="Y135" s="2"/>
      <c r="Z135" s="2"/>
      <c r="AA135" s="2"/>
    </row>
    <row r="136">
      <c r="A136" s="2"/>
      <c r="B136" s="2"/>
      <c r="D136" s="2"/>
      <c r="E136" s="2"/>
      <c r="F136" s="10"/>
      <c r="G136" s="10"/>
      <c r="I136" s="2"/>
      <c r="J136" s="2"/>
      <c r="K136" s="2"/>
      <c r="L136" s="2"/>
      <c r="M136" s="2"/>
      <c r="N136" s="2"/>
      <c r="O136" s="2"/>
      <c r="P136" s="2"/>
      <c r="Q136" s="2"/>
      <c r="R136" s="2"/>
      <c r="S136" s="2"/>
      <c r="T136" s="2"/>
      <c r="U136" s="2"/>
      <c r="V136" s="2"/>
      <c r="W136" s="2"/>
      <c r="X136" s="2"/>
      <c r="Y136" s="2"/>
      <c r="Z136" s="2"/>
      <c r="AA136" s="2"/>
    </row>
    <row r="137">
      <c r="A137" s="2"/>
      <c r="B137" s="2"/>
      <c r="D137" s="2"/>
      <c r="E137" s="2"/>
      <c r="F137" s="10"/>
      <c r="G137" s="10"/>
      <c r="I137" s="2"/>
      <c r="J137" s="2"/>
      <c r="K137" s="2"/>
      <c r="L137" s="2"/>
      <c r="M137" s="2"/>
      <c r="N137" s="2"/>
      <c r="O137" s="2"/>
      <c r="P137" s="2"/>
      <c r="Q137" s="2"/>
      <c r="R137" s="2"/>
      <c r="S137" s="2"/>
      <c r="T137" s="2"/>
      <c r="U137" s="2"/>
      <c r="V137" s="2"/>
      <c r="W137" s="2"/>
      <c r="X137" s="2"/>
      <c r="Y137" s="2"/>
      <c r="Z137" s="2"/>
      <c r="AA137" s="2"/>
    </row>
    <row r="138">
      <c r="A138" s="2"/>
      <c r="B138" s="2"/>
      <c r="D138" s="2"/>
      <c r="E138" s="2"/>
      <c r="F138" s="10"/>
      <c r="G138" s="10"/>
      <c r="I138" s="2"/>
      <c r="J138" s="2"/>
      <c r="K138" s="2"/>
      <c r="L138" s="2"/>
      <c r="M138" s="2"/>
      <c r="N138" s="2"/>
      <c r="O138" s="2"/>
      <c r="P138" s="2"/>
      <c r="Q138" s="2"/>
      <c r="R138" s="2"/>
      <c r="S138" s="2"/>
      <c r="T138" s="2"/>
      <c r="U138" s="2"/>
      <c r="V138" s="2"/>
      <c r="W138" s="2"/>
      <c r="X138" s="2"/>
      <c r="Y138" s="2"/>
      <c r="Z138" s="2"/>
      <c r="AA138" s="2"/>
    </row>
    <row r="139">
      <c r="A139" s="2"/>
      <c r="B139" s="2"/>
      <c r="D139" s="2"/>
      <c r="E139" s="2"/>
      <c r="F139" s="10"/>
      <c r="G139" s="10"/>
      <c r="I139" s="2"/>
      <c r="J139" s="2"/>
      <c r="K139" s="2"/>
      <c r="L139" s="2"/>
      <c r="M139" s="2"/>
      <c r="N139" s="2"/>
      <c r="O139" s="2"/>
      <c r="P139" s="2"/>
      <c r="Q139" s="2"/>
      <c r="R139" s="2"/>
      <c r="S139" s="2"/>
      <c r="T139" s="2"/>
      <c r="U139" s="2"/>
      <c r="V139" s="2"/>
      <c r="W139" s="2"/>
      <c r="X139" s="2"/>
      <c r="Y139" s="2"/>
      <c r="Z139" s="2"/>
      <c r="AA139" s="2"/>
    </row>
    <row r="140">
      <c r="A140" s="2"/>
      <c r="B140" s="2"/>
      <c r="D140" s="2"/>
      <c r="E140" s="2"/>
      <c r="F140" s="10"/>
      <c r="G140" s="10"/>
      <c r="I140" s="2"/>
      <c r="J140" s="2"/>
      <c r="K140" s="2"/>
      <c r="L140" s="2"/>
      <c r="M140" s="2"/>
      <c r="N140" s="2"/>
      <c r="O140" s="2"/>
      <c r="P140" s="2"/>
      <c r="Q140" s="2"/>
      <c r="R140" s="2"/>
      <c r="S140" s="2"/>
      <c r="T140" s="2"/>
      <c r="U140" s="2"/>
      <c r="V140" s="2"/>
      <c r="W140" s="2"/>
      <c r="X140" s="2"/>
      <c r="Y140" s="2"/>
      <c r="Z140" s="2"/>
      <c r="AA140" s="2"/>
    </row>
    <row r="141">
      <c r="A141" s="2"/>
      <c r="B141" s="2"/>
      <c r="D141" s="2"/>
      <c r="E141" s="2"/>
      <c r="F141" s="10"/>
      <c r="G141" s="10"/>
      <c r="I141" s="2"/>
      <c r="J141" s="2"/>
      <c r="K141" s="2"/>
      <c r="L141" s="2"/>
      <c r="M141" s="2"/>
      <c r="N141" s="2"/>
      <c r="O141" s="2"/>
      <c r="P141" s="2"/>
      <c r="Q141" s="2"/>
      <c r="R141" s="2"/>
      <c r="S141" s="2"/>
      <c r="T141" s="2"/>
      <c r="U141" s="2"/>
      <c r="V141" s="2"/>
      <c r="W141" s="2"/>
      <c r="X141" s="2"/>
      <c r="Y141" s="2"/>
      <c r="Z141" s="2"/>
      <c r="AA141" s="2"/>
    </row>
    <row r="142">
      <c r="A142" s="2"/>
      <c r="B142" s="2"/>
      <c r="D142" s="2"/>
      <c r="E142" s="2"/>
      <c r="F142" s="10"/>
      <c r="G142" s="10"/>
      <c r="I142" s="2"/>
      <c r="J142" s="2"/>
      <c r="K142" s="2"/>
      <c r="L142" s="2"/>
      <c r="M142" s="2"/>
      <c r="N142" s="2"/>
      <c r="O142" s="2"/>
      <c r="P142" s="2"/>
      <c r="Q142" s="2"/>
      <c r="R142" s="2"/>
      <c r="S142" s="2"/>
      <c r="T142" s="2"/>
      <c r="U142" s="2"/>
      <c r="V142" s="2"/>
      <c r="W142" s="2"/>
      <c r="X142" s="2"/>
      <c r="Y142" s="2"/>
      <c r="Z142" s="2"/>
      <c r="AA142" s="2"/>
    </row>
    <row r="143">
      <c r="A143" s="2"/>
      <c r="B143" s="2"/>
      <c r="D143" s="2"/>
      <c r="E143" s="2"/>
      <c r="F143" s="10"/>
      <c r="G143" s="10"/>
      <c r="I143" s="2"/>
      <c r="J143" s="2"/>
      <c r="K143" s="2"/>
      <c r="L143" s="2"/>
      <c r="M143" s="2"/>
      <c r="N143" s="2"/>
      <c r="O143" s="2"/>
      <c r="P143" s="2"/>
      <c r="Q143" s="2"/>
      <c r="R143" s="2"/>
      <c r="S143" s="2"/>
      <c r="T143" s="2"/>
      <c r="U143" s="2"/>
      <c r="V143" s="2"/>
      <c r="W143" s="2"/>
      <c r="X143" s="2"/>
      <c r="Y143" s="2"/>
      <c r="Z143" s="2"/>
      <c r="AA143" s="2"/>
    </row>
    <row r="144">
      <c r="A144" s="2"/>
      <c r="B144" s="2"/>
      <c r="D144" s="2"/>
      <c r="E144" s="2"/>
      <c r="F144" s="10"/>
      <c r="G144" s="10"/>
      <c r="I144" s="2"/>
      <c r="J144" s="2"/>
      <c r="K144" s="2"/>
      <c r="L144" s="2"/>
      <c r="M144" s="2"/>
      <c r="N144" s="2"/>
      <c r="O144" s="2"/>
      <c r="P144" s="2"/>
      <c r="Q144" s="2"/>
      <c r="R144" s="2"/>
      <c r="S144" s="2"/>
      <c r="T144" s="2"/>
      <c r="U144" s="2"/>
      <c r="V144" s="2"/>
      <c r="W144" s="2"/>
      <c r="X144" s="2"/>
      <c r="Y144" s="2"/>
      <c r="Z144" s="2"/>
      <c r="AA144" s="2"/>
    </row>
    <row r="145">
      <c r="A145" s="2"/>
      <c r="B145" s="2"/>
      <c r="D145" s="2"/>
      <c r="E145" s="2"/>
      <c r="F145" s="10"/>
      <c r="G145" s="10"/>
      <c r="I145" s="2"/>
      <c r="J145" s="2"/>
      <c r="K145" s="2"/>
      <c r="L145" s="2"/>
      <c r="M145" s="2"/>
      <c r="N145" s="2"/>
      <c r="O145" s="2"/>
      <c r="P145" s="2"/>
      <c r="Q145" s="2"/>
      <c r="R145" s="2"/>
      <c r="S145" s="2"/>
      <c r="T145" s="2"/>
      <c r="U145" s="2"/>
      <c r="V145" s="2"/>
      <c r="W145" s="2"/>
      <c r="X145" s="2"/>
      <c r="Y145" s="2"/>
      <c r="Z145" s="2"/>
      <c r="AA145" s="2"/>
    </row>
    <row r="146">
      <c r="A146" s="2"/>
      <c r="B146" s="2"/>
      <c r="D146" s="2"/>
      <c r="E146" s="2"/>
      <c r="F146" s="10"/>
      <c r="G146" s="10"/>
      <c r="I146" s="2"/>
      <c r="J146" s="2"/>
      <c r="K146" s="2"/>
      <c r="L146" s="2"/>
      <c r="M146" s="2"/>
      <c r="N146" s="2"/>
      <c r="O146" s="2"/>
      <c r="P146" s="2"/>
      <c r="Q146" s="2"/>
      <c r="R146" s="2"/>
      <c r="S146" s="2"/>
      <c r="T146" s="2"/>
      <c r="U146" s="2"/>
      <c r="V146" s="2"/>
      <c r="W146" s="2"/>
      <c r="X146" s="2"/>
      <c r="Y146" s="2"/>
      <c r="Z146" s="2"/>
      <c r="AA146" s="2"/>
    </row>
    <row r="147">
      <c r="A147" s="2"/>
      <c r="B147" s="2"/>
      <c r="D147" s="2"/>
      <c r="E147" s="2"/>
      <c r="F147" s="10"/>
      <c r="G147" s="10"/>
      <c r="I147" s="2"/>
      <c r="J147" s="2"/>
      <c r="K147" s="2"/>
      <c r="L147" s="2"/>
      <c r="M147" s="2"/>
      <c r="N147" s="2"/>
      <c r="O147" s="2"/>
      <c r="P147" s="2"/>
      <c r="Q147" s="2"/>
      <c r="R147" s="2"/>
      <c r="S147" s="2"/>
      <c r="T147" s="2"/>
      <c r="U147" s="2"/>
      <c r="V147" s="2"/>
      <c r="W147" s="2"/>
      <c r="X147" s="2"/>
      <c r="Y147" s="2"/>
      <c r="Z147" s="2"/>
      <c r="AA147" s="2"/>
    </row>
    <row r="148">
      <c r="A148" s="2"/>
      <c r="B148" s="2"/>
      <c r="D148" s="2"/>
      <c r="E148" s="2"/>
      <c r="F148" s="10"/>
      <c r="G148" s="10"/>
      <c r="I148" s="2"/>
      <c r="J148" s="2"/>
      <c r="K148" s="2"/>
      <c r="L148" s="2"/>
      <c r="M148" s="2"/>
      <c r="N148" s="2"/>
      <c r="O148" s="2"/>
      <c r="P148" s="2"/>
      <c r="Q148" s="2"/>
      <c r="R148" s="2"/>
      <c r="S148" s="2"/>
      <c r="T148" s="2"/>
      <c r="U148" s="2"/>
      <c r="V148" s="2"/>
      <c r="W148" s="2"/>
      <c r="X148" s="2"/>
      <c r="Y148" s="2"/>
      <c r="Z148" s="2"/>
      <c r="AA148" s="2"/>
    </row>
    <row r="149">
      <c r="A149" s="2"/>
      <c r="B149" s="2"/>
      <c r="D149" s="2"/>
      <c r="E149" s="2"/>
      <c r="F149" s="10"/>
      <c r="G149" s="10"/>
      <c r="I149" s="2"/>
      <c r="J149" s="2"/>
      <c r="K149" s="2"/>
      <c r="L149" s="2"/>
      <c r="M149" s="2"/>
      <c r="N149" s="2"/>
      <c r="O149" s="2"/>
      <c r="P149" s="2"/>
      <c r="Q149" s="2"/>
      <c r="R149" s="2"/>
      <c r="S149" s="2"/>
      <c r="T149" s="2"/>
      <c r="U149" s="2"/>
      <c r="V149" s="2"/>
      <c r="W149" s="2"/>
      <c r="X149" s="2"/>
      <c r="Y149" s="2"/>
      <c r="Z149" s="2"/>
      <c r="AA149" s="2"/>
    </row>
    <row r="150">
      <c r="A150" s="2"/>
      <c r="B150" s="2"/>
      <c r="D150" s="2"/>
      <c r="E150" s="2"/>
      <c r="F150" s="10"/>
      <c r="G150" s="10"/>
      <c r="I150" s="2"/>
      <c r="J150" s="2"/>
      <c r="K150" s="2"/>
      <c r="L150" s="2"/>
      <c r="M150" s="2"/>
      <c r="N150" s="2"/>
      <c r="O150" s="2"/>
      <c r="P150" s="2"/>
      <c r="Q150" s="2"/>
      <c r="R150" s="2"/>
      <c r="S150" s="2"/>
      <c r="T150" s="2"/>
      <c r="U150" s="2"/>
      <c r="V150" s="2"/>
      <c r="W150" s="2"/>
      <c r="X150" s="2"/>
      <c r="Y150" s="2"/>
      <c r="Z150" s="2"/>
      <c r="AA150" s="2"/>
    </row>
    <row r="151">
      <c r="A151" s="2"/>
      <c r="B151" s="2"/>
      <c r="D151" s="2"/>
      <c r="E151" s="2"/>
      <c r="F151" s="10"/>
      <c r="G151" s="10"/>
      <c r="I151" s="2"/>
      <c r="J151" s="2"/>
      <c r="K151" s="2"/>
      <c r="L151" s="2"/>
      <c r="M151" s="2"/>
      <c r="N151" s="2"/>
      <c r="O151" s="2"/>
      <c r="P151" s="2"/>
      <c r="Q151" s="2"/>
      <c r="R151" s="2"/>
      <c r="S151" s="2"/>
      <c r="T151" s="2"/>
      <c r="U151" s="2"/>
      <c r="V151" s="2"/>
      <c r="W151" s="2"/>
      <c r="X151" s="2"/>
      <c r="Y151" s="2"/>
      <c r="Z151" s="2"/>
      <c r="AA151" s="2"/>
    </row>
    <row r="152">
      <c r="A152" s="2"/>
      <c r="B152" s="2"/>
      <c r="D152" s="2"/>
      <c r="E152" s="2"/>
      <c r="F152" s="10"/>
      <c r="G152" s="10"/>
      <c r="I152" s="2"/>
      <c r="J152" s="2"/>
      <c r="K152" s="2"/>
      <c r="L152" s="2"/>
      <c r="M152" s="2"/>
      <c r="N152" s="2"/>
      <c r="O152" s="2"/>
      <c r="P152" s="2"/>
      <c r="Q152" s="2"/>
      <c r="R152" s="2"/>
      <c r="S152" s="2"/>
      <c r="T152" s="2"/>
      <c r="U152" s="2"/>
      <c r="V152" s="2"/>
      <c r="W152" s="2"/>
      <c r="X152" s="2"/>
      <c r="Y152" s="2"/>
      <c r="Z152" s="2"/>
      <c r="AA152" s="2"/>
    </row>
    <row r="153">
      <c r="A153" s="2"/>
      <c r="B153" s="2"/>
      <c r="D153" s="2"/>
      <c r="E153" s="2"/>
      <c r="F153" s="10"/>
      <c r="G153" s="10"/>
      <c r="I153" s="2"/>
      <c r="J153" s="2"/>
      <c r="K153" s="2"/>
      <c r="L153" s="2"/>
      <c r="M153" s="2"/>
      <c r="N153" s="2"/>
      <c r="O153" s="2"/>
      <c r="P153" s="2"/>
      <c r="Q153" s="2"/>
      <c r="R153" s="2"/>
      <c r="S153" s="2"/>
      <c r="T153" s="2"/>
      <c r="U153" s="2"/>
      <c r="V153" s="2"/>
      <c r="W153" s="2"/>
      <c r="X153" s="2"/>
      <c r="Y153" s="2"/>
      <c r="Z153" s="2"/>
      <c r="AA153" s="2"/>
    </row>
    <row r="154">
      <c r="A154" s="2"/>
      <c r="B154" s="2"/>
      <c r="D154" s="2"/>
      <c r="E154" s="2"/>
      <c r="F154" s="10"/>
      <c r="G154" s="10"/>
      <c r="I154" s="2"/>
      <c r="J154" s="2"/>
      <c r="K154" s="2"/>
      <c r="L154" s="2"/>
      <c r="M154" s="2"/>
      <c r="N154" s="2"/>
      <c r="O154" s="2"/>
      <c r="P154" s="2"/>
      <c r="Q154" s="2"/>
      <c r="R154" s="2"/>
      <c r="S154" s="2"/>
      <c r="T154" s="2"/>
      <c r="U154" s="2"/>
      <c r="V154" s="2"/>
      <c r="W154" s="2"/>
      <c r="X154" s="2"/>
      <c r="Y154" s="2"/>
      <c r="Z154" s="2"/>
      <c r="AA154" s="2"/>
    </row>
    <row r="155">
      <c r="A155" s="2"/>
      <c r="B155" s="2"/>
      <c r="D155" s="2"/>
      <c r="E155" s="2"/>
      <c r="F155" s="10"/>
      <c r="G155" s="10"/>
      <c r="I155" s="2"/>
      <c r="J155" s="2"/>
      <c r="K155" s="2"/>
      <c r="L155" s="2"/>
      <c r="M155" s="2"/>
      <c r="N155" s="2"/>
      <c r="O155" s="2"/>
      <c r="P155" s="2"/>
      <c r="Q155" s="2"/>
      <c r="R155" s="2"/>
      <c r="S155" s="2"/>
      <c r="T155" s="2"/>
      <c r="U155" s="2"/>
      <c r="V155" s="2"/>
      <c r="W155" s="2"/>
      <c r="X155" s="2"/>
      <c r="Y155" s="2"/>
      <c r="Z155" s="2"/>
      <c r="AA155" s="2"/>
    </row>
    <row r="156">
      <c r="A156" s="2"/>
      <c r="B156" s="2"/>
      <c r="D156" s="2"/>
      <c r="E156" s="2"/>
      <c r="F156" s="10"/>
      <c r="G156" s="10"/>
      <c r="I156" s="2"/>
      <c r="J156" s="2"/>
      <c r="K156" s="2"/>
      <c r="L156" s="2"/>
      <c r="M156" s="2"/>
      <c r="N156" s="2"/>
      <c r="O156" s="2"/>
      <c r="P156" s="2"/>
      <c r="Q156" s="2"/>
      <c r="R156" s="2"/>
      <c r="S156" s="2"/>
      <c r="T156" s="2"/>
      <c r="U156" s="2"/>
      <c r="V156" s="2"/>
      <c r="W156" s="2"/>
      <c r="X156" s="2"/>
      <c r="Y156" s="2"/>
      <c r="Z156" s="2"/>
      <c r="AA156" s="2"/>
    </row>
    <row r="157">
      <c r="A157" s="2"/>
      <c r="B157" s="2"/>
      <c r="D157" s="2"/>
      <c r="E157" s="2"/>
      <c r="F157" s="10"/>
      <c r="G157" s="10"/>
      <c r="I157" s="2"/>
      <c r="J157" s="2"/>
      <c r="K157" s="2"/>
      <c r="L157" s="2"/>
      <c r="M157" s="2"/>
      <c r="N157" s="2"/>
      <c r="O157" s="2"/>
      <c r="P157" s="2"/>
      <c r="Q157" s="2"/>
      <c r="R157" s="2"/>
      <c r="S157" s="2"/>
      <c r="T157" s="2"/>
      <c r="U157" s="2"/>
      <c r="V157" s="2"/>
      <c r="W157" s="2"/>
      <c r="X157" s="2"/>
      <c r="Y157" s="2"/>
      <c r="Z157" s="2"/>
      <c r="AA157" s="2"/>
    </row>
    <row r="158">
      <c r="A158" s="2"/>
      <c r="B158" s="2"/>
      <c r="D158" s="2"/>
      <c r="E158" s="2"/>
      <c r="F158" s="10"/>
      <c r="G158" s="10"/>
      <c r="I158" s="2"/>
      <c r="J158" s="2"/>
      <c r="K158" s="2"/>
      <c r="L158" s="2"/>
      <c r="M158" s="2"/>
      <c r="N158" s="2"/>
      <c r="O158" s="2"/>
      <c r="P158" s="2"/>
      <c r="Q158" s="2"/>
      <c r="R158" s="2"/>
      <c r="S158" s="2"/>
      <c r="T158" s="2"/>
      <c r="U158" s="2"/>
      <c r="V158" s="2"/>
      <c r="W158" s="2"/>
      <c r="X158" s="2"/>
      <c r="Y158" s="2"/>
      <c r="Z158" s="2"/>
      <c r="AA158" s="2"/>
    </row>
    <row r="159">
      <c r="A159" s="2"/>
      <c r="B159" s="2"/>
      <c r="D159" s="2"/>
      <c r="E159" s="2"/>
      <c r="F159" s="10"/>
      <c r="G159" s="10"/>
      <c r="I159" s="2"/>
      <c r="J159" s="2"/>
      <c r="K159" s="2"/>
      <c r="L159" s="2"/>
      <c r="M159" s="2"/>
      <c r="N159" s="2"/>
      <c r="O159" s="2"/>
      <c r="P159" s="2"/>
      <c r="Q159" s="2"/>
      <c r="R159" s="2"/>
      <c r="S159" s="2"/>
      <c r="T159" s="2"/>
      <c r="U159" s="2"/>
      <c r="V159" s="2"/>
      <c r="W159" s="2"/>
      <c r="X159" s="2"/>
      <c r="Y159" s="2"/>
      <c r="Z159" s="2"/>
      <c r="AA159" s="2"/>
    </row>
    <row r="160">
      <c r="A160" s="2"/>
      <c r="B160" s="2"/>
      <c r="D160" s="2"/>
      <c r="E160" s="2"/>
      <c r="F160" s="10"/>
      <c r="G160" s="10"/>
      <c r="I160" s="2"/>
      <c r="J160" s="2"/>
      <c r="K160" s="2"/>
      <c r="L160" s="2"/>
      <c r="M160" s="2"/>
      <c r="N160" s="2"/>
      <c r="O160" s="2"/>
      <c r="P160" s="2"/>
      <c r="Q160" s="2"/>
      <c r="R160" s="2"/>
      <c r="S160" s="2"/>
      <c r="T160" s="2"/>
      <c r="U160" s="2"/>
      <c r="V160" s="2"/>
      <c r="W160" s="2"/>
      <c r="X160" s="2"/>
      <c r="Y160" s="2"/>
      <c r="Z160" s="2"/>
      <c r="AA160" s="2"/>
    </row>
    <row r="161">
      <c r="A161" s="2"/>
      <c r="B161" s="2"/>
      <c r="D161" s="2"/>
      <c r="E161" s="2"/>
      <c r="F161" s="10"/>
      <c r="G161" s="10"/>
      <c r="I161" s="2"/>
      <c r="J161" s="2"/>
      <c r="K161" s="2"/>
      <c r="L161" s="2"/>
      <c r="M161" s="2"/>
      <c r="N161" s="2"/>
      <c r="O161" s="2"/>
      <c r="P161" s="2"/>
      <c r="Q161" s="2"/>
      <c r="R161" s="2"/>
      <c r="S161" s="2"/>
      <c r="T161" s="2"/>
      <c r="U161" s="2"/>
      <c r="V161" s="2"/>
      <c r="W161" s="2"/>
      <c r="X161" s="2"/>
      <c r="Y161" s="2"/>
      <c r="Z161" s="2"/>
      <c r="AA161" s="2"/>
    </row>
    <row r="162">
      <c r="A162" s="2"/>
      <c r="B162" s="2"/>
      <c r="D162" s="2"/>
      <c r="E162" s="2"/>
      <c r="F162" s="10"/>
      <c r="G162" s="10"/>
      <c r="I162" s="2"/>
      <c r="J162" s="2"/>
      <c r="K162" s="2"/>
      <c r="L162" s="2"/>
      <c r="M162" s="2"/>
      <c r="N162" s="2"/>
      <c r="O162" s="2"/>
      <c r="P162" s="2"/>
      <c r="Q162" s="2"/>
      <c r="R162" s="2"/>
      <c r="S162" s="2"/>
      <c r="T162" s="2"/>
      <c r="U162" s="2"/>
      <c r="V162" s="2"/>
      <c r="W162" s="2"/>
      <c r="X162" s="2"/>
      <c r="Y162" s="2"/>
      <c r="Z162" s="2"/>
      <c r="AA162" s="2"/>
    </row>
    <row r="163">
      <c r="A163" s="2"/>
      <c r="B163" s="2"/>
      <c r="D163" s="2"/>
      <c r="E163" s="2"/>
      <c r="F163" s="10"/>
      <c r="G163" s="10"/>
      <c r="I163" s="2"/>
      <c r="J163" s="2"/>
      <c r="K163" s="2"/>
      <c r="L163" s="2"/>
      <c r="M163" s="2"/>
      <c r="N163" s="2"/>
      <c r="O163" s="2"/>
      <c r="P163" s="2"/>
      <c r="Q163" s="2"/>
      <c r="R163" s="2"/>
      <c r="S163" s="2"/>
      <c r="T163" s="2"/>
      <c r="U163" s="2"/>
      <c r="V163" s="2"/>
      <c r="W163" s="2"/>
      <c r="X163" s="2"/>
      <c r="Y163" s="2"/>
      <c r="Z163" s="2"/>
      <c r="AA163" s="2"/>
    </row>
    <row r="164">
      <c r="A164" s="2"/>
      <c r="B164" s="2"/>
      <c r="D164" s="2"/>
      <c r="E164" s="2"/>
      <c r="F164" s="10"/>
      <c r="G164" s="10"/>
      <c r="I164" s="2"/>
      <c r="J164" s="2"/>
      <c r="K164" s="2"/>
      <c r="L164" s="2"/>
      <c r="M164" s="2"/>
      <c r="N164" s="2"/>
      <c r="O164" s="2"/>
      <c r="P164" s="2"/>
      <c r="Q164" s="2"/>
      <c r="R164" s="2"/>
      <c r="S164" s="2"/>
      <c r="T164" s="2"/>
      <c r="U164" s="2"/>
      <c r="V164" s="2"/>
      <c r="W164" s="2"/>
      <c r="X164" s="2"/>
      <c r="Y164" s="2"/>
      <c r="Z164" s="2"/>
      <c r="AA164" s="2"/>
    </row>
    <row r="165">
      <c r="A165" s="2"/>
      <c r="B165" s="2"/>
      <c r="D165" s="2"/>
      <c r="E165" s="2"/>
      <c r="F165" s="10"/>
      <c r="G165" s="10"/>
      <c r="I165" s="2"/>
      <c r="J165" s="2"/>
      <c r="K165" s="2"/>
      <c r="L165" s="2"/>
      <c r="M165" s="2"/>
      <c r="N165" s="2"/>
      <c r="O165" s="2"/>
      <c r="P165" s="2"/>
      <c r="Q165" s="2"/>
      <c r="R165" s="2"/>
      <c r="S165" s="2"/>
      <c r="T165" s="2"/>
      <c r="U165" s="2"/>
      <c r="V165" s="2"/>
      <c r="W165" s="2"/>
      <c r="X165" s="2"/>
      <c r="Y165" s="2"/>
      <c r="Z165" s="2"/>
      <c r="AA165" s="2"/>
    </row>
    <row r="166">
      <c r="A166" s="2"/>
      <c r="B166" s="2"/>
      <c r="D166" s="2"/>
      <c r="E166" s="2"/>
      <c r="F166" s="10"/>
      <c r="G166" s="10"/>
      <c r="I166" s="2"/>
      <c r="J166" s="2"/>
      <c r="K166" s="2"/>
      <c r="L166" s="2"/>
      <c r="M166" s="2"/>
      <c r="N166" s="2"/>
      <c r="O166" s="2"/>
      <c r="P166" s="2"/>
      <c r="Q166" s="2"/>
      <c r="R166" s="2"/>
      <c r="S166" s="2"/>
      <c r="T166" s="2"/>
      <c r="U166" s="2"/>
      <c r="V166" s="2"/>
      <c r="W166" s="2"/>
      <c r="X166" s="2"/>
      <c r="Y166" s="2"/>
      <c r="Z166" s="2"/>
      <c r="AA166" s="2"/>
    </row>
    <row r="167">
      <c r="A167" s="2"/>
      <c r="B167" s="2"/>
      <c r="D167" s="2"/>
      <c r="E167" s="2"/>
      <c r="F167" s="10"/>
      <c r="G167" s="10"/>
      <c r="I167" s="2"/>
      <c r="J167" s="2"/>
      <c r="K167" s="2"/>
      <c r="L167" s="2"/>
      <c r="M167" s="2"/>
      <c r="N167" s="2"/>
      <c r="O167" s="2"/>
      <c r="P167" s="2"/>
      <c r="Q167" s="2"/>
      <c r="R167" s="2"/>
      <c r="S167" s="2"/>
      <c r="T167" s="2"/>
      <c r="U167" s="2"/>
      <c r="V167" s="2"/>
      <c r="W167" s="2"/>
      <c r="X167" s="2"/>
      <c r="Y167" s="2"/>
      <c r="Z167" s="2"/>
      <c r="AA167" s="2"/>
    </row>
    <row r="168">
      <c r="A168" s="2"/>
      <c r="B168" s="2"/>
      <c r="D168" s="2"/>
      <c r="E168" s="2"/>
      <c r="F168" s="10"/>
      <c r="G168" s="10"/>
      <c r="I168" s="2"/>
      <c r="J168" s="2"/>
      <c r="K168" s="2"/>
      <c r="L168" s="2"/>
      <c r="M168" s="2"/>
      <c r="N168" s="2"/>
      <c r="O168" s="2"/>
      <c r="P168" s="2"/>
      <c r="Q168" s="2"/>
      <c r="R168" s="2"/>
      <c r="S168" s="2"/>
      <c r="T168" s="2"/>
      <c r="U168" s="2"/>
      <c r="V168" s="2"/>
      <c r="W168" s="2"/>
      <c r="X168" s="2"/>
      <c r="Y168" s="2"/>
      <c r="Z168" s="2"/>
      <c r="AA168" s="2"/>
    </row>
    <row r="169">
      <c r="A169" s="2"/>
      <c r="B169" s="2"/>
      <c r="D169" s="2"/>
      <c r="E169" s="2"/>
      <c r="F169" s="10"/>
      <c r="G169" s="10"/>
      <c r="I169" s="2"/>
      <c r="J169" s="2"/>
      <c r="K169" s="2"/>
      <c r="L169" s="2"/>
      <c r="M169" s="2"/>
      <c r="N169" s="2"/>
      <c r="O169" s="2"/>
      <c r="P169" s="2"/>
      <c r="Q169" s="2"/>
      <c r="R169" s="2"/>
      <c r="S169" s="2"/>
      <c r="T169" s="2"/>
      <c r="U169" s="2"/>
      <c r="V169" s="2"/>
      <c r="W169" s="2"/>
      <c r="X169" s="2"/>
      <c r="Y169" s="2"/>
      <c r="Z169" s="2"/>
      <c r="AA169" s="2"/>
    </row>
    <row r="170">
      <c r="A170" s="2"/>
      <c r="B170" s="2"/>
      <c r="D170" s="2"/>
      <c r="E170" s="2"/>
      <c r="F170" s="10"/>
      <c r="G170" s="10"/>
      <c r="I170" s="2"/>
      <c r="J170" s="2"/>
      <c r="K170" s="2"/>
      <c r="L170" s="2"/>
      <c r="M170" s="2"/>
      <c r="N170" s="2"/>
      <c r="O170" s="2"/>
      <c r="P170" s="2"/>
      <c r="Q170" s="2"/>
      <c r="R170" s="2"/>
      <c r="S170" s="2"/>
      <c r="T170" s="2"/>
      <c r="U170" s="2"/>
      <c r="V170" s="2"/>
      <c r="W170" s="2"/>
      <c r="X170" s="2"/>
      <c r="Y170" s="2"/>
      <c r="Z170" s="2"/>
      <c r="AA170" s="2"/>
    </row>
    <row r="171">
      <c r="A171" s="2"/>
      <c r="B171" s="2"/>
      <c r="D171" s="2"/>
      <c r="E171" s="2"/>
      <c r="F171" s="10"/>
      <c r="G171" s="10"/>
      <c r="I171" s="2"/>
      <c r="J171" s="2"/>
      <c r="K171" s="2"/>
      <c r="L171" s="2"/>
      <c r="M171" s="2"/>
      <c r="N171" s="2"/>
      <c r="O171" s="2"/>
      <c r="P171" s="2"/>
      <c r="Q171" s="2"/>
      <c r="R171" s="2"/>
      <c r="S171" s="2"/>
      <c r="T171" s="2"/>
      <c r="U171" s="2"/>
      <c r="V171" s="2"/>
      <c r="W171" s="2"/>
      <c r="X171" s="2"/>
      <c r="Y171" s="2"/>
      <c r="Z171" s="2"/>
      <c r="AA171" s="2"/>
    </row>
    <row r="172">
      <c r="A172" s="2"/>
      <c r="B172" s="2"/>
      <c r="D172" s="2"/>
      <c r="E172" s="2"/>
      <c r="F172" s="10"/>
      <c r="G172" s="10"/>
      <c r="I172" s="2"/>
      <c r="J172" s="2"/>
      <c r="K172" s="2"/>
      <c r="L172" s="2"/>
      <c r="M172" s="2"/>
      <c r="N172" s="2"/>
      <c r="O172" s="2"/>
      <c r="P172" s="2"/>
      <c r="Q172" s="2"/>
      <c r="R172" s="2"/>
      <c r="S172" s="2"/>
      <c r="T172" s="2"/>
      <c r="U172" s="2"/>
      <c r="V172" s="2"/>
      <c r="W172" s="2"/>
      <c r="X172" s="2"/>
      <c r="Y172" s="2"/>
      <c r="Z172" s="2"/>
      <c r="AA172" s="2"/>
    </row>
    <row r="173">
      <c r="A173" s="2"/>
      <c r="B173" s="2"/>
      <c r="D173" s="2"/>
      <c r="E173" s="2"/>
      <c r="F173" s="10"/>
      <c r="G173" s="10"/>
      <c r="I173" s="2"/>
      <c r="J173" s="2"/>
      <c r="K173" s="2"/>
      <c r="L173" s="2"/>
      <c r="M173" s="2"/>
      <c r="N173" s="2"/>
      <c r="O173" s="2"/>
      <c r="P173" s="2"/>
      <c r="Q173" s="2"/>
      <c r="R173" s="2"/>
      <c r="S173" s="2"/>
      <c r="T173" s="2"/>
      <c r="U173" s="2"/>
      <c r="V173" s="2"/>
      <c r="W173" s="2"/>
      <c r="X173" s="2"/>
      <c r="Y173" s="2"/>
      <c r="Z173" s="2"/>
      <c r="AA173" s="2"/>
    </row>
    <row r="174">
      <c r="A174" s="2"/>
      <c r="B174" s="2"/>
      <c r="D174" s="2"/>
      <c r="E174" s="2"/>
      <c r="F174" s="10"/>
      <c r="G174" s="10"/>
      <c r="I174" s="2"/>
      <c r="J174" s="2"/>
      <c r="K174" s="2"/>
      <c r="L174" s="2"/>
      <c r="M174" s="2"/>
      <c r="N174" s="2"/>
      <c r="O174" s="2"/>
      <c r="P174" s="2"/>
      <c r="Q174" s="2"/>
      <c r="R174" s="2"/>
      <c r="S174" s="2"/>
      <c r="T174" s="2"/>
      <c r="U174" s="2"/>
      <c r="V174" s="2"/>
      <c r="W174" s="2"/>
      <c r="X174" s="2"/>
      <c r="Y174" s="2"/>
      <c r="Z174" s="2"/>
      <c r="AA174" s="2"/>
    </row>
    <row r="175">
      <c r="A175" s="2"/>
      <c r="B175" s="2"/>
      <c r="D175" s="2"/>
      <c r="E175" s="2"/>
      <c r="F175" s="10"/>
      <c r="G175" s="10"/>
      <c r="I175" s="2"/>
      <c r="J175" s="2"/>
      <c r="K175" s="2"/>
      <c r="L175" s="2"/>
      <c r="M175" s="2"/>
      <c r="N175" s="2"/>
      <c r="O175" s="2"/>
      <c r="P175" s="2"/>
      <c r="Q175" s="2"/>
      <c r="R175" s="2"/>
      <c r="S175" s="2"/>
      <c r="T175" s="2"/>
      <c r="U175" s="2"/>
      <c r="V175" s="2"/>
      <c r="W175" s="2"/>
      <c r="X175" s="2"/>
      <c r="Y175" s="2"/>
      <c r="Z175" s="2"/>
      <c r="AA175" s="2"/>
    </row>
    <row r="176">
      <c r="A176" s="2"/>
      <c r="B176" s="2"/>
      <c r="D176" s="2"/>
      <c r="E176" s="2"/>
      <c r="F176" s="10"/>
      <c r="G176" s="10"/>
      <c r="I176" s="2"/>
      <c r="J176" s="2"/>
      <c r="K176" s="2"/>
      <c r="L176" s="2"/>
      <c r="M176" s="2"/>
      <c r="N176" s="2"/>
      <c r="O176" s="2"/>
      <c r="P176" s="2"/>
      <c r="Q176" s="2"/>
      <c r="R176" s="2"/>
      <c r="S176" s="2"/>
      <c r="T176" s="2"/>
      <c r="U176" s="2"/>
      <c r="V176" s="2"/>
      <c r="W176" s="2"/>
      <c r="X176" s="2"/>
      <c r="Y176" s="2"/>
      <c r="Z176" s="2"/>
      <c r="AA176" s="2"/>
    </row>
    <row r="177">
      <c r="A177" s="2"/>
      <c r="B177" s="2"/>
      <c r="D177" s="2"/>
      <c r="E177" s="2"/>
      <c r="F177" s="10"/>
      <c r="G177" s="10"/>
      <c r="I177" s="2"/>
      <c r="J177" s="2"/>
      <c r="K177" s="2"/>
      <c r="L177" s="2"/>
      <c r="M177" s="2"/>
      <c r="N177" s="2"/>
      <c r="O177" s="2"/>
      <c r="P177" s="2"/>
      <c r="Q177" s="2"/>
      <c r="R177" s="2"/>
      <c r="S177" s="2"/>
      <c r="T177" s="2"/>
      <c r="U177" s="2"/>
      <c r="V177" s="2"/>
      <c r="W177" s="2"/>
      <c r="X177" s="2"/>
      <c r="Y177" s="2"/>
      <c r="Z177" s="2"/>
      <c r="AA177" s="2"/>
    </row>
    <row r="178">
      <c r="A178" s="2"/>
      <c r="B178" s="2"/>
      <c r="D178" s="2"/>
      <c r="E178" s="2"/>
      <c r="F178" s="10"/>
      <c r="G178" s="10"/>
      <c r="I178" s="2"/>
      <c r="J178" s="2"/>
      <c r="K178" s="2"/>
      <c r="L178" s="2"/>
      <c r="M178" s="2"/>
      <c r="N178" s="2"/>
      <c r="O178" s="2"/>
      <c r="P178" s="2"/>
      <c r="Q178" s="2"/>
      <c r="R178" s="2"/>
      <c r="S178" s="2"/>
      <c r="T178" s="2"/>
      <c r="U178" s="2"/>
      <c r="V178" s="2"/>
      <c r="W178" s="2"/>
      <c r="X178" s="2"/>
      <c r="Y178" s="2"/>
      <c r="Z178" s="2"/>
      <c r="AA178" s="2"/>
    </row>
    <row r="179">
      <c r="A179" s="2"/>
      <c r="B179" s="2"/>
      <c r="D179" s="2"/>
      <c r="E179" s="2"/>
      <c r="F179" s="10"/>
      <c r="G179" s="10"/>
      <c r="I179" s="2"/>
      <c r="J179" s="2"/>
      <c r="K179" s="2"/>
      <c r="L179" s="2"/>
      <c r="M179" s="2"/>
      <c r="N179" s="2"/>
      <c r="O179" s="2"/>
      <c r="P179" s="2"/>
      <c r="Q179" s="2"/>
      <c r="R179" s="2"/>
      <c r="S179" s="2"/>
      <c r="T179" s="2"/>
      <c r="U179" s="2"/>
      <c r="V179" s="2"/>
      <c r="W179" s="2"/>
      <c r="X179" s="2"/>
      <c r="Y179" s="2"/>
      <c r="Z179" s="2"/>
      <c r="AA179" s="2"/>
    </row>
    <row r="180">
      <c r="A180" s="2"/>
      <c r="B180" s="2"/>
      <c r="D180" s="2"/>
      <c r="E180" s="2"/>
      <c r="F180" s="10"/>
      <c r="G180" s="10"/>
      <c r="I180" s="2"/>
      <c r="J180" s="2"/>
      <c r="K180" s="2"/>
      <c r="L180" s="2"/>
      <c r="M180" s="2"/>
      <c r="N180" s="2"/>
      <c r="O180" s="2"/>
      <c r="P180" s="2"/>
      <c r="Q180" s="2"/>
      <c r="R180" s="2"/>
      <c r="S180" s="2"/>
      <c r="T180" s="2"/>
      <c r="U180" s="2"/>
      <c r="V180" s="2"/>
      <c r="W180" s="2"/>
      <c r="X180" s="2"/>
      <c r="Y180" s="2"/>
      <c r="Z180" s="2"/>
      <c r="AA180" s="2"/>
    </row>
    <row r="181">
      <c r="A181" s="2"/>
      <c r="B181" s="2"/>
      <c r="D181" s="2"/>
      <c r="E181" s="2"/>
      <c r="F181" s="10"/>
      <c r="G181" s="10"/>
      <c r="I181" s="2"/>
      <c r="J181" s="2"/>
      <c r="K181" s="2"/>
      <c r="L181" s="2"/>
      <c r="M181" s="2"/>
      <c r="N181" s="2"/>
      <c r="O181" s="2"/>
      <c r="P181" s="2"/>
      <c r="Q181" s="2"/>
      <c r="R181" s="2"/>
      <c r="S181" s="2"/>
      <c r="T181" s="2"/>
      <c r="U181" s="2"/>
      <c r="V181" s="2"/>
      <c r="W181" s="2"/>
      <c r="X181" s="2"/>
      <c r="Y181" s="2"/>
      <c r="Z181" s="2"/>
      <c r="AA181" s="2"/>
    </row>
    <row r="182">
      <c r="A182" s="2"/>
      <c r="B182" s="2"/>
      <c r="D182" s="2"/>
      <c r="E182" s="2"/>
      <c r="F182" s="10"/>
      <c r="G182" s="10"/>
      <c r="I182" s="2"/>
      <c r="J182" s="2"/>
      <c r="K182" s="2"/>
      <c r="L182" s="2"/>
      <c r="M182" s="2"/>
      <c r="N182" s="2"/>
      <c r="O182" s="2"/>
      <c r="P182" s="2"/>
      <c r="Q182" s="2"/>
      <c r="R182" s="2"/>
      <c r="S182" s="2"/>
      <c r="T182" s="2"/>
      <c r="U182" s="2"/>
      <c r="V182" s="2"/>
      <c r="W182" s="2"/>
      <c r="X182" s="2"/>
      <c r="Y182" s="2"/>
      <c r="Z182" s="2"/>
      <c r="AA182" s="2"/>
    </row>
    <row r="183">
      <c r="A183" s="2"/>
      <c r="B183" s="2"/>
      <c r="D183" s="2"/>
      <c r="E183" s="2"/>
      <c r="F183" s="10"/>
      <c r="G183" s="10"/>
      <c r="I183" s="2"/>
      <c r="J183" s="2"/>
      <c r="K183" s="2"/>
      <c r="L183" s="2"/>
      <c r="M183" s="2"/>
      <c r="N183" s="2"/>
      <c r="O183" s="2"/>
      <c r="P183" s="2"/>
      <c r="Q183" s="2"/>
      <c r="R183" s="2"/>
      <c r="S183" s="2"/>
      <c r="T183" s="2"/>
      <c r="U183" s="2"/>
      <c r="V183" s="2"/>
      <c r="W183" s="2"/>
      <c r="X183" s="2"/>
      <c r="Y183" s="2"/>
      <c r="Z183" s="2"/>
      <c r="AA183" s="2"/>
    </row>
    <row r="184">
      <c r="A184" s="2"/>
      <c r="B184" s="2"/>
      <c r="D184" s="2"/>
      <c r="E184" s="2"/>
      <c r="F184" s="10"/>
      <c r="G184" s="10"/>
      <c r="I184" s="2"/>
      <c r="J184" s="2"/>
      <c r="K184" s="2"/>
      <c r="L184" s="2"/>
      <c r="M184" s="2"/>
      <c r="N184" s="2"/>
      <c r="O184" s="2"/>
      <c r="P184" s="2"/>
      <c r="Q184" s="2"/>
      <c r="R184" s="2"/>
      <c r="S184" s="2"/>
      <c r="T184" s="2"/>
      <c r="U184" s="2"/>
      <c r="V184" s="2"/>
      <c r="W184" s="2"/>
      <c r="X184" s="2"/>
      <c r="Y184" s="2"/>
      <c r="Z184" s="2"/>
      <c r="AA184" s="2"/>
    </row>
    <row r="185">
      <c r="A185" s="2"/>
      <c r="B185" s="2"/>
      <c r="D185" s="2"/>
      <c r="E185" s="2"/>
      <c r="F185" s="10"/>
      <c r="G185" s="10"/>
      <c r="I185" s="2"/>
      <c r="J185" s="2"/>
      <c r="K185" s="2"/>
      <c r="L185" s="2"/>
      <c r="M185" s="2"/>
      <c r="N185" s="2"/>
      <c r="O185" s="2"/>
      <c r="P185" s="2"/>
      <c r="Q185" s="2"/>
      <c r="R185" s="2"/>
      <c r="S185" s="2"/>
      <c r="T185" s="2"/>
      <c r="U185" s="2"/>
      <c r="V185" s="2"/>
      <c r="W185" s="2"/>
      <c r="X185" s="2"/>
      <c r="Y185" s="2"/>
      <c r="Z185" s="2"/>
      <c r="AA185" s="2"/>
    </row>
    <row r="186">
      <c r="A186" s="2"/>
      <c r="B186" s="2"/>
      <c r="D186" s="2"/>
      <c r="E186" s="2"/>
      <c r="F186" s="10"/>
      <c r="G186" s="10"/>
      <c r="I186" s="2"/>
      <c r="J186" s="2"/>
      <c r="K186" s="2"/>
      <c r="L186" s="2"/>
      <c r="M186" s="2"/>
      <c r="N186" s="2"/>
      <c r="O186" s="2"/>
      <c r="P186" s="2"/>
      <c r="Q186" s="2"/>
      <c r="R186" s="2"/>
      <c r="S186" s="2"/>
      <c r="T186" s="2"/>
      <c r="U186" s="2"/>
      <c r="V186" s="2"/>
      <c r="W186" s="2"/>
      <c r="X186" s="2"/>
      <c r="Y186" s="2"/>
      <c r="Z186" s="2"/>
      <c r="AA186" s="2"/>
    </row>
    <row r="187">
      <c r="A187" s="2"/>
      <c r="B187" s="2"/>
      <c r="D187" s="2"/>
      <c r="E187" s="2"/>
      <c r="F187" s="10"/>
      <c r="G187" s="10"/>
      <c r="I187" s="2"/>
      <c r="J187" s="2"/>
      <c r="K187" s="2"/>
      <c r="L187" s="2"/>
      <c r="M187" s="2"/>
      <c r="N187" s="2"/>
      <c r="O187" s="2"/>
      <c r="P187" s="2"/>
      <c r="Q187" s="2"/>
      <c r="R187" s="2"/>
      <c r="S187" s="2"/>
      <c r="T187" s="2"/>
      <c r="U187" s="2"/>
      <c r="V187" s="2"/>
      <c r="W187" s="2"/>
      <c r="X187" s="2"/>
      <c r="Y187" s="2"/>
      <c r="Z187" s="2"/>
      <c r="AA187" s="2"/>
    </row>
    <row r="188">
      <c r="A188" s="2"/>
      <c r="B188" s="2"/>
      <c r="D188" s="2"/>
      <c r="E188" s="2"/>
      <c r="F188" s="10"/>
      <c r="G188" s="10"/>
      <c r="I188" s="2"/>
      <c r="J188" s="2"/>
      <c r="K188" s="2"/>
      <c r="L188" s="2"/>
      <c r="M188" s="2"/>
      <c r="N188" s="2"/>
      <c r="O188" s="2"/>
      <c r="P188" s="2"/>
      <c r="Q188" s="2"/>
      <c r="R188" s="2"/>
      <c r="S188" s="2"/>
      <c r="T188" s="2"/>
      <c r="U188" s="2"/>
      <c r="V188" s="2"/>
      <c r="W188" s="2"/>
      <c r="X188" s="2"/>
      <c r="Y188" s="2"/>
      <c r="Z188" s="2"/>
      <c r="AA188" s="2"/>
    </row>
    <row r="189">
      <c r="A189" s="2"/>
      <c r="B189" s="2"/>
      <c r="D189" s="2"/>
      <c r="E189" s="2"/>
      <c r="F189" s="10"/>
      <c r="G189" s="10"/>
      <c r="I189" s="2"/>
      <c r="J189" s="2"/>
      <c r="K189" s="2"/>
      <c r="L189" s="2"/>
      <c r="M189" s="2"/>
      <c r="N189" s="2"/>
      <c r="O189" s="2"/>
      <c r="P189" s="2"/>
      <c r="Q189" s="2"/>
      <c r="R189" s="2"/>
      <c r="S189" s="2"/>
      <c r="T189" s="2"/>
      <c r="U189" s="2"/>
      <c r="V189" s="2"/>
      <c r="W189" s="2"/>
      <c r="X189" s="2"/>
      <c r="Y189" s="2"/>
      <c r="Z189" s="2"/>
      <c r="AA189" s="2"/>
    </row>
    <row r="190">
      <c r="A190" s="2"/>
      <c r="B190" s="2"/>
      <c r="D190" s="2"/>
      <c r="E190" s="2"/>
      <c r="F190" s="10"/>
      <c r="G190" s="10"/>
      <c r="I190" s="2"/>
      <c r="J190" s="2"/>
      <c r="K190" s="2"/>
      <c r="L190" s="2"/>
      <c r="M190" s="2"/>
      <c r="N190" s="2"/>
      <c r="O190" s="2"/>
      <c r="P190" s="2"/>
      <c r="Q190" s="2"/>
      <c r="R190" s="2"/>
      <c r="S190" s="2"/>
      <c r="T190" s="2"/>
      <c r="U190" s="2"/>
      <c r="V190" s="2"/>
      <c r="W190" s="2"/>
      <c r="X190" s="2"/>
      <c r="Y190" s="2"/>
      <c r="Z190" s="2"/>
      <c r="AA190" s="2"/>
    </row>
    <row r="191">
      <c r="A191" s="2"/>
      <c r="B191" s="2"/>
      <c r="D191" s="2"/>
      <c r="E191" s="2"/>
      <c r="F191" s="10"/>
      <c r="G191" s="10"/>
      <c r="I191" s="2"/>
      <c r="J191" s="2"/>
      <c r="K191" s="2"/>
      <c r="L191" s="2"/>
      <c r="M191" s="2"/>
      <c r="N191" s="2"/>
      <c r="O191" s="2"/>
      <c r="P191" s="2"/>
      <c r="Q191" s="2"/>
      <c r="R191" s="2"/>
      <c r="S191" s="2"/>
      <c r="T191" s="2"/>
      <c r="U191" s="2"/>
      <c r="V191" s="2"/>
      <c r="W191" s="2"/>
      <c r="X191" s="2"/>
      <c r="Y191" s="2"/>
      <c r="Z191" s="2"/>
      <c r="AA191" s="2"/>
    </row>
    <row r="192">
      <c r="A192" s="2"/>
      <c r="B192" s="2"/>
      <c r="D192" s="2"/>
      <c r="E192" s="2"/>
      <c r="F192" s="10"/>
      <c r="G192" s="10"/>
      <c r="I192" s="2"/>
      <c r="J192" s="2"/>
      <c r="K192" s="2"/>
      <c r="L192" s="2"/>
      <c r="M192" s="2"/>
      <c r="N192" s="2"/>
      <c r="O192" s="2"/>
      <c r="P192" s="2"/>
      <c r="Q192" s="2"/>
      <c r="R192" s="2"/>
      <c r="S192" s="2"/>
      <c r="T192" s="2"/>
      <c r="U192" s="2"/>
      <c r="V192" s="2"/>
      <c r="W192" s="2"/>
      <c r="X192" s="2"/>
      <c r="Y192" s="2"/>
      <c r="Z192" s="2"/>
      <c r="AA192" s="2"/>
    </row>
    <row r="193">
      <c r="A193" s="2"/>
      <c r="B193" s="2"/>
      <c r="D193" s="2"/>
      <c r="E193" s="2"/>
      <c r="F193" s="10"/>
      <c r="G193" s="10"/>
      <c r="I193" s="2"/>
      <c r="J193" s="2"/>
      <c r="K193" s="2"/>
      <c r="L193" s="2"/>
      <c r="M193" s="2"/>
      <c r="N193" s="2"/>
      <c r="O193" s="2"/>
      <c r="P193" s="2"/>
      <c r="Q193" s="2"/>
      <c r="R193" s="2"/>
      <c r="S193" s="2"/>
      <c r="T193" s="2"/>
      <c r="U193" s="2"/>
      <c r="V193" s="2"/>
      <c r="W193" s="2"/>
      <c r="X193" s="2"/>
      <c r="Y193" s="2"/>
      <c r="Z193" s="2"/>
      <c r="AA193" s="2"/>
    </row>
    <row r="194">
      <c r="A194" s="2"/>
      <c r="B194" s="2"/>
      <c r="D194" s="2"/>
      <c r="E194" s="2"/>
      <c r="F194" s="10"/>
      <c r="G194" s="10"/>
      <c r="I194" s="2"/>
      <c r="J194" s="2"/>
      <c r="K194" s="2"/>
      <c r="L194" s="2"/>
      <c r="M194" s="2"/>
      <c r="N194" s="2"/>
      <c r="O194" s="2"/>
      <c r="P194" s="2"/>
      <c r="Q194" s="2"/>
      <c r="R194" s="2"/>
      <c r="S194" s="2"/>
      <c r="T194" s="2"/>
      <c r="U194" s="2"/>
      <c r="V194" s="2"/>
      <c r="W194" s="2"/>
      <c r="X194" s="2"/>
      <c r="Y194" s="2"/>
      <c r="Z194" s="2"/>
      <c r="AA194" s="2"/>
    </row>
    <row r="195">
      <c r="A195" s="2"/>
      <c r="B195" s="2"/>
      <c r="D195" s="2"/>
      <c r="E195" s="2"/>
      <c r="F195" s="10"/>
      <c r="G195" s="10"/>
      <c r="I195" s="2"/>
      <c r="J195" s="2"/>
      <c r="K195" s="2"/>
      <c r="L195" s="2"/>
      <c r="M195" s="2"/>
      <c r="N195" s="2"/>
      <c r="O195" s="2"/>
      <c r="P195" s="2"/>
      <c r="Q195" s="2"/>
      <c r="R195" s="2"/>
      <c r="S195" s="2"/>
      <c r="T195" s="2"/>
      <c r="U195" s="2"/>
      <c r="V195" s="2"/>
      <c r="W195" s="2"/>
      <c r="X195" s="2"/>
      <c r="Y195" s="2"/>
      <c r="Z195" s="2"/>
      <c r="AA195" s="2"/>
    </row>
    <row r="196">
      <c r="A196" s="2"/>
      <c r="B196" s="2"/>
      <c r="D196" s="2"/>
      <c r="E196" s="2"/>
      <c r="F196" s="10"/>
      <c r="G196" s="10"/>
      <c r="I196" s="2"/>
      <c r="J196" s="2"/>
      <c r="K196" s="2"/>
      <c r="L196" s="2"/>
      <c r="M196" s="2"/>
      <c r="N196" s="2"/>
      <c r="O196" s="2"/>
      <c r="P196" s="2"/>
      <c r="Q196" s="2"/>
      <c r="R196" s="2"/>
      <c r="S196" s="2"/>
      <c r="T196" s="2"/>
      <c r="U196" s="2"/>
      <c r="V196" s="2"/>
      <c r="W196" s="2"/>
      <c r="X196" s="2"/>
      <c r="Y196" s="2"/>
      <c r="Z196" s="2"/>
      <c r="AA196" s="2"/>
    </row>
    <row r="197">
      <c r="A197" s="2"/>
      <c r="B197" s="2"/>
      <c r="D197" s="2"/>
      <c r="E197" s="2"/>
      <c r="F197" s="10"/>
      <c r="G197" s="10"/>
      <c r="I197" s="2"/>
      <c r="J197" s="2"/>
      <c r="K197" s="2"/>
      <c r="L197" s="2"/>
      <c r="M197" s="2"/>
      <c r="N197" s="2"/>
      <c r="O197" s="2"/>
      <c r="P197" s="2"/>
      <c r="Q197" s="2"/>
      <c r="R197" s="2"/>
      <c r="S197" s="2"/>
      <c r="T197" s="2"/>
      <c r="U197" s="2"/>
      <c r="V197" s="2"/>
      <c r="W197" s="2"/>
      <c r="X197" s="2"/>
      <c r="Y197" s="2"/>
      <c r="Z197" s="2"/>
      <c r="AA197" s="2"/>
    </row>
    <row r="198">
      <c r="A198" s="2"/>
      <c r="B198" s="2"/>
      <c r="D198" s="2"/>
      <c r="E198" s="2"/>
      <c r="F198" s="10"/>
      <c r="G198" s="10"/>
      <c r="I198" s="2"/>
      <c r="J198" s="2"/>
      <c r="K198" s="2"/>
      <c r="L198" s="2"/>
      <c r="M198" s="2"/>
      <c r="N198" s="2"/>
      <c r="O198" s="2"/>
      <c r="P198" s="2"/>
      <c r="Q198" s="2"/>
      <c r="R198" s="2"/>
      <c r="S198" s="2"/>
      <c r="T198" s="2"/>
      <c r="U198" s="2"/>
      <c r="V198" s="2"/>
      <c r="W198" s="2"/>
      <c r="X198" s="2"/>
      <c r="Y198" s="2"/>
      <c r="Z198" s="2"/>
      <c r="AA198" s="2"/>
    </row>
    <row r="199">
      <c r="A199" s="2"/>
      <c r="B199" s="2"/>
      <c r="D199" s="2"/>
      <c r="E199" s="2"/>
      <c r="F199" s="10"/>
      <c r="G199" s="10"/>
      <c r="I199" s="2"/>
      <c r="J199" s="2"/>
      <c r="K199" s="2"/>
      <c r="L199" s="2"/>
      <c r="M199" s="2"/>
      <c r="N199" s="2"/>
      <c r="O199" s="2"/>
      <c r="P199" s="2"/>
      <c r="Q199" s="2"/>
      <c r="R199" s="2"/>
      <c r="S199" s="2"/>
      <c r="T199" s="2"/>
      <c r="U199" s="2"/>
      <c r="V199" s="2"/>
      <c r="W199" s="2"/>
      <c r="X199" s="2"/>
      <c r="Y199" s="2"/>
      <c r="Z199" s="2"/>
      <c r="AA199" s="2"/>
    </row>
    <row r="200">
      <c r="A200" s="2"/>
      <c r="B200" s="2"/>
      <c r="D200" s="2"/>
      <c r="E200" s="2"/>
      <c r="F200" s="10"/>
      <c r="G200" s="10"/>
      <c r="I200" s="2"/>
      <c r="J200" s="2"/>
      <c r="K200" s="2"/>
      <c r="L200" s="2"/>
      <c r="M200" s="2"/>
      <c r="N200" s="2"/>
      <c r="O200" s="2"/>
      <c r="P200" s="2"/>
      <c r="Q200" s="2"/>
      <c r="R200" s="2"/>
      <c r="S200" s="2"/>
      <c r="T200" s="2"/>
      <c r="U200" s="2"/>
      <c r="V200" s="2"/>
      <c r="W200" s="2"/>
      <c r="X200" s="2"/>
      <c r="Y200" s="2"/>
      <c r="Z200" s="2"/>
      <c r="AA200" s="2"/>
    </row>
    <row r="201">
      <c r="A201" s="2"/>
      <c r="B201" s="2"/>
      <c r="D201" s="2"/>
      <c r="E201" s="2"/>
      <c r="F201" s="10"/>
      <c r="G201" s="10"/>
      <c r="I201" s="2"/>
      <c r="J201" s="2"/>
      <c r="K201" s="2"/>
      <c r="L201" s="2"/>
      <c r="M201" s="2"/>
      <c r="N201" s="2"/>
      <c r="O201" s="2"/>
      <c r="P201" s="2"/>
      <c r="Q201" s="2"/>
      <c r="R201" s="2"/>
      <c r="S201" s="2"/>
      <c r="T201" s="2"/>
      <c r="U201" s="2"/>
      <c r="V201" s="2"/>
      <c r="W201" s="2"/>
      <c r="X201" s="2"/>
      <c r="Y201" s="2"/>
      <c r="Z201" s="2"/>
      <c r="AA201" s="2"/>
    </row>
    <row r="202">
      <c r="A202" s="2"/>
      <c r="B202" s="2"/>
      <c r="D202" s="2"/>
      <c r="E202" s="2"/>
      <c r="F202" s="10"/>
      <c r="G202" s="10"/>
      <c r="I202" s="2"/>
      <c r="J202" s="2"/>
      <c r="K202" s="2"/>
      <c r="L202" s="2"/>
      <c r="M202" s="2"/>
      <c r="N202" s="2"/>
      <c r="O202" s="2"/>
      <c r="P202" s="2"/>
      <c r="Q202" s="2"/>
      <c r="R202" s="2"/>
      <c r="S202" s="2"/>
      <c r="T202" s="2"/>
      <c r="U202" s="2"/>
      <c r="V202" s="2"/>
      <c r="W202" s="2"/>
      <c r="X202" s="2"/>
      <c r="Y202" s="2"/>
      <c r="Z202" s="2"/>
      <c r="AA202" s="2"/>
    </row>
    <row r="203">
      <c r="A203" s="2"/>
      <c r="B203" s="2"/>
      <c r="D203" s="2"/>
      <c r="E203" s="2"/>
      <c r="F203" s="10"/>
      <c r="G203" s="10"/>
      <c r="I203" s="2"/>
      <c r="J203" s="2"/>
      <c r="K203" s="2"/>
      <c r="L203" s="2"/>
      <c r="M203" s="2"/>
      <c r="N203" s="2"/>
      <c r="O203" s="2"/>
      <c r="P203" s="2"/>
      <c r="Q203" s="2"/>
      <c r="R203" s="2"/>
      <c r="S203" s="2"/>
      <c r="T203" s="2"/>
      <c r="U203" s="2"/>
      <c r="V203" s="2"/>
      <c r="W203" s="2"/>
      <c r="X203" s="2"/>
      <c r="Y203" s="2"/>
      <c r="Z203" s="2"/>
      <c r="AA203" s="2"/>
    </row>
    <row r="204">
      <c r="A204" s="2"/>
      <c r="B204" s="2"/>
      <c r="D204" s="2"/>
      <c r="E204" s="2"/>
      <c r="F204" s="10"/>
      <c r="G204" s="10"/>
      <c r="I204" s="2"/>
      <c r="J204" s="2"/>
      <c r="K204" s="2"/>
      <c r="L204" s="2"/>
      <c r="M204" s="2"/>
      <c r="N204" s="2"/>
      <c r="O204" s="2"/>
      <c r="P204" s="2"/>
      <c r="Q204" s="2"/>
      <c r="R204" s="2"/>
      <c r="S204" s="2"/>
      <c r="T204" s="2"/>
      <c r="U204" s="2"/>
      <c r="V204" s="2"/>
      <c r="W204" s="2"/>
      <c r="X204" s="2"/>
      <c r="Y204" s="2"/>
      <c r="Z204" s="2"/>
      <c r="AA204" s="2"/>
    </row>
    <row r="205">
      <c r="A205" s="2"/>
      <c r="B205" s="2"/>
      <c r="D205" s="2"/>
      <c r="E205" s="2"/>
      <c r="F205" s="10"/>
      <c r="G205" s="10"/>
      <c r="I205" s="2"/>
      <c r="J205" s="2"/>
      <c r="K205" s="2"/>
      <c r="L205" s="2"/>
      <c r="M205" s="2"/>
      <c r="N205" s="2"/>
      <c r="O205" s="2"/>
      <c r="P205" s="2"/>
      <c r="Q205" s="2"/>
      <c r="R205" s="2"/>
      <c r="S205" s="2"/>
      <c r="T205" s="2"/>
      <c r="U205" s="2"/>
      <c r="V205" s="2"/>
      <c r="W205" s="2"/>
      <c r="X205" s="2"/>
      <c r="Y205" s="2"/>
      <c r="Z205" s="2"/>
      <c r="AA205" s="2"/>
    </row>
    <row r="206">
      <c r="A206" s="2"/>
      <c r="B206" s="2"/>
      <c r="D206" s="2"/>
      <c r="E206" s="2"/>
      <c r="F206" s="10"/>
      <c r="G206" s="10"/>
      <c r="I206" s="2"/>
      <c r="J206" s="2"/>
      <c r="K206" s="2"/>
      <c r="L206" s="2"/>
      <c r="M206" s="2"/>
      <c r="N206" s="2"/>
      <c r="O206" s="2"/>
      <c r="P206" s="2"/>
      <c r="Q206" s="2"/>
      <c r="R206" s="2"/>
      <c r="S206" s="2"/>
      <c r="T206" s="2"/>
      <c r="U206" s="2"/>
      <c r="V206" s="2"/>
      <c r="W206" s="2"/>
      <c r="X206" s="2"/>
      <c r="Y206" s="2"/>
      <c r="Z206" s="2"/>
      <c r="AA206" s="2"/>
    </row>
    <row r="207">
      <c r="A207" s="2"/>
      <c r="B207" s="2"/>
      <c r="D207" s="2"/>
      <c r="E207" s="2"/>
      <c r="F207" s="10"/>
      <c r="G207" s="10"/>
      <c r="I207" s="2"/>
      <c r="J207" s="2"/>
      <c r="K207" s="2"/>
      <c r="L207" s="2"/>
      <c r="M207" s="2"/>
      <c r="N207" s="2"/>
      <c r="O207" s="2"/>
      <c r="P207" s="2"/>
      <c r="Q207" s="2"/>
      <c r="R207" s="2"/>
      <c r="S207" s="2"/>
      <c r="T207" s="2"/>
      <c r="U207" s="2"/>
      <c r="V207" s="2"/>
      <c r="W207" s="2"/>
      <c r="X207" s="2"/>
      <c r="Y207" s="2"/>
      <c r="Z207" s="2"/>
      <c r="AA207" s="2"/>
    </row>
    <row r="208">
      <c r="A208" s="2"/>
      <c r="B208" s="2"/>
      <c r="D208" s="2"/>
      <c r="E208" s="2"/>
      <c r="F208" s="10"/>
      <c r="G208" s="10"/>
      <c r="I208" s="2"/>
      <c r="J208" s="2"/>
      <c r="K208" s="2"/>
      <c r="L208" s="2"/>
      <c r="M208" s="2"/>
      <c r="N208" s="2"/>
      <c r="O208" s="2"/>
      <c r="P208" s="2"/>
      <c r="Q208" s="2"/>
      <c r="R208" s="2"/>
      <c r="S208" s="2"/>
      <c r="T208" s="2"/>
      <c r="U208" s="2"/>
      <c r="V208" s="2"/>
      <c r="W208" s="2"/>
      <c r="X208" s="2"/>
      <c r="Y208" s="2"/>
      <c r="Z208" s="2"/>
      <c r="AA208" s="2"/>
    </row>
    <row r="209">
      <c r="A209" s="2"/>
      <c r="B209" s="2"/>
      <c r="D209" s="2"/>
      <c r="E209" s="2"/>
      <c r="F209" s="10"/>
      <c r="G209" s="10"/>
      <c r="I209" s="2"/>
      <c r="J209" s="2"/>
      <c r="K209" s="2"/>
      <c r="L209" s="2"/>
      <c r="M209" s="2"/>
      <c r="N209" s="2"/>
      <c r="O209" s="2"/>
      <c r="P209" s="2"/>
      <c r="Q209" s="2"/>
      <c r="R209" s="2"/>
      <c r="S209" s="2"/>
      <c r="T209" s="2"/>
      <c r="U209" s="2"/>
      <c r="V209" s="2"/>
      <c r="W209" s="2"/>
      <c r="X209" s="2"/>
      <c r="Y209" s="2"/>
      <c r="Z209" s="2"/>
      <c r="AA209" s="2"/>
    </row>
    <row r="210">
      <c r="A210" s="2"/>
      <c r="B210" s="2"/>
      <c r="D210" s="2"/>
      <c r="E210" s="2"/>
      <c r="F210" s="10"/>
      <c r="G210" s="10"/>
      <c r="I210" s="2"/>
      <c r="J210" s="2"/>
      <c r="K210" s="2"/>
      <c r="L210" s="2"/>
      <c r="M210" s="2"/>
      <c r="N210" s="2"/>
      <c r="O210" s="2"/>
      <c r="P210" s="2"/>
      <c r="Q210" s="2"/>
      <c r="R210" s="2"/>
      <c r="S210" s="2"/>
      <c r="T210" s="2"/>
      <c r="U210" s="2"/>
      <c r="V210" s="2"/>
      <c r="W210" s="2"/>
      <c r="X210" s="2"/>
      <c r="Y210" s="2"/>
      <c r="Z210" s="2"/>
      <c r="AA210" s="2"/>
    </row>
    <row r="211">
      <c r="A211" s="2"/>
      <c r="B211" s="2"/>
      <c r="D211" s="2"/>
      <c r="E211" s="2"/>
      <c r="F211" s="10"/>
      <c r="G211" s="10"/>
      <c r="I211" s="2"/>
      <c r="J211" s="2"/>
      <c r="K211" s="2"/>
      <c r="L211" s="2"/>
      <c r="M211" s="2"/>
      <c r="N211" s="2"/>
      <c r="O211" s="2"/>
      <c r="P211" s="2"/>
      <c r="Q211" s="2"/>
      <c r="R211" s="2"/>
      <c r="S211" s="2"/>
      <c r="T211" s="2"/>
      <c r="U211" s="2"/>
      <c r="V211" s="2"/>
      <c r="W211" s="2"/>
      <c r="X211" s="2"/>
      <c r="Y211" s="2"/>
      <c r="Z211" s="2"/>
      <c r="AA211" s="2"/>
    </row>
    <row r="212">
      <c r="A212" s="2"/>
      <c r="B212" s="2"/>
      <c r="D212" s="2"/>
      <c r="E212" s="2"/>
      <c r="F212" s="10"/>
      <c r="G212" s="10"/>
      <c r="I212" s="2"/>
      <c r="J212" s="2"/>
      <c r="K212" s="2"/>
      <c r="L212" s="2"/>
      <c r="M212" s="2"/>
      <c r="N212" s="2"/>
      <c r="O212" s="2"/>
      <c r="P212" s="2"/>
      <c r="Q212" s="2"/>
      <c r="R212" s="2"/>
      <c r="S212" s="2"/>
      <c r="T212" s="2"/>
      <c r="U212" s="2"/>
      <c r="V212" s="2"/>
      <c r="W212" s="2"/>
      <c r="X212" s="2"/>
      <c r="Y212" s="2"/>
      <c r="Z212" s="2"/>
      <c r="AA212" s="2"/>
    </row>
    <row r="213">
      <c r="A213" s="2"/>
      <c r="B213" s="2"/>
      <c r="D213" s="2"/>
      <c r="E213" s="2"/>
      <c r="F213" s="10"/>
      <c r="G213" s="10"/>
      <c r="I213" s="2"/>
      <c r="J213" s="2"/>
      <c r="K213" s="2"/>
      <c r="L213" s="2"/>
      <c r="M213" s="2"/>
      <c r="N213" s="2"/>
      <c r="O213" s="2"/>
      <c r="P213" s="2"/>
      <c r="Q213" s="2"/>
      <c r="R213" s="2"/>
      <c r="S213" s="2"/>
      <c r="T213" s="2"/>
      <c r="U213" s="2"/>
      <c r="V213" s="2"/>
      <c r="W213" s="2"/>
      <c r="X213" s="2"/>
      <c r="Y213" s="2"/>
      <c r="Z213" s="2"/>
      <c r="AA213" s="2"/>
    </row>
    <row r="214">
      <c r="A214" s="2"/>
      <c r="B214" s="2"/>
      <c r="D214" s="2"/>
      <c r="E214" s="2"/>
      <c r="F214" s="10"/>
      <c r="G214" s="10"/>
      <c r="I214" s="2"/>
      <c r="J214" s="2"/>
      <c r="K214" s="2"/>
      <c r="L214" s="2"/>
      <c r="M214" s="2"/>
      <c r="N214" s="2"/>
      <c r="O214" s="2"/>
      <c r="P214" s="2"/>
      <c r="Q214" s="2"/>
      <c r="R214" s="2"/>
      <c r="S214" s="2"/>
      <c r="T214" s="2"/>
      <c r="U214" s="2"/>
      <c r="V214" s="2"/>
      <c r="W214" s="2"/>
      <c r="X214" s="2"/>
      <c r="Y214" s="2"/>
      <c r="Z214" s="2"/>
      <c r="AA214" s="2"/>
    </row>
    <row r="215">
      <c r="A215" s="2"/>
      <c r="B215" s="2"/>
      <c r="D215" s="2"/>
      <c r="E215" s="2"/>
      <c r="F215" s="10"/>
      <c r="G215" s="10"/>
      <c r="I215" s="2"/>
      <c r="J215" s="2"/>
      <c r="K215" s="2"/>
      <c r="L215" s="2"/>
      <c r="M215" s="2"/>
      <c r="N215" s="2"/>
      <c r="O215" s="2"/>
      <c r="P215" s="2"/>
      <c r="Q215" s="2"/>
      <c r="R215" s="2"/>
      <c r="S215" s="2"/>
      <c r="T215" s="2"/>
      <c r="U215" s="2"/>
      <c r="V215" s="2"/>
      <c r="W215" s="2"/>
      <c r="X215" s="2"/>
      <c r="Y215" s="2"/>
      <c r="Z215" s="2"/>
      <c r="AA215" s="2"/>
    </row>
    <row r="216">
      <c r="A216" s="2"/>
      <c r="B216" s="2"/>
      <c r="D216" s="2"/>
      <c r="E216" s="2"/>
      <c r="F216" s="10"/>
      <c r="G216" s="10"/>
      <c r="I216" s="2"/>
      <c r="J216" s="2"/>
      <c r="K216" s="2"/>
      <c r="L216" s="2"/>
      <c r="M216" s="2"/>
      <c r="N216" s="2"/>
      <c r="O216" s="2"/>
      <c r="P216" s="2"/>
      <c r="Q216" s="2"/>
      <c r="R216" s="2"/>
      <c r="S216" s="2"/>
      <c r="T216" s="2"/>
      <c r="U216" s="2"/>
      <c r="V216" s="2"/>
      <c r="W216" s="2"/>
      <c r="X216" s="2"/>
      <c r="Y216" s="2"/>
      <c r="Z216" s="2"/>
      <c r="AA216" s="2"/>
    </row>
    <row r="217">
      <c r="A217" s="2"/>
      <c r="B217" s="2"/>
      <c r="D217" s="2"/>
      <c r="E217" s="2"/>
      <c r="F217" s="10"/>
      <c r="G217" s="10"/>
      <c r="I217" s="2"/>
      <c r="J217" s="2"/>
      <c r="K217" s="2"/>
      <c r="L217" s="2"/>
      <c r="M217" s="2"/>
      <c r="N217" s="2"/>
      <c r="O217" s="2"/>
      <c r="P217" s="2"/>
      <c r="Q217" s="2"/>
      <c r="R217" s="2"/>
      <c r="S217" s="2"/>
      <c r="T217" s="2"/>
      <c r="U217" s="2"/>
      <c r="V217" s="2"/>
      <c r="W217" s="2"/>
      <c r="X217" s="2"/>
      <c r="Y217" s="2"/>
      <c r="Z217" s="2"/>
      <c r="AA217" s="2"/>
    </row>
    <row r="218">
      <c r="A218" s="2"/>
      <c r="B218" s="2"/>
      <c r="D218" s="2"/>
      <c r="E218" s="2"/>
      <c r="F218" s="10"/>
      <c r="G218" s="10"/>
      <c r="I218" s="2"/>
      <c r="J218" s="2"/>
      <c r="K218" s="2"/>
      <c r="L218" s="2"/>
      <c r="M218" s="2"/>
      <c r="N218" s="2"/>
      <c r="O218" s="2"/>
      <c r="P218" s="2"/>
      <c r="Q218" s="2"/>
      <c r="R218" s="2"/>
      <c r="S218" s="2"/>
      <c r="T218" s="2"/>
      <c r="U218" s="2"/>
      <c r="V218" s="2"/>
      <c r="W218" s="2"/>
      <c r="X218" s="2"/>
      <c r="Y218" s="2"/>
      <c r="Z218" s="2"/>
      <c r="AA218" s="2"/>
    </row>
    <row r="219">
      <c r="A219" s="2"/>
      <c r="B219" s="2"/>
      <c r="D219" s="2"/>
      <c r="E219" s="2"/>
      <c r="F219" s="10"/>
      <c r="G219" s="10"/>
      <c r="I219" s="2"/>
      <c r="J219" s="2"/>
      <c r="K219" s="2"/>
      <c r="L219" s="2"/>
      <c r="M219" s="2"/>
      <c r="N219" s="2"/>
      <c r="O219" s="2"/>
      <c r="P219" s="2"/>
      <c r="Q219" s="2"/>
      <c r="R219" s="2"/>
      <c r="S219" s="2"/>
      <c r="T219" s="2"/>
      <c r="U219" s="2"/>
      <c r="V219" s="2"/>
      <c r="W219" s="2"/>
      <c r="X219" s="2"/>
      <c r="Y219" s="2"/>
      <c r="Z219" s="2"/>
      <c r="AA219" s="2"/>
    </row>
    <row r="220">
      <c r="A220" s="2"/>
      <c r="B220" s="2"/>
      <c r="D220" s="2"/>
      <c r="E220" s="2"/>
      <c r="F220" s="10"/>
      <c r="G220" s="10"/>
      <c r="I220" s="2"/>
      <c r="J220" s="2"/>
      <c r="K220" s="2"/>
      <c r="L220" s="2"/>
      <c r="M220" s="2"/>
      <c r="N220" s="2"/>
      <c r="O220" s="2"/>
      <c r="P220" s="2"/>
      <c r="Q220" s="2"/>
      <c r="R220" s="2"/>
      <c r="S220" s="2"/>
      <c r="T220" s="2"/>
      <c r="U220" s="2"/>
      <c r="V220" s="2"/>
      <c r="W220" s="2"/>
      <c r="X220" s="2"/>
      <c r="Y220" s="2"/>
      <c r="Z220" s="2"/>
      <c r="AA220" s="2"/>
    </row>
    <row r="221">
      <c r="A221" s="2"/>
      <c r="B221" s="2"/>
      <c r="D221" s="2"/>
      <c r="E221" s="2"/>
      <c r="F221" s="10"/>
      <c r="G221" s="10"/>
      <c r="I221" s="2"/>
      <c r="J221" s="2"/>
      <c r="K221" s="2"/>
      <c r="L221" s="2"/>
      <c r="M221" s="2"/>
      <c r="N221" s="2"/>
      <c r="O221" s="2"/>
      <c r="P221" s="2"/>
      <c r="Q221" s="2"/>
      <c r="R221" s="2"/>
      <c r="S221" s="2"/>
      <c r="T221" s="2"/>
      <c r="U221" s="2"/>
      <c r="V221" s="2"/>
      <c r="W221" s="2"/>
      <c r="X221" s="2"/>
      <c r="Y221" s="2"/>
      <c r="Z221" s="2"/>
      <c r="AA221" s="2"/>
    </row>
    <row r="222">
      <c r="A222" s="2"/>
      <c r="B222" s="2"/>
      <c r="D222" s="2"/>
      <c r="E222" s="2"/>
      <c r="F222" s="10"/>
      <c r="G222" s="10"/>
      <c r="I222" s="2"/>
      <c r="J222" s="2"/>
      <c r="K222" s="2"/>
      <c r="L222" s="2"/>
      <c r="M222" s="2"/>
      <c r="N222" s="2"/>
      <c r="O222" s="2"/>
      <c r="P222" s="2"/>
      <c r="Q222" s="2"/>
      <c r="R222" s="2"/>
      <c r="S222" s="2"/>
      <c r="T222" s="2"/>
      <c r="U222" s="2"/>
      <c r="V222" s="2"/>
      <c r="W222" s="2"/>
      <c r="X222" s="2"/>
      <c r="Y222" s="2"/>
      <c r="Z222" s="2"/>
      <c r="AA222" s="2"/>
    </row>
    <row r="223">
      <c r="A223" s="2"/>
      <c r="B223" s="2"/>
      <c r="D223" s="2"/>
      <c r="E223" s="2"/>
      <c r="F223" s="10"/>
      <c r="G223" s="10"/>
      <c r="I223" s="2"/>
      <c r="J223" s="2"/>
      <c r="K223" s="2"/>
      <c r="L223" s="2"/>
      <c r="M223" s="2"/>
      <c r="N223" s="2"/>
      <c r="O223" s="2"/>
      <c r="P223" s="2"/>
      <c r="Q223" s="2"/>
      <c r="R223" s="2"/>
      <c r="S223" s="2"/>
      <c r="T223" s="2"/>
      <c r="U223" s="2"/>
      <c r="V223" s="2"/>
      <c r="W223" s="2"/>
      <c r="X223" s="2"/>
      <c r="Y223" s="2"/>
      <c r="Z223" s="2"/>
      <c r="AA223" s="2"/>
    </row>
    <row r="224">
      <c r="A224" s="2"/>
      <c r="B224" s="2"/>
      <c r="D224" s="2"/>
      <c r="E224" s="2"/>
      <c r="F224" s="10"/>
      <c r="G224" s="10"/>
      <c r="I224" s="2"/>
      <c r="J224" s="2"/>
      <c r="K224" s="2"/>
      <c r="L224" s="2"/>
      <c r="M224" s="2"/>
      <c r="N224" s="2"/>
      <c r="O224" s="2"/>
      <c r="P224" s="2"/>
      <c r="Q224" s="2"/>
      <c r="R224" s="2"/>
      <c r="S224" s="2"/>
      <c r="T224" s="2"/>
      <c r="U224" s="2"/>
      <c r="V224" s="2"/>
      <c r="W224" s="2"/>
      <c r="X224" s="2"/>
      <c r="Y224" s="2"/>
      <c r="Z224" s="2"/>
      <c r="AA224" s="2"/>
    </row>
    <row r="225">
      <c r="A225" s="2"/>
      <c r="B225" s="2"/>
      <c r="D225" s="2"/>
      <c r="E225" s="2"/>
      <c r="F225" s="10"/>
      <c r="G225" s="10"/>
      <c r="I225" s="2"/>
      <c r="J225" s="2"/>
      <c r="K225" s="2"/>
      <c r="L225" s="2"/>
      <c r="M225" s="2"/>
      <c r="N225" s="2"/>
      <c r="O225" s="2"/>
      <c r="P225" s="2"/>
      <c r="Q225" s="2"/>
      <c r="R225" s="2"/>
      <c r="S225" s="2"/>
      <c r="T225" s="2"/>
      <c r="U225" s="2"/>
      <c r="V225" s="2"/>
      <c r="W225" s="2"/>
      <c r="X225" s="2"/>
      <c r="Y225" s="2"/>
      <c r="Z225" s="2"/>
      <c r="AA225" s="2"/>
    </row>
    <row r="226">
      <c r="A226" s="2"/>
      <c r="B226" s="2"/>
      <c r="D226" s="2"/>
      <c r="E226" s="2"/>
      <c r="F226" s="10"/>
      <c r="G226" s="10"/>
      <c r="I226" s="2"/>
      <c r="J226" s="2"/>
      <c r="K226" s="2"/>
      <c r="L226" s="2"/>
      <c r="M226" s="2"/>
      <c r="N226" s="2"/>
      <c r="O226" s="2"/>
      <c r="P226" s="2"/>
      <c r="Q226" s="2"/>
      <c r="R226" s="2"/>
      <c r="S226" s="2"/>
      <c r="T226" s="2"/>
      <c r="U226" s="2"/>
      <c r="V226" s="2"/>
      <c r="W226" s="2"/>
      <c r="X226" s="2"/>
      <c r="Y226" s="2"/>
      <c r="Z226" s="2"/>
      <c r="AA226" s="2"/>
    </row>
    <row r="227">
      <c r="A227" s="2"/>
      <c r="B227" s="2"/>
      <c r="D227" s="2"/>
      <c r="E227" s="2"/>
      <c r="F227" s="10"/>
      <c r="G227" s="10"/>
      <c r="I227" s="2"/>
      <c r="J227" s="2"/>
      <c r="K227" s="2"/>
      <c r="L227" s="2"/>
      <c r="M227" s="2"/>
      <c r="N227" s="2"/>
      <c r="O227" s="2"/>
      <c r="P227" s="2"/>
      <c r="Q227" s="2"/>
      <c r="R227" s="2"/>
      <c r="S227" s="2"/>
      <c r="T227" s="2"/>
      <c r="U227" s="2"/>
      <c r="V227" s="2"/>
      <c r="W227" s="2"/>
      <c r="X227" s="2"/>
      <c r="Y227" s="2"/>
      <c r="Z227" s="2"/>
      <c r="AA227" s="2"/>
    </row>
    <row r="228">
      <c r="A228" s="2"/>
      <c r="B228" s="2"/>
      <c r="D228" s="2"/>
      <c r="E228" s="2"/>
      <c r="F228" s="10"/>
      <c r="G228" s="10"/>
      <c r="I228" s="2"/>
      <c r="J228" s="2"/>
      <c r="K228" s="2"/>
      <c r="L228" s="2"/>
      <c r="M228" s="2"/>
      <c r="N228" s="2"/>
      <c r="O228" s="2"/>
      <c r="P228" s="2"/>
      <c r="Q228" s="2"/>
      <c r="R228" s="2"/>
      <c r="S228" s="2"/>
      <c r="T228" s="2"/>
      <c r="U228" s="2"/>
      <c r="V228" s="2"/>
      <c r="W228" s="2"/>
      <c r="X228" s="2"/>
      <c r="Y228" s="2"/>
      <c r="Z228" s="2"/>
      <c r="AA228" s="2"/>
    </row>
    <row r="229">
      <c r="A229" s="2"/>
      <c r="B229" s="2"/>
      <c r="D229" s="2"/>
      <c r="E229" s="2"/>
      <c r="F229" s="10"/>
      <c r="G229" s="10"/>
      <c r="I229" s="2"/>
      <c r="J229" s="2"/>
      <c r="K229" s="2"/>
      <c r="L229" s="2"/>
      <c r="M229" s="2"/>
      <c r="N229" s="2"/>
      <c r="O229" s="2"/>
      <c r="P229" s="2"/>
      <c r="Q229" s="2"/>
      <c r="R229" s="2"/>
      <c r="S229" s="2"/>
      <c r="T229" s="2"/>
      <c r="U229" s="2"/>
      <c r="V229" s="2"/>
      <c r="W229" s="2"/>
      <c r="X229" s="2"/>
      <c r="Y229" s="2"/>
      <c r="Z229" s="2"/>
      <c r="AA229" s="2"/>
    </row>
    <row r="230">
      <c r="A230" s="2"/>
      <c r="B230" s="2"/>
      <c r="D230" s="2"/>
      <c r="E230" s="2"/>
      <c r="F230" s="10"/>
      <c r="G230" s="10"/>
      <c r="I230" s="2"/>
      <c r="J230" s="2"/>
      <c r="K230" s="2"/>
      <c r="L230" s="2"/>
      <c r="M230" s="2"/>
      <c r="N230" s="2"/>
      <c r="O230" s="2"/>
      <c r="P230" s="2"/>
      <c r="Q230" s="2"/>
      <c r="R230" s="2"/>
      <c r="S230" s="2"/>
      <c r="T230" s="2"/>
      <c r="U230" s="2"/>
      <c r="V230" s="2"/>
      <c r="W230" s="2"/>
      <c r="X230" s="2"/>
      <c r="Y230" s="2"/>
      <c r="Z230" s="2"/>
      <c r="AA230" s="2"/>
    </row>
    <row r="231">
      <c r="A231" s="2"/>
      <c r="B231" s="2"/>
      <c r="D231" s="2"/>
      <c r="E231" s="2"/>
      <c r="F231" s="10"/>
      <c r="G231" s="10"/>
      <c r="I231" s="2"/>
      <c r="J231" s="2"/>
      <c r="K231" s="2"/>
      <c r="L231" s="2"/>
      <c r="M231" s="2"/>
      <c r="N231" s="2"/>
      <c r="O231" s="2"/>
      <c r="P231" s="2"/>
      <c r="Q231" s="2"/>
      <c r="R231" s="2"/>
      <c r="S231" s="2"/>
      <c r="T231" s="2"/>
      <c r="U231" s="2"/>
      <c r="V231" s="2"/>
      <c r="W231" s="2"/>
      <c r="X231" s="2"/>
      <c r="Y231" s="2"/>
      <c r="Z231" s="2"/>
      <c r="AA231" s="2"/>
    </row>
    <row r="232">
      <c r="A232" s="2"/>
      <c r="B232" s="2"/>
      <c r="D232" s="2"/>
      <c r="E232" s="2"/>
      <c r="F232" s="10"/>
      <c r="G232" s="10"/>
      <c r="I232" s="2"/>
      <c r="J232" s="2"/>
      <c r="K232" s="2"/>
      <c r="L232" s="2"/>
      <c r="M232" s="2"/>
      <c r="N232" s="2"/>
      <c r="O232" s="2"/>
      <c r="P232" s="2"/>
      <c r="Q232" s="2"/>
      <c r="R232" s="2"/>
      <c r="S232" s="2"/>
      <c r="T232" s="2"/>
      <c r="U232" s="2"/>
      <c r="V232" s="2"/>
      <c r="W232" s="2"/>
      <c r="X232" s="2"/>
      <c r="Y232" s="2"/>
      <c r="Z232" s="2"/>
      <c r="AA232" s="2"/>
    </row>
    <row r="233">
      <c r="A233" s="2"/>
      <c r="B233" s="2"/>
      <c r="D233" s="2"/>
      <c r="E233" s="2"/>
      <c r="F233" s="10"/>
      <c r="G233" s="10"/>
      <c r="I233" s="2"/>
      <c r="J233" s="2"/>
      <c r="K233" s="2"/>
      <c r="L233" s="2"/>
      <c r="M233" s="2"/>
      <c r="N233" s="2"/>
      <c r="O233" s="2"/>
      <c r="P233" s="2"/>
      <c r="Q233" s="2"/>
      <c r="R233" s="2"/>
      <c r="S233" s="2"/>
      <c r="T233" s="2"/>
      <c r="U233" s="2"/>
      <c r="V233" s="2"/>
      <c r="W233" s="2"/>
      <c r="X233" s="2"/>
      <c r="Y233" s="2"/>
      <c r="Z233" s="2"/>
      <c r="AA233" s="2"/>
    </row>
    <row r="234">
      <c r="A234" s="2"/>
      <c r="B234" s="2"/>
      <c r="D234" s="2"/>
      <c r="E234" s="2"/>
      <c r="F234" s="10"/>
      <c r="G234" s="10"/>
      <c r="I234" s="2"/>
      <c r="J234" s="2"/>
      <c r="K234" s="2"/>
      <c r="L234" s="2"/>
      <c r="M234" s="2"/>
      <c r="N234" s="2"/>
      <c r="O234" s="2"/>
      <c r="P234" s="2"/>
      <c r="Q234" s="2"/>
      <c r="R234" s="2"/>
      <c r="S234" s="2"/>
      <c r="T234" s="2"/>
      <c r="U234" s="2"/>
      <c r="V234" s="2"/>
      <c r="W234" s="2"/>
      <c r="X234" s="2"/>
      <c r="Y234" s="2"/>
      <c r="Z234" s="2"/>
      <c r="AA234" s="2"/>
    </row>
    <row r="235">
      <c r="A235" s="2"/>
      <c r="B235" s="2"/>
      <c r="D235" s="2"/>
      <c r="E235" s="2"/>
      <c r="F235" s="10"/>
      <c r="G235" s="10"/>
      <c r="I235" s="2"/>
      <c r="J235" s="2"/>
      <c r="K235" s="2"/>
      <c r="L235" s="2"/>
      <c r="M235" s="2"/>
      <c r="N235" s="2"/>
      <c r="O235" s="2"/>
      <c r="P235" s="2"/>
      <c r="Q235" s="2"/>
      <c r="R235" s="2"/>
      <c r="S235" s="2"/>
      <c r="T235" s="2"/>
      <c r="U235" s="2"/>
      <c r="V235" s="2"/>
      <c r="W235" s="2"/>
      <c r="X235" s="2"/>
      <c r="Y235" s="2"/>
      <c r="Z235" s="2"/>
      <c r="AA235" s="2"/>
    </row>
    <row r="236">
      <c r="A236" s="2"/>
      <c r="B236" s="2"/>
      <c r="D236" s="2"/>
      <c r="E236" s="2"/>
      <c r="F236" s="10"/>
      <c r="G236" s="10"/>
      <c r="I236" s="2"/>
      <c r="J236" s="2"/>
      <c r="K236" s="2"/>
      <c r="L236" s="2"/>
      <c r="M236" s="2"/>
      <c r="N236" s="2"/>
      <c r="O236" s="2"/>
      <c r="P236" s="2"/>
      <c r="Q236" s="2"/>
      <c r="R236" s="2"/>
      <c r="S236" s="2"/>
      <c r="T236" s="2"/>
      <c r="U236" s="2"/>
      <c r="V236" s="2"/>
      <c r="W236" s="2"/>
      <c r="X236" s="2"/>
      <c r="Y236" s="2"/>
      <c r="Z236" s="2"/>
      <c r="AA236" s="2"/>
    </row>
    <row r="237">
      <c r="A237" s="2"/>
      <c r="B237" s="2"/>
      <c r="D237" s="2"/>
      <c r="E237" s="2"/>
      <c r="F237" s="10"/>
      <c r="G237" s="10"/>
      <c r="I237" s="2"/>
      <c r="J237" s="2"/>
      <c r="K237" s="2"/>
      <c r="L237" s="2"/>
      <c r="M237" s="2"/>
      <c r="N237" s="2"/>
      <c r="O237" s="2"/>
      <c r="P237" s="2"/>
      <c r="Q237" s="2"/>
      <c r="R237" s="2"/>
      <c r="S237" s="2"/>
      <c r="T237" s="2"/>
      <c r="U237" s="2"/>
      <c r="V237" s="2"/>
      <c r="W237" s="2"/>
      <c r="X237" s="2"/>
      <c r="Y237" s="2"/>
      <c r="Z237" s="2"/>
      <c r="AA237" s="2"/>
    </row>
    <row r="238">
      <c r="A238" s="2"/>
      <c r="B238" s="2"/>
      <c r="D238" s="2"/>
      <c r="E238" s="2"/>
      <c r="F238" s="10"/>
      <c r="G238" s="10"/>
      <c r="I238" s="2"/>
      <c r="J238" s="2"/>
      <c r="K238" s="2"/>
      <c r="L238" s="2"/>
      <c r="M238" s="2"/>
      <c r="N238" s="2"/>
      <c r="O238" s="2"/>
      <c r="P238" s="2"/>
      <c r="Q238" s="2"/>
      <c r="R238" s="2"/>
      <c r="S238" s="2"/>
      <c r="T238" s="2"/>
      <c r="U238" s="2"/>
      <c r="V238" s="2"/>
      <c r="W238" s="2"/>
      <c r="X238" s="2"/>
      <c r="Y238" s="2"/>
      <c r="Z238" s="2"/>
      <c r="AA238" s="2"/>
    </row>
    <row r="239">
      <c r="A239" s="2"/>
      <c r="B239" s="2"/>
      <c r="D239" s="2"/>
      <c r="E239" s="2"/>
      <c r="F239" s="10"/>
      <c r="G239" s="10"/>
      <c r="I239" s="2"/>
      <c r="J239" s="2"/>
      <c r="K239" s="2"/>
      <c r="L239" s="2"/>
      <c r="M239" s="2"/>
      <c r="N239" s="2"/>
      <c r="O239" s="2"/>
      <c r="P239" s="2"/>
      <c r="Q239" s="2"/>
      <c r="R239" s="2"/>
      <c r="S239" s="2"/>
      <c r="T239" s="2"/>
      <c r="U239" s="2"/>
      <c r="V239" s="2"/>
      <c r="W239" s="2"/>
      <c r="X239" s="2"/>
      <c r="Y239" s="2"/>
      <c r="Z239" s="2"/>
      <c r="AA239" s="2"/>
    </row>
    <row r="240">
      <c r="A240" s="2"/>
      <c r="B240" s="2"/>
      <c r="D240" s="2"/>
      <c r="E240" s="2"/>
      <c r="F240" s="10"/>
      <c r="G240" s="10"/>
      <c r="I240" s="2"/>
      <c r="J240" s="2"/>
      <c r="K240" s="2"/>
      <c r="L240" s="2"/>
      <c r="M240" s="2"/>
      <c r="N240" s="2"/>
      <c r="O240" s="2"/>
      <c r="P240" s="2"/>
      <c r="Q240" s="2"/>
      <c r="R240" s="2"/>
      <c r="S240" s="2"/>
      <c r="T240" s="2"/>
      <c r="U240" s="2"/>
      <c r="V240" s="2"/>
      <c r="W240" s="2"/>
      <c r="X240" s="2"/>
      <c r="Y240" s="2"/>
      <c r="Z240" s="2"/>
      <c r="AA240" s="2"/>
    </row>
    <row r="241">
      <c r="A241" s="2"/>
      <c r="B241" s="2"/>
      <c r="D241" s="2"/>
      <c r="E241" s="2"/>
      <c r="F241" s="10"/>
      <c r="G241" s="10"/>
      <c r="I241" s="2"/>
      <c r="J241" s="2"/>
      <c r="K241" s="2"/>
      <c r="L241" s="2"/>
      <c r="M241" s="2"/>
      <c r="N241" s="2"/>
      <c r="O241" s="2"/>
      <c r="P241" s="2"/>
      <c r="Q241" s="2"/>
      <c r="R241" s="2"/>
      <c r="S241" s="2"/>
      <c r="T241" s="2"/>
      <c r="U241" s="2"/>
      <c r="V241" s="2"/>
      <c r="W241" s="2"/>
      <c r="X241" s="2"/>
      <c r="Y241" s="2"/>
      <c r="Z241" s="2"/>
      <c r="AA241" s="2"/>
    </row>
    <row r="242">
      <c r="A242" s="2"/>
      <c r="B242" s="2"/>
      <c r="D242" s="2"/>
      <c r="E242" s="2"/>
      <c r="F242" s="10"/>
      <c r="G242" s="10"/>
      <c r="I242" s="2"/>
      <c r="J242" s="2"/>
      <c r="K242" s="2"/>
      <c r="L242" s="2"/>
      <c r="M242" s="2"/>
      <c r="N242" s="2"/>
      <c r="O242" s="2"/>
      <c r="P242" s="2"/>
      <c r="Q242" s="2"/>
      <c r="R242" s="2"/>
      <c r="S242" s="2"/>
      <c r="T242" s="2"/>
      <c r="U242" s="2"/>
      <c r="V242" s="2"/>
      <c r="W242" s="2"/>
      <c r="X242" s="2"/>
      <c r="Y242" s="2"/>
      <c r="Z242" s="2"/>
      <c r="AA242" s="2"/>
    </row>
    <row r="243">
      <c r="A243" s="2"/>
      <c r="B243" s="2"/>
      <c r="D243" s="2"/>
      <c r="E243" s="2"/>
      <c r="F243" s="10"/>
      <c r="G243" s="10"/>
      <c r="I243" s="2"/>
      <c r="J243" s="2"/>
      <c r="K243" s="2"/>
      <c r="L243" s="2"/>
      <c r="M243" s="2"/>
      <c r="N243" s="2"/>
      <c r="O243" s="2"/>
      <c r="P243" s="2"/>
      <c r="Q243" s="2"/>
      <c r="R243" s="2"/>
      <c r="S243" s="2"/>
      <c r="T243" s="2"/>
      <c r="U243" s="2"/>
      <c r="V243" s="2"/>
      <c r="W243" s="2"/>
      <c r="X243" s="2"/>
      <c r="Y243" s="2"/>
      <c r="Z243" s="2"/>
      <c r="AA243" s="2"/>
    </row>
    <row r="244">
      <c r="A244" s="2"/>
      <c r="B244" s="2"/>
      <c r="D244" s="2"/>
      <c r="E244" s="2"/>
      <c r="F244" s="10"/>
      <c r="G244" s="10"/>
      <c r="I244" s="2"/>
      <c r="J244" s="2"/>
      <c r="K244" s="2"/>
      <c r="L244" s="2"/>
      <c r="M244" s="2"/>
      <c r="N244" s="2"/>
      <c r="O244" s="2"/>
      <c r="P244" s="2"/>
      <c r="Q244" s="2"/>
      <c r="R244" s="2"/>
      <c r="S244" s="2"/>
      <c r="T244" s="2"/>
      <c r="U244" s="2"/>
      <c r="V244" s="2"/>
      <c r="W244" s="2"/>
      <c r="X244" s="2"/>
      <c r="Y244" s="2"/>
      <c r="Z244" s="2"/>
      <c r="AA244" s="2"/>
    </row>
    <row r="245">
      <c r="A245" s="2"/>
      <c r="B245" s="2"/>
      <c r="D245" s="2"/>
      <c r="E245" s="2"/>
      <c r="F245" s="10"/>
      <c r="G245" s="10"/>
      <c r="I245" s="2"/>
      <c r="J245" s="2"/>
      <c r="K245" s="2"/>
      <c r="L245" s="2"/>
      <c r="M245" s="2"/>
      <c r="N245" s="2"/>
      <c r="O245" s="2"/>
      <c r="P245" s="2"/>
      <c r="Q245" s="2"/>
      <c r="R245" s="2"/>
      <c r="S245" s="2"/>
      <c r="T245" s="2"/>
      <c r="U245" s="2"/>
      <c r="V245" s="2"/>
      <c r="W245" s="2"/>
      <c r="X245" s="2"/>
      <c r="Y245" s="2"/>
      <c r="Z245" s="2"/>
      <c r="AA245" s="2"/>
    </row>
    <row r="246">
      <c r="A246" s="2"/>
      <c r="B246" s="2"/>
      <c r="D246" s="2"/>
      <c r="E246" s="2"/>
      <c r="F246" s="10"/>
      <c r="G246" s="10"/>
      <c r="I246" s="2"/>
      <c r="J246" s="2"/>
      <c r="K246" s="2"/>
      <c r="L246" s="2"/>
      <c r="M246" s="2"/>
      <c r="N246" s="2"/>
      <c r="O246" s="2"/>
      <c r="P246" s="2"/>
      <c r="Q246" s="2"/>
      <c r="R246" s="2"/>
      <c r="S246" s="2"/>
      <c r="T246" s="2"/>
      <c r="U246" s="2"/>
      <c r="V246" s="2"/>
      <c r="W246" s="2"/>
      <c r="X246" s="2"/>
      <c r="Y246" s="2"/>
      <c r="Z246" s="2"/>
      <c r="AA246" s="2"/>
    </row>
    <row r="247">
      <c r="A247" s="2"/>
      <c r="B247" s="2"/>
      <c r="D247" s="2"/>
      <c r="E247" s="2"/>
      <c r="F247" s="10"/>
      <c r="G247" s="10"/>
      <c r="I247" s="2"/>
      <c r="J247" s="2"/>
      <c r="K247" s="2"/>
      <c r="L247" s="2"/>
      <c r="M247" s="2"/>
      <c r="N247" s="2"/>
      <c r="O247" s="2"/>
      <c r="P247" s="2"/>
      <c r="Q247" s="2"/>
      <c r="R247" s="2"/>
      <c r="S247" s="2"/>
      <c r="T247" s="2"/>
      <c r="U247" s="2"/>
      <c r="V247" s="2"/>
      <c r="W247" s="2"/>
      <c r="X247" s="2"/>
      <c r="Y247" s="2"/>
      <c r="Z247" s="2"/>
      <c r="AA247" s="2"/>
    </row>
    <row r="248">
      <c r="A248" s="2"/>
      <c r="B248" s="2"/>
      <c r="D248" s="2"/>
      <c r="E248" s="2"/>
      <c r="F248" s="10"/>
      <c r="G248" s="10"/>
      <c r="I248" s="2"/>
      <c r="J248" s="2"/>
      <c r="K248" s="2"/>
      <c r="L248" s="2"/>
      <c r="M248" s="2"/>
      <c r="N248" s="2"/>
      <c r="O248" s="2"/>
      <c r="P248" s="2"/>
      <c r="Q248" s="2"/>
      <c r="R248" s="2"/>
      <c r="S248" s="2"/>
      <c r="T248" s="2"/>
      <c r="U248" s="2"/>
      <c r="V248" s="2"/>
      <c r="W248" s="2"/>
      <c r="X248" s="2"/>
      <c r="Y248" s="2"/>
      <c r="Z248" s="2"/>
      <c r="AA248" s="2"/>
    </row>
    <row r="249">
      <c r="A249" s="2"/>
      <c r="B249" s="2"/>
      <c r="D249" s="2"/>
      <c r="E249" s="2"/>
      <c r="F249" s="10"/>
      <c r="G249" s="10"/>
      <c r="I249" s="2"/>
      <c r="J249" s="2"/>
      <c r="K249" s="2"/>
      <c r="L249" s="2"/>
      <c r="M249" s="2"/>
      <c r="N249" s="2"/>
      <c r="O249" s="2"/>
      <c r="P249" s="2"/>
      <c r="Q249" s="2"/>
      <c r="R249" s="2"/>
      <c r="S249" s="2"/>
      <c r="T249" s="2"/>
      <c r="U249" s="2"/>
      <c r="V249" s="2"/>
      <c r="W249" s="2"/>
      <c r="X249" s="2"/>
      <c r="Y249" s="2"/>
      <c r="Z249" s="2"/>
      <c r="AA249" s="2"/>
    </row>
    <row r="250">
      <c r="A250" s="2"/>
      <c r="B250" s="2"/>
      <c r="D250" s="2"/>
      <c r="E250" s="2"/>
      <c r="F250" s="10"/>
      <c r="G250" s="10"/>
      <c r="I250" s="2"/>
      <c r="J250" s="2"/>
      <c r="K250" s="2"/>
      <c r="L250" s="2"/>
      <c r="M250" s="2"/>
      <c r="N250" s="2"/>
      <c r="O250" s="2"/>
      <c r="P250" s="2"/>
      <c r="Q250" s="2"/>
      <c r="R250" s="2"/>
      <c r="S250" s="2"/>
      <c r="T250" s="2"/>
      <c r="U250" s="2"/>
      <c r="V250" s="2"/>
      <c r="W250" s="2"/>
      <c r="X250" s="2"/>
      <c r="Y250" s="2"/>
      <c r="Z250" s="2"/>
      <c r="AA250" s="2"/>
    </row>
    <row r="251">
      <c r="A251" s="2"/>
      <c r="B251" s="2"/>
      <c r="D251" s="2"/>
      <c r="E251" s="2"/>
      <c r="F251" s="10"/>
      <c r="G251" s="10"/>
      <c r="I251" s="2"/>
      <c r="J251" s="2"/>
      <c r="K251" s="2"/>
      <c r="L251" s="2"/>
      <c r="M251" s="2"/>
      <c r="N251" s="2"/>
      <c r="O251" s="2"/>
      <c r="P251" s="2"/>
      <c r="Q251" s="2"/>
      <c r="R251" s="2"/>
      <c r="S251" s="2"/>
      <c r="T251" s="2"/>
      <c r="U251" s="2"/>
      <c r="V251" s="2"/>
      <c r="W251" s="2"/>
      <c r="X251" s="2"/>
      <c r="Y251" s="2"/>
      <c r="Z251" s="2"/>
      <c r="AA251" s="2"/>
    </row>
    <row r="252">
      <c r="A252" s="2"/>
      <c r="B252" s="2"/>
      <c r="D252" s="2"/>
      <c r="E252" s="2"/>
      <c r="F252" s="10"/>
      <c r="G252" s="10"/>
      <c r="I252" s="2"/>
      <c r="J252" s="2"/>
      <c r="K252" s="2"/>
      <c r="L252" s="2"/>
      <c r="M252" s="2"/>
      <c r="N252" s="2"/>
      <c r="O252" s="2"/>
      <c r="P252" s="2"/>
      <c r="Q252" s="2"/>
      <c r="R252" s="2"/>
      <c r="S252" s="2"/>
      <c r="T252" s="2"/>
      <c r="U252" s="2"/>
      <c r="V252" s="2"/>
      <c r="W252" s="2"/>
      <c r="X252" s="2"/>
      <c r="Y252" s="2"/>
      <c r="Z252" s="2"/>
      <c r="AA252" s="2"/>
    </row>
    <row r="253">
      <c r="A253" s="2"/>
      <c r="B253" s="2"/>
      <c r="D253" s="2"/>
      <c r="E253" s="2"/>
      <c r="F253" s="10"/>
      <c r="G253" s="10"/>
      <c r="I253" s="2"/>
      <c r="J253" s="2"/>
      <c r="K253" s="2"/>
      <c r="L253" s="2"/>
      <c r="M253" s="2"/>
      <c r="N253" s="2"/>
      <c r="O253" s="2"/>
      <c r="P253" s="2"/>
      <c r="Q253" s="2"/>
      <c r="R253" s="2"/>
      <c r="S253" s="2"/>
      <c r="T253" s="2"/>
      <c r="U253" s="2"/>
      <c r="V253" s="2"/>
      <c r="W253" s="2"/>
      <c r="X253" s="2"/>
      <c r="Y253" s="2"/>
      <c r="Z253" s="2"/>
      <c r="AA253" s="2"/>
    </row>
    <row r="254">
      <c r="A254" s="2"/>
      <c r="B254" s="2"/>
      <c r="D254" s="2"/>
      <c r="E254" s="2"/>
      <c r="F254" s="10"/>
      <c r="G254" s="10"/>
      <c r="I254" s="2"/>
      <c r="J254" s="2"/>
      <c r="K254" s="2"/>
      <c r="L254" s="2"/>
      <c r="M254" s="2"/>
      <c r="N254" s="2"/>
      <c r="O254" s="2"/>
      <c r="P254" s="2"/>
      <c r="Q254" s="2"/>
      <c r="R254" s="2"/>
      <c r="S254" s="2"/>
      <c r="T254" s="2"/>
      <c r="U254" s="2"/>
      <c r="V254" s="2"/>
      <c r="W254" s="2"/>
      <c r="X254" s="2"/>
      <c r="Y254" s="2"/>
      <c r="Z254" s="2"/>
      <c r="AA254" s="2"/>
    </row>
    <row r="255">
      <c r="A255" s="2"/>
      <c r="B255" s="2"/>
      <c r="D255" s="2"/>
      <c r="E255" s="2"/>
      <c r="F255" s="10"/>
      <c r="G255" s="10"/>
      <c r="I255" s="2"/>
      <c r="J255" s="2"/>
      <c r="K255" s="2"/>
      <c r="L255" s="2"/>
      <c r="M255" s="2"/>
      <c r="N255" s="2"/>
      <c r="O255" s="2"/>
      <c r="P255" s="2"/>
      <c r="Q255" s="2"/>
      <c r="R255" s="2"/>
      <c r="S255" s="2"/>
      <c r="T255" s="2"/>
      <c r="U255" s="2"/>
      <c r="V255" s="2"/>
      <c r="W255" s="2"/>
      <c r="X255" s="2"/>
      <c r="Y255" s="2"/>
      <c r="Z255" s="2"/>
      <c r="AA255" s="2"/>
    </row>
    <row r="256">
      <c r="A256" s="2"/>
      <c r="B256" s="2"/>
      <c r="D256" s="2"/>
      <c r="E256" s="2"/>
      <c r="F256" s="10"/>
      <c r="G256" s="10"/>
      <c r="I256" s="2"/>
      <c r="J256" s="2"/>
      <c r="K256" s="2"/>
      <c r="L256" s="2"/>
      <c r="M256" s="2"/>
      <c r="N256" s="2"/>
      <c r="O256" s="2"/>
      <c r="P256" s="2"/>
      <c r="Q256" s="2"/>
      <c r="R256" s="2"/>
      <c r="S256" s="2"/>
      <c r="T256" s="2"/>
      <c r="U256" s="2"/>
      <c r="V256" s="2"/>
      <c r="W256" s="2"/>
      <c r="X256" s="2"/>
      <c r="Y256" s="2"/>
      <c r="Z256" s="2"/>
      <c r="AA256" s="2"/>
    </row>
    <row r="257">
      <c r="A257" s="2"/>
      <c r="B257" s="2"/>
      <c r="D257" s="2"/>
      <c r="E257" s="2"/>
      <c r="F257" s="10"/>
      <c r="G257" s="10"/>
      <c r="I257" s="2"/>
      <c r="J257" s="2"/>
      <c r="K257" s="2"/>
      <c r="L257" s="2"/>
      <c r="M257" s="2"/>
      <c r="N257" s="2"/>
      <c r="O257" s="2"/>
      <c r="P257" s="2"/>
      <c r="Q257" s="2"/>
      <c r="R257" s="2"/>
      <c r="S257" s="2"/>
      <c r="T257" s="2"/>
      <c r="U257" s="2"/>
      <c r="V257" s="2"/>
      <c r="W257" s="2"/>
      <c r="X257" s="2"/>
      <c r="Y257" s="2"/>
      <c r="Z257" s="2"/>
      <c r="AA257" s="2"/>
    </row>
    <row r="258">
      <c r="A258" s="2"/>
      <c r="B258" s="2"/>
      <c r="D258" s="2"/>
      <c r="E258" s="2"/>
      <c r="F258" s="10"/>
      <c r="G258" s="10"/>
      <c r="I258" s="2"/>
      <c r="J258" s="2"/>
      <c r="K258" s="2"/>
      <c r="L258" s="2"/>
      <c r="M258" s="2"/>
      <c r="N258" s="2"/>
      <c r="O258" s="2"/>
      <c r="P258" s="2"/>
      <c r="Q258" s="2"/>
      <c r="R258" s="2"/>
      <c r="S258" s="2"/>
      <c r="T258" s="2"/>
      <c r="U258" s="2"/>
      <c r="V258" s="2"/>
      <c r="W258" s="2"/>
      <c r="X258" s="2"/>
      <c r="Y258" s="2"/>
      <c r="Z258" s="2"/>
      <c r="AA258" s="2"/>
    </row>
    <row r="259">
      <c r="A259" s="2"/>
      <c r="B259" s="2"/>
      <c r="D259" s="2"/>
      <c r="E259" s="2"/>
      <c r="F259" s="10"/>
      <c r="G259" s="10"/>
      <c r="I259" s="2"/>
      <c r="J259" s="2"/>
      <c r="K259" s="2"/>
      <c r="L259" s="2"/>
      <c r="M259" s="2"/>
      <c r="N259" s="2"/>
      <c r="O259" s="2"/>
      <c r="P259" s="2"/>
      <c r="Q259" s="2"/>
      <c r="R259" s="2"/>
      <c r="S259" s="2"/>
      <c r="T259" s="2"/>
      <c r="U259" s="2"/>
      <c r="V259" s="2"/>
      <c r="W259" s="2"/>
      <c r="X259" s="2"/>
      <c r="Y259" s="2"/>
      <c r="Z259" s="2"/>
      <c r="AA259" s="2"/>
    </row>
    <row r="260">
      <c r="A260" s="2"/>
      <c r="B260" s="2"/>
      <c r="D260" s="2"/>
      <c r="E260" s="2"/>
      <c r="F260" s="10"/>
      <c r="G260" s="10"/>
      <c r="I260" s="2"/>
      <c r="J260" s="2"/>
      <c r="K260" s="2"/>
      <c r="L260" s="2"/>
      <c r="M260" s="2"/>
      <c r="N260" s="2"/>
      <c r="O260" s="2"/>
      <c r="P260" s="2"/>
      <c r="Q260" s="2"/>
      <c r="R260" s="2"/>
      <c r="S260" s="2"/>
      <c r="T260" s="2"/>
      <c r="U260" s="2"/>
      <c r="V260" s="2"/>
      <c r="W260" s="2"/>
      <c r="X260" s="2"/>
      <c r="Y260" s="2"/>
      <c r="Z260" s="2"/>
      <c r="AA260" s="2"/>
    </row>
    <row r="261">
      <c r="A261" s="2"/>
      <c r="B261" s="2"/>
      <c r="D261" s="2"/>
      <c r="E261" s="2"/>
      <c r="F261" s="10"/>
      <c r="G261" s="10"/>
      <c r="I261" s="2"/>
      <c r="J261" s="2"/>
      <c r="K261" s="2"/>
      <c r="L261" s="2"/>
      <c r="M261" s="2"/>
      <c r="N261" s="2"/>
      <c r="O261" s="2"/>
      <c r="P261" s="2"/>
      <c r="Q261" s="2"/>
      <c r="R261" s="2"/>
      <c r="S261" s="2"/>
      <c r="T261" s="2"/>
      <c r="U261" s="2"/>
      <c r="V261" s="2"/>
      <c r="W261" s="2"/>
      <c r="X261" s="2"/>
      <c r="Y261" s="2"/>
      <c r="Z261" s="2"/>
      <c r="AA261" s="2"/>
    </row>
    <row r="262">
      <c r="A262" s="2"/>
      <c r="B262" s="2"/>
      <c r="D262" s="2"/>
      <c r="E262" s="2"/>
      <c r="F262" s="10"/>
      <c r="G262" s="10"/>
      <c r="I262" s="2"/>
      <c r="J262" s="2"/>
      <c r="K262" s="2"/>
      <c r="L262" s="2"/>
      <c r="M262" s="2"/>
      <c r="N262" s="2"/>
      <c r="O262" s="2"/>
      <c r="P262" s="2"/>
      <c r="Q262" s="2"/>
      <c r="R262" s="2"/>
      <c r="S262" s="2"/>
      <c r="T262" s="2"/>
      <c r="U262" s="2"/>
      <c r="V262" s="2"/>
      <c r="W262" s="2"/>
      <c r="X262" s="2"/>
      <c r="Y262" s="2"/>
      <c r="Z262" s="2"/>
      <c r="AA262" s="2"/>
    </row>
    <row r="263">
      <c r="A263" s="2"/>
      <c r="B263" s="2"/>
      <c r="D263" s="2"/>
      <c r="E263" s="2"/>
      <c r="F263" s="10"/>
      <c r="G263" s="10"/>
      <c r="I263" s="2"/>
      <c r="J263" s="2"/>
      <c r="K263" s="2"/>
      <c r="L263" s="2"/>
      <c r="M263" s="2"/>
      <c r="N263" s="2"/>
      <c r="O263" s="2"/>
      <c r="P263" s="2"/>
      <c r="Q263" s="2"/>
      <c r="R263" s="2"/>
      <c r="S263" s="2"/>
      <c r="T263" s="2"/>
      <c r="U263" s="2"/>
      <c r="V263" s="2"/>
      <c r="W263" s="2"/>
      <c r="X263" s="2"/>
      <c r="Y263" s="2"/>
      <c r="Z263" s="2"/>
      <c r="AA263" s="2"/>
    </row>
    <row r="264">
      <c r="A264" s="2"/>
      <c r="B264" s="2"/>
      <c r="D264" s="2"/>
      <c r="E264" s="2"/>
      <c r="F264" s="10"/>
      <c r="G264" s="10"/>
      <c r="I264" s="2"/>
      <c r="J264" s="2"/>
      <c r="K264" s="2"/>
      <c r="L264" s="2"/>
      <c r="M264" s="2"/>
      <c r="N264" s="2"/>
      <c r="O264" s="2"/>
      <c r="P264" s="2"/>
      <c r="Q264" s="2"/>
      <c r="R264" s="2"/>
      <c r="S264" s="2"/>
      <c r="T264" s="2"/>
      <c r="U264" s="2"/>
      <c r="V264" s="2"/>
      <c r="W264" s="2"/>
      <c r="X264" s="2"/>
      <c r="Y264" s="2"/>
      <c r="Z264" s="2"/>
      <c r="AA264" s="2"/>
    </row>
    <row r="265">
      <c r="A265" s="2"/>
      <c r="B265" s="2"/>
      <c r="D265" s="2"/>
      <c r="E265" s="2"/>
      <c r="F265" s="10"/>
      <c r="G265" s="10"/>
      <c r="I265" s="2"/>
      <c r="J265" s="2"/>
      <c r="K265" s="2"/>
      <c r="L265" s="2"/>
      <c r="M265" s="2"/>
      <c r="N265" s="2"/>
      <c r="O265" s="2"/>
      <c r="P265" s="2"/>
      <c r="Q265" s="2"/>
      <c r="R265" s="2"/>
      <c r="S265" s="2"/>
      <c r="T265" s="2"/>
      <c r="U265" s="2"/>
      <c r="V265" s="2"/>
      <c r="W265" s="2"/>
      <c r="X265" s="2"/>
      <c r="Y265" s="2"/>
      <c r="Z265" s="2"/>
      <c r="AA265" s="2"/>
    </row>
    <row r="266">
      <c r="A266" s="2"/>
      <c r="B266" s="2"/>
      <c r="D266" s="2"/>
      <c r="E266" s="2"/>
      <c r="F266" s="10"/>
      <c r="G266" s="10"/>
      <c r="I266" s="2"/>
      <c r="J266" s="2"/>
      <c r="K266" s="2"/>
      <c r="L266" s="2"/>
      <c r="M266" s="2"/>
      <c r="N266" s="2"/>
      <c r="O266" s="2"/>
      <c r="P266" s="2"/>
      <c r="Q266" s="2"/>
      <c r="R266" s="2"/>
      <c r="S266" s="2"/>
      <c r="T266" s="2"/>
      <c r="U266" s="2"/>
      <c r="V266" s="2"/>
      <c r="W266" s="2"/>
      <c r="X266" s="2"/>
      <c r="Y266" s="2"/>
      <c r="Z266" s="2"/>
      <c r="AA266" s="2"/>
    </row>
    <row r="267">
      <c r="A267" s="2"/>
      <c r="B267" s="2"/>
      <c r="D267" s="2"/>
      <c r="E267" s="2"/>
      <c r="F267" s="10"/>
      <c r="G267" s="10"/>
      <c r="I267" s="2"/>
      <c r="J267" s="2"/>
      <c r="K267" s="2"/>
      <c r="L267" s="2"/>
      <c r="M267" s="2"/>
      <c r="N267" s="2"/>
      <c r="O267" s="2"/>
      <c r="P267" s="2"/>
      <c r="Q267" s="2"/>
      <c r="R267" s="2"/>
      <c r="S267" s="2"/>
      <c r="T267" s="2"/>
      <c r="U267" s="2"/>
      <c r="V267" s="2"/>
      <c r="W267" s="2"/>
      <c r="X267" s="2"/>
      <c r="Y267" s="2"/>
      <c r="Z267" s="2"/>
      <c r="AA267" s="2"/>
    </row>
    <row r="268">
      <c r="A268" s="2"/>
      <c r="B268" s="2"/>
      <c r="D268" s="2"/>
      <c r="E268" s="2"/>
      <c r="F268" s="10"/>
      <c r="G268" s="10"/>
      <c r="I268" s="2"/>
      <c r="J268" s="2"/>
      <c r="K268" s="2"/>
      <c r="L268" s="2"/>
      <c r="M268" s="2"/>
      <c r="N268" s="2"/>
      <c r="O268" s="2"/>
      <c r="P268" s="2"/>
      <c r="Q268" s="2"/>
      <c r="R268" s="2"/>
      <c r="S268" s="2"/>
      <c r="T268" s="2"/>
      <c r="U268" s="2"/>
      <c r="V268" s="2"/>
      <c r="W268" s="2"/>
      <c r="X268" s="2"/>
      <c r="Y268" s="2"/>
      <c r="Z268" s="2"/>
      <c r="AA268" s="2"/>
    </row>
    <row r="269">
      <c r="A269" s="2"/>
      <c r="B269" s="2"/>
      <c r="D269" s="2"/>
      <c r="E269" s="2"/>
      <c r="F269" s="10"/>
      <c r="G269" s="10"/>
      <c r="I269" s="2"/>
      <c r="J269" s="2"/>
      <c r="K269" s="2"/>
      <c r="L269" s="2"/>
      <c r="M269" s="2"/>
      <c r="N269" s="2"/>
      <c r="O269" s="2"/>
      <c r="P269" s="2"/>
      <c r="Q269" s="2"/>
      <c r="R269" s="2"/>
      <c r="S269" s="2"/>
      <c r="T269" s="2"/>
      <c r="U269" s="2"/>
      <c r="V269" s="2"/>
      <c r="W269" s="2"/>
      <c r="X269" s="2"/>
      <c r="Y269" s="2"/>
      <c r="Z269" s="2"/>
      <c r="AA269" s="2"/>
    </row>
    <row r="270">
      <c r="A270" s="2"/>
      <c r="B270" s="2"/>
      <c r="D270" s="2"/>
      <c r="E270" s="2"/>
      <c r="F270" s="10"/>
      <c r="G270" s="10"/>
      <c r="I270" s="2"/>
      <c r="J270" s="2"/>
      <c r="K270" s="2"/>
      <c r="L270" s="2"/>
      <c r="M270" s="2"/>
      <c r="N270" s="2"/>
      <c r="O270" s="2"/>
      <c r="P270" s="2"/>
      <c r="Q270" s="2"/>
      <c r="R270" s="2"/>
      <c r="S270" s="2"/>
      <c r="T270" s="2"/>
      <c r="U270" s="2"/>
      <c r="V270" s="2"/>
      <c r="W270" s="2"/>
      <c r="X270" s="2"/>
      <c r="Y270" s="2"/>
      <c r="Z270" s="2"/>
      <c r="AA270" s="2"/>
    </row>
    <row r="271">
      <c r="A271" s="2"/>
      <c r="B271" s="2"/>
      <c r="D271" s="2"/>
      <c r="E271" s="2"/>
      <c r="F271" s="10"/>
      <c r="G271" s="10"/>
      <c r="I271" s="2"/>
      <c r="J271" s="2"/>
      <c r="K271" s="2"/>
      <c r="L271" s="2"/>
      <c r="M271" s="2"/>
      <c r="N271" s="2"/>
      <c r="O271" s="2"/>
      <c r="P271" s="2"/>
      <c r="Q271" s="2"/>
      <c r="R271" s="2"/>
      <c r="S271" s="2"/>
      <c r="T271" s="2"/>
      <c r="U271" s="2"/>
      <c r="V271" s="2"/>
      <c r="W271" s="2"/>
      <c r="X271" s="2"/>
      <c r="Y271" s="2"/>
      <c r="Z271" s="2"/>
      <c r="AA271" s="2"/>
    </row>
    <row r="272">
      <c r="A272" s="2"/>
      <c r="B272" s="2"/>
      <c r="D272" s="2"/>
      <c r="E272" s="2"/>
      <c r="F272" s="10"/>
      <c r="G272" s="10"/>
      <c r="I272" s="2"/>
      <c r="J272" s="2"/>
      <c r="K272" s="2"/>
      <c r="L272" s="2"/>
      <c r="M272" s="2"/>
      <c r="N272" s="2"/>
      <c r="O272" s="2"/>
      <c r="P272" s="2"/>
      <c r="Q272" s="2"/>
      <c r="R272" s="2"/>
      <c r="S272" s="2"/>
      <c r="T272" s="2"/>
      <c r="U272" s="2"/>
      <c r="V272" s="2"/>
      <c r="W272" s="2"/>
      <c r="X272" s="2"/>
      <c r="Y272" s="2"/>
      <c r="Z272" s="2"/>
      <c r="AA272" s="2"/>
    </row>
    <row r="273">
      <c r="A273" s="2"/>
      <c r="B273" s="2"/>
      <c r="D273" s="2"/>
      <c r="E273" s="2"/>
      <c r="F273" s="10"/>
      <c r="G273" s="10"/>
      <c r="I273" s="2"/>
      <c r="J273" s="2"/>
      <c r="K273" s="2"/>
      <c r="L273" s="2"/>
      <c r="M273" s="2"/>
      <c r="N273" s="2"/>
      <c r="O273" s="2"/>
      <c r="P273" s="2"/>
      <c r="Q273" s="2"/>
      <c r="R273" s="2"/>
      <c r="S273" s="2"/>
      <c r="T273" s="2"/>
      <c r="U273" s="2"/>
      <c r="V273" s="2"/>
      <c r="W273" s="2"/>
      <c r="X273" s="2"/>
      <c r="Y273" s="2"/>
      <c r="Z273" s="2"/>
      <c r="AA273" s="2"/>
    </row>
    <row r="274">
      <c r="A274" s="2"/>
      <c r="B274" s="2"/>
      <c r="D274" s="2"/>
      <c r="E274" s="2"/>
      <c r="F274" s="10"/>
      <c r="G274" s="10"/>
      <c r="I274" s="2"/>
      <c r="J274" s="2"/>
      <c r="K274" s="2"/>
      <c r="L274" s="2"/>
      <c r="M274" s="2"/>
      <c r="N274" s="2"/>
      <c r="O274" s="2"/>
      <c r="P274" s="2"/>
      <c r="Q274" s="2"/>
      <c r="R274" s="2"/>
      <c r="S274" s="2"/>
      <c r="T274" s="2"/>
      <c r="U274" s="2"/>
      <c r="V274" s="2"/>
      <c r="W274" s="2"/>
      <c r="X274" s="2"/>
      <c r="Y274" s="2"/>
      <c r="Z274" s="2"/>
      <c r="AA274" s="2"/>
    </row>
    <row r="275">
      <c r="A275" s="2"/>
      <c r="B275" s="2"/>
      <c r="D275" s="2"/>
      <c r="E275" s="2"/>
      <c r="F275" s="10"/>
      <c r="G275" s="10"/>
      <c r="I275" s="2"/>
      <c r="J275" s="2"/>
      <c r="K275" s="2"/>
      <c r="L275" s="2"/>
      <c r="M275" s="2"/>
      <c r="N275" s="2"/>
      <c r="O275" s="2"/>
      <c r="P275" s="2"/>
      <c r="Q275" s="2"/>
      <c r="R275" s="2"/>
      <c r="S275" s="2"/>
      <c r="T275" s="2"/>
      <c r="U275" s="2"/>
      <c r="V275" s="2"/>
      <c r="W275" s="2"/>
      <c r="X275" s="2"/>
      <c r="Y275" s="2"/>
      <c r="Z275" s="2"/>
      <c r="AA275" s="2"/>
    </row>
    <row r="276">
      <c r="A276" s="2"/>
      <c r="B276" s="2"/>
      <c r="D276" s="2"/>
      <c r="E276" s="2"/>
      <c r="F276" s="10"/>
      <c r="G276" s="10"/>
      <c r="I276" s="2"/>
      <c r="J276" s="2"/>
      <c r="K276" s="2"/>
      <c r="L276" s="2"/>
      <c r="M276" s="2"/>
      <c r="N276" s="2"/>
      <c r="O276" s="2"/>
      <c r="P276" s="2"/>
      <c r="Q276" s="2"/>
      <c r="R276" s="2"/>
      <c r="S276" s="2"/>
      <c r="T276" s="2"/>
      <c r="U276" s="2"/>
      <c r="V276" s="2"/>
      <c r="W276" s="2"/>
      <c r="X276" s="2"/>
      <c r="Y276" s="2"/>
      <c r="Z276" s="2"/>
      <c r="AA276" s="2"/>
    </row>
    <row r="277">
      <c r="A277" s="2"/>
      <c r="B277" s="2"/>
      <c r="D277" s="2"/>
      <c r="E277" s="2"/>
      <c r="F277" s="10"/>
      <c r="G277" s="10"/>
      <c r="I277" s="2"/>
      <c r="J277" s="2"/>
      <c r="K277" s="2"/>
      <c r="L277" s="2"/>
      <c r="M277" s="2"/>
      <c r="N277" s="2"/>
      <c r="O277" s="2"/>
      <c r="P277" s="2"/>
      <c r="Q277" s="2"/>
      <c r="R277" s="2"/>
      <c r="S277" s="2"/>
      <c r="T277" s="2"/>
      <c r="U277" s="2"/>
      <c r="V277" s="2"/>
      <c r="W277" s="2"/>
      <c r="X277" s="2"/>
      <c r="Y277" s="2"/>
      <c r="Z277" s="2"/>
      <c r="AA277" s="2"/>
    </row>
    <row r="278">
      <c r="A278" s="2"/>
      <c r="B278" s="2"/>
      <c r="D278" s="2"/>
      <c r="E278" s="2"/>
      <c r="F278" s="10"/>
      <c r="G278" s="10"/>
      <c r="I278" s="2"/>
      <c r="J278" s="2"/>
      <c r="K278" s="2"/>
      <c r="L278" s="2"/>
      <c r="M278" s="2"/>
      <c r="N278" s="2"/>
      <c r="O278" s="2"/>
      <c r="P278" s="2"/>
      <c r="Q278" s="2"/>
      <c r="R278" s="2"/>
      <c r="S278" s="2"/>
      <c r="T278" s="2"/>
      <c r="U278" s="2"/>
      <c r="V278" s="2"/>
      <c r="W278" s="2"/>
      <c r="X278" s="2"/>
      <c r="Y278" s="2"/>
      <c r="Z278" s="2"/>
      <c r="AA278" s="2"/>
    </row>
    <row r="279">
      <c r="A279" s="2"/>
      <c r="B279" s="2"/>
      <c r="D279" s="2"/>
      <c r="E279" s="2"/>
      <c r="F279" s="10"/>
      <c r="G279" s="10"/>
      <c r="I279" s="2"/>
      <c r="J279" s="2"/>
      <c r="K279" s="2"/>
      <c r="L279" s="2"/>
      <c r="M279" s="2"/>
      <c r="N279" s="2"/>
      <c r="O279" s="2"/>
      <c r="P279" s="2"/>
      <c r="Q279" s="2"/>
      <c r="R279" s="2"/>
      <c r="S279" s="2"/>
      <c r="T279" s="2"/>
      <c r="U279" s="2"/>
      <c r="V279" s="2"/>
      <c r="W279" s="2"/>
      <c r="X279" s="2"/>
      <c r="Y279" s="2"/>
      <c r="Z279" s="2"/>
      <c r="AA279" s="2"/>
    </row>
    <row r="280">
      <c r="A280" s="2"/>
      <c r="B280" s="2"/>
      <c r="D280" s="2"/>
      <c r="E280" s="2"/>
      <c r="F280" s="10"/>
      <c r="G280" s="10"/>
      <c r="I280" s="2"/>
      <c r="J280" s="2"/>
      <c r="K280" s="2"/>
      <c r="L280" s="2"/>
      <c r="M280" s="2"/>
      <c r="N280" s="2"/>
      <c r="O280" s="2"/>
      <c r="P280" s="2"/>
      <c r="Q280" s="2"/>
      <c r="R280" s="2"/>
      <c r="S280" s="2"/>
      <c r="T280" s="2"/>
      <c r="U280" s="2"/>
      <c r="V280" s="2"/>
      <c r="W280" s="2"/>
      <c r="X280" s="2"/>
      <c r="Y280" s="2"/>
      <c r="Z280" s="2"/>
      <c r="AA280" s="2"/>
    </row>
    <row r="281">
      <c r="A281" s="2"/>
      <c r="B281" s="2"/>
      <c r="D281" s="2"/>
      <c r="E281" s="2"/>
      <c r="F281" s="10"/>
      <c r="G281" s="10"/>
      <c r="I281" s="2"/>
      <c r="J281" s="2"/>
      <c r="K281" s="2"/>
      <c r="L281" s="2"/>
      <c r="M281" s="2"/>
      <c r="N281" s="2"/>
      <c r="O281" s="2"/>
      <c r="P281" s="2"/>
      <c r="Q281" s="2"/>
      <c r="R281" s="2"/>
      <c r="S281" s="2"/>
      <c r="T281" s="2"/>
      <c r="U281" s="2"/>
      <c r="V281" s="2"/>
      <c r="W281" s="2"/>
      <c r="X281" s="2"/>
      <c r="Y281" s="2"/>
      <c r="Z281" s="2"/>
      <c r="AA281" s="2"/>
    </row>
    <row r="282">
      <c r="A282" s="2"/>
      <c r="B282" s="2"/>
      <c r="D282" s="2"/>
      <c r="E282" s="2"/>
      <c r="F282" s="10"/>
      <c r="G282" s="10"/>
      <c r="I282" s="2"/>
      <c r="J282" s="2"/>
      <c r="K282" s="2"/>
      <c r="L282" s="2"/>
      <c r="M282" s="2"/>
      <c r="N282" s="2"/>
      <c r="O282" s="2"/>
      <c r="P282" s="2"/>
      <c r="Q282" s="2"/>
      <c r="R282" s="2"/>
      <c r="S282" s="2"/>
      <c r="T282" s="2"/>
      <c r="U282" s="2"/>
      <c r="V282" s="2"/>
      <c r="W282" s="2"/>
      <c r="X282" s="2"/>
      <c r="Y282" s="2"/>
      <c r="Z282" s="2"/>
      <c r="AA282" s="2"/>
    </row>
    <row r="283">
      <c r="A283" s="2"/>
      <c r="B283" s="2"/>
      <c r="D283" s="2"/>
      <c r="E283" s="2"/>
      <c r="F283" s="10"/>
      <c r="G283" s="10"/>
      <c r="I283" s="2"/>
      <c r="J283" s="2"/>
      <c r="K283" s="2"/>
      <c r="L283" s="2"/>
      <c r="M283" s="2"/>
      <c r="N283" s="2"/>
      <c r="O283" s="2"/>
      <c r="P283" s="2"/>
      <c r="Q283" s="2"/>
      <c r="R283" s="2"/>
      <c r="S283" s="2"/>
      <c r="T283" s="2"/>
      <c r="U283" s="2"/>
      <c r="V283" s="2"/>
      <c r="W283" s="2"/>
      <c r="X283" s="2"/>
      <c r="Y283" s="2"/>
      <c r="Z283" s="2"/>
      <c r="AA283" s="2"/>
    </row>
    <row r="284">
      <c r="A284" s="2"/>
      <c r="B284" s="2"/>
      <c r="D284" s="2"/>
      <c r="E284" s="2"/>
      <c r="F284" s="10"/>
      <c r="G284" s="10"/>
      <c r="I284" s="2"/>
      <c r="J284" s="2"/>
      <c r="K284" s="2"/>
      <c r="L284" s="2"/>
      <c r="M284" s="2"/>
      <c r="N284" s="2"/>
      <c r="O284" s="2"/>
      <c r="P284" s="2"/>
      <c r="Q284" s="2"/>
      <c r="R284" s="2"/>
      <c r="S284" s="2"/>
      <c r="T284" s="2"/>
      <c r="U284" s="2"/>
      <c r="V284" s="2"/>
      <c r="W284" s="2"/>
      <c r="X284" s="2"/>
      <c r="Y284" s="2"/>
      <c r="Z284" s="2"/>
      <c r="AA284" s="2"/>
    </row>
    <row r="285">
      <c r="A285" s="2"/>
      <c r="B285" s="2"/>
      <c r="D285" s="2"/>
      <c r="E285" s="2"/>
      <c r="F285" s="10"/>
      <c r="G285" s="10"/>
      <c r="I285" s="2"/>
      <c r="J285" s="2"/>
      <c r="K285" s="2"/>
      <c r="L285" s="2"/>
      <c r="M285" s="2"/>
      <c r="N285" s="2"/>
      <c r="O285" s="2"/>
      <c r="P285" s="2"/>
      <c r="Q285" s="2"/>
      <c r="R285" s="2"/>
      <c r="S285" s="2"/>
      <c r="T285" s="2"/>
      <c r="U285" s="2"/>
      <c r="V285" s="2"/>
      <c r="W285" s="2"/>
      <c r="X285" s="2"/>
      <c r="Y285" s="2"/>
      <c r="Z285" s="2"/>
      <c r="AA285" s="2"/>
    </row>
    <row r="286">
      <c r="A286" s="2"/>
      <c r="B286" s="2"/>
      <c r="D286" s="2"/>
      <c r="E286" s="2"/>
      <c r="F286" s="10"/>
      <c r="G286" s="10"/>
      <c r="I286" s="2"/>
      <c r="J286" s="2"/>
      <c r="K286" s="2"/>
      <c r="L286" s="2"/>
      <c r="M286" s="2"/>
      <c r="N286" s="2"/>
      <c r="O286" s="2"/>
      <c r="P286" s="2"/>
      <c r="Q286" s="2"/>
      <c r="R286" s="2"/>
      <c r="S286" s="2"/>
      <c r="T286" s="2"/>
      <c r="U286" s="2"/>
      <c r="V286" s="2"/>
      <c r="W286" s="2"/>
      <c r="X286" s="2"/>
      <c r="Y286" s="2"/>
      <c r="Z286" s="2"/>
      <c r="AA286" s="2"/>
    </row>
    <row r="287">
      <c r="A287" s="2"/>
      <c r="B287" s="2"/>
      <c r="D287" s="2"/>
      <c r="E287" s="2"/>
      <c r="F287" s="10"/>
      <c r="G287" s="10"/>
      <c r="I287" s="2"/>
      <c r="J287" s="2"/>
      <c r="K287" s="2"/>
      <c r="L287" s="2"/>
      <c r="M287" s="2"/>
      <c r="N287" s="2"/>
      <c r="O287" s="2"/>
      <c r="P287" s="2"/>
      <c r="Q287" s="2"/>
      <c r="R287" s="2"/>
      <c r="S287" s="2"/>
      <c r="T287" s="2"/>
      <c r="U287" s="2"/>
      <c r="V287" s="2"/>
      <c r="W287" s="2"/>
      <c r="X287" s="2"/>
      <c r="Y287" s="2"/>
      <c r="Z287" s="2"/>
      <c r="AA287" s="2"/>
    </row>
    <row r="288">
      <c r="A288" s="2"/>
      <c r="B288" s="2"/>
      <c r="D288" s="2"/>
      <c r="E288" s="2"/>
      <c r="F288" s="10"/>
      <c r="G288" s="10"/>
      <c r="I288" s="2"/>
      <c r="J288" s="2"/>
      <c r="K288" s="2"/>
      <c r="L288" s="2"/>
      <c r="M288" s="2"/>
      <c r="N288" s="2"/>
      <c r="O288" s="2"/>
      <c r="P288" s="2"/>
      <c r="Q288" s="2"/>
      <c r="R288" s="2"/>
      <c r="S288" s="2"/>
      <c r="T288" s="2"/>
      <c r="U288" s="2"/>
      <c r="V288" s="2"/>
      <c r="W288" s="2"/>
      <c r="X288" s="2"/>
      <c r="Y288" s="2"/>
      <c r="Z288" s="2"/>
      <c r="AA288" s="2"/>
    </row>
    <row r="289">
      <c r="A289" s="2"/>
      <c r="B289" s="2"/>
      <c r="D289" s="2"/>
      <c r="E289" s="2"/>
      <c r="F289" s="10"/>
      <c r="G289" s="10"/>
      <c r="I289" s="2"/>
      <c r="J289" s="2"/>
      <c r="K289" s="2"/>
      <c r="L289" s="2"/>
      <c r="M289" s="2"/>
      <c r="N289" s="2"/>
      <c r="O289" s="2"/>
      <c r="P289" s="2"/>
      <c r="Q289" s="2"/>
      <c r="R289" s="2"/>
      <c r="S289" s="2"/>
      <c r="T289" s="2"/>
      <c r="U289" s="2"/>
      <c r="V289" s="2"/>
      <c r="W289" s="2"/>
      <c r="X289" s="2"/>
      <c r="Y289" s="2"/>
      <c r="Z289" s="2"/>
      <c r="AA289" s="2"/>
    </row>
    <row r="290">
      <c r="A290" s="2"/>
      <c r="B290" s="2"/>
      <c r="D290" s="2"/>
      <c r="E290" s="2"/>
      <c r="F290" s="10"/>
      <c r="G290" s="10"/>
      <c r="I290" s="2"/>
      <c r="J290" s="2"/>
      <c r="K290" s="2"/>
      <c r="L290" s="2"/>
      <c r="M290" s="2"/>
      <c r="N290" s="2"/>
      <c r="O290" s="2"/>
      <c r="P290" s="2"/>
      <c r="Q290" s="2"/>
      <c r="R290" s="2"/>
      <c r="S290" s="2"/>
      <c r="T290" s="2"/>
      <c r="U290" s="2"/>
      <c r="V290" s="2"/>
      <c r="W290" s="2"/>
      <c r="X290" s="2"/>
      <c r="Y290" s="2"/>
      <c r="Z290" s="2"/>
      <c r="AA290" s="2"/>
    </row>
    <row r="291">
      <c r="A291" s="2"/>
      <c r="B291" s="2"/>
      <c r="D291" s="2"/>
      <c r="E291" s="2"/>
      <c r="F291" s="10"/>
      <c r="G291" s="10"/>
      <c r="I291" s="2"/>
      <c r="J291" s="2"/>
      <c r="K291" s="2"/>
      <c r="L291" s="2"/>
      <c r="M291" s="2"/>
      <c r="N291" s="2"/>
      <c r="O291" s="2"/>
      <c r="P291" s="2"/>
      <c r="Q291" s="2"/>
      <c r="R291" s="2"/>
      <c r="S291" s="2"/>
      <c r="T291" s="2"/>
      <c r="U291" s="2"/>
      <c r="V291" s="2"/>
      <c r="W291" s="2"/>
      <c r="X291" s="2"/>
      <c r="Y291" s="2"/>
      <c r="Z291" s="2"/>
      <c r="AA291" s="2"/>
    </row>
    <row r="292">
      <c r="A292" s="2"/>
      <c r="B292" s="2"/>
      <c r="D292" s="2"/>
      <c r="E292" s="2"/>
      <c r="F292" s="10"/>
      <c r="G292" s="10"/>
      <c r="I292" s="2"/>
      <c r="J292" s="2"/>
      <c r="K292" s="2"/>
      <c r="L292" s="2"/>
      <c r="M292" s="2"/>
      <c r="N292" s="2"/>
      <c r="O292" s="2"/>
      <c r="P292" s="2"/>
      <c r="Q292" s="2"/>
      <c r="R292" s="2"/>
      <c r="S292" s="2"/>
      <c r="T292" s="2"/>
      <c r="U292" s="2"/>
      <c r="V292" s="2"/>
      <c r="W292" s="2"/>
      <c r="X292" s="2"/>
      <c r="Y292" s="2"/>
      <c r="Z292" s="2"/>
      <c r="AA292" s="2"/>
    </row>
    <row r="293">
      <c r="A293" s="2"/>
      <c r="B293" s="2"/>
      <c r="D293" s="2"/>
      <c r="E293" s="2"/>
      <c r="F293" s="10"/>
      <c r="G293" s="10"/>
      <c r="I293" s="2"/>
      <c r="J293" s="2"/>
      <c r="K293" s="2"/>
      <c r="L293" s="2"/>
      <c r="M293" s="2"/>
      <c r="N293" s="2"/>
      <c r="O293" s="2"/>
      <c r="P293" s="2"/>
      <c r="Q293" s="2"/>
      <c r="R293" s="2"/>
      <c r="S293" s="2"/>
      <c r="T293" s="2"/>
      <c r="U293" s="2"/>
      <c r="V293" s="2"/>
      <c r="W293" s="2"/>
      <c r="X293" s="2"/>
      <c r="Y293" s="2"/>
      <c r="Z293" s="2"/>
      <c r="AA293" s="2"/>
    </row>
    <row r="294">
      <c r="A294" s="2"/>
      <c r="B294" s="2"/>
      <c r="D294" s="2"/>
      <c r="E294" s="2"/>
      <c r="F294" s="10"/>
      <c r="G294" s="10"/>
      <c r="I294" s="2"/>
      <c r="J294" s="2"/>
      <c r="K294" s="2"/>
      <c r="L294" s="2"/>
      <c r="M294" s="2"/>
      <c r="N294" s="2"/>
      <c r="O294" s="2"/>
      <c r="P294" s="2"/>
      <c r="Q294" s="2"/>
      <c r="R294" s="2"/>
      <c r="S294" s="2"/>
      <c r="T294" s="2"/>
      <c r="U294" s="2"/>
      <c r="V294" s="2"/>
      <c r="W294" s="2"/>
      <c r="X294" s="2"/>
      <c r="Y294" s="2"/>
      <c r="Z294" s="2"/>
      <c r="AA294" s="2"/>
    </row>
    <row r="295">
      <c r="A295" s="2"/>
      <c r="B295" s="2"/>
      <c r="D295" s="2"/>
      <c r="E295" s="2"/>
      <c r="F295" s="10"/>
      <c r="G295" s="10"/>
      <c r="I295" s="2"/>
      <c r="J295" s="2"/>
      <c r="K295" s="2"/>
      <c r="L295" s="2"/>
      <c r="M295" s="2"/>
      <c r="N295" s="2"/>
      <c r="O295" s="2"/>
      <c r="P295" s="2"/>
      <c r="Q295" s="2"/>
      <c r="R295" s="2"/>
      <c r="S295" s="2"/>
      <c r="T295" s="2"/>
      <c r="U295" s="2"/>
      <c r="V295" s="2"/>
      <c r="W295" s="2"/>
      <c r="X295" s="2"/>
      <c r="Y295" s="2"/>
      <c r="Z295" s="2"/>
      <c r="AA295" s="2"/>
    </row>
    <row r="296">
      <c r="A296" s="2"/>
      <c r="B296" s="2"/>
      <c r="D296" s="2"/>
      <c r="E296" s="2"/>
      <c r="F296" s="10"/>
      <c r="G296" s="10"/>
      <c r="I296" s="2"/>
      <c r="J296" s="2"/>
      <c r="K296" s="2"/>
      <c r="L296" s="2"/>
      <c r="M296" s="2"/>
      <c r="N296" s="2"/>
      <c r="O296" s="2"/>
      <c r="P296" s="2"/>
      <c r="Q296" s="2"/>
      <c r="R296" s="2"/>
      <c r="S296" s="2"/>
      <c r="T296" s="2"/>
      <c r="U296" s="2"/>
      <c r="V296" s="2"/>
      <c r="W296" s="2"/>
      <c r="X296" s="2"/>
      <c r="Y296" s="2"/>
      <c r="Z296" s="2"/>
      <c r="AA296" s="2"/>
    </row>
    <row r="297">
      <c r="A297" s="2"/>
      <c r="B297" s="2"/>
      <c r="D297" s="2"/>
      <c r="E297" s="2"/>
      <c r="F297" s="10"/>
      <c r="G297" s="10"/>
      <c r="I297" s="2"/>
      <c r="J297" s="2"/>
      <c r="K297" s="2"/>
      <c r="L297" s="2"/>
      <c r="M297" s="2"/>
      <c r="N297" s="2"/>
      <c r="O297" s="2"/>
      <c r="P297" s="2"/>
      <c r="Q297" s="2"/>
      <c r="R297" s="2"/>
      <c r="S297" s="2"/>
      <c r="T297" s="2"/>
      <c r="U297" s="2"/>
      <c r="V297" s="2"/>
      <c r="W297" s="2"/>
      <c r="X297" s="2"/>
      <c r="Y297" s="2"/>
      <c r="Z297" s="2"/>
      <c r="AA297" s="2"/>
    </row>
    <row r="298">
      <c r="A298" s="2"/>
      <c r="B298" s="2"/>
      <c r="D298" s="2"/>
      <c r="E298" s="2"/>
      <c r="F298" s="10"/>
      <c r="G298" s="10"/>
      <c r="I298" s="2"/>
      <c r="J298" s="2"/>
      <c r="K298" s="2"/>
      <c r="L298" s="2"/>
      <c r="M298" s="2"/>
      <c r="N298" s="2"/>
      <c r="O298" s="2"/>
      <c r="P298" s="2"/>
      <c r="Q298" s="2"/>
      <c r="R298" s="2"/>
      <c r="S298" s="2"/>
      <c r="T298" s="2"/>
      <c r="U298" s="2"/>
      <c r="V298" s="2"/>
      <c r="W298" s="2"/>
      <c r="X298" s="2"/>
      <c r="Y298" s="2"/>
      <c r="Z298" s="2"/>
      <c r="AA298" s="2"/>
    </row>
    <row r="299">
      <c r="A299" s="2"/>
      <c r="B299" s="2"/>
      <c r="D299" s="2"/>
      <c r="E299" s="2"/>
      <c r="F299" s="10"/>
      <c r="G299" s="10"/>
      <c r="I299" s="2"/>
      <c r="J299" s="2"/>
      <c r="K299" s="2"/>
      <c r="L299" s="2"/>
      <c r="M299" s="2"/>
      <c r="N299" s="2"/>
      <c r="O299" s="2"/>
      <c r="P299" s="2"/>
      <c r="Q299" s="2"/>
      <c r="R299" s="2"/>
      <c r="S299" s="2"/>
      <c r="T299" s="2"/>
      <c r="U299" s="2"/>
      <c r="V299" s="2"/>
      <c r="W299" s="2"/>
      <c r="X299" s="2"/>
      <c r="Y299" s="2"/>
      <c r="Z299" s="2"/>
      <c r="AA299" s="2"/>
    </row>
    <row r="300">
      <c r="A300" s="2"/>
      <c r="B300" s="2"/>
      <c r="D300" s="2"/>
      <c r="E300" s="2"/>
      <c r="F300" s="10"/>
      <c r="G300" s="10"/>
      <c r="I300" s="2"/>
      <c r="J300" s="2"/>
      <c r="K300" s="2"/>
      <c r="L300" s="2"/>
      <c r="M300" s="2"/>
      <c r="N300" s="2"/>
      <c r="O300" s="2"/>
      <c r="P300" s="2"/>
      <c r="Q300" s="2"/>
      <c r="R300" s="2"/>
      <c r="S300" s="2"/>
      <c r="T300" s="2"/>
      <c r="U300" s="2"/>
      <c r="V300" s="2"/>
      <c r="W300" s="2"/>
      <c r="X300" s="2"/>
      <c r="Y300" s="2"/>
      <c r="Z300" s="2"/>
      <c r="AA300" s="2"/>
    </row>
    <row r="301">
      <c r="A301" s="2"/>
      <c r="B301" s="2"/>
      <c r="D301" s="2"/>
      <c r="E301" s="2"/>
      <c r="F301" s="10"/>
      <c r="G301" s="10"/>
      <c r="I301" s="2"/>
      <c r="J301" s="2"/>
      <c r="K301" s="2"/>
      <c r="L301" s="2"/>
      <c r="M301" s="2"/>
      <c r="N301" s="2"/>
      <c r="O301" s="2"/>
      <c r="P301" s="2"/>
      <c r="Q301" s="2"/>
      <c r="R301" s="2"/>
      <c r="S301" s="2"/>
      <c r="T301" s="2"/>
      <c r="U301" s="2"/>
      <c r="V301" s="2"/>
      <c r="W301" s="2"/>
      <c r="X301" s="2"/>
      <c r="Y301" s="2"/>
      <c r="Z301" s="2"/>
      <c r="AA301" s="2"/>
    </row>
    <row r="302">
      <c r="A302" s="2"/>
      <c r="B302" s="2"/>
      <c r="D302" s="2"/>
      <c r="E302" s="2"/>
      <c r="F302" s="10"/>
      <c r="G302" s="10"/>
      <c r="I302" s="2"/>
      <c r="J302" s="2"/>
      <c r="K302" s="2"/>
      <c r="L302" s="2"/>
      <c r="M302" s="2"/>
      <c r="N302" s="2"/>
      <c r="O302" s="2"/>
      <c r="P302" s="2"/>
      <c r="Q302" s="2"/>
      <c r="R302" s="2"/>
      <c r="S302" s="2"/>
      <c r="T302" s="2"/>
      <c r="U302" s="2"/>
      <c r="V302" s="2"/>
      <c r="W302" s="2"/>
      <c r="X302" s="2"/>
      <c r="Y302" s="2"/>
      <c r="Z302" s="2"/>
      <c r="AA302" s="2"/>
    </row>
    <row r="303">
      <c r="A303" s="2"/>
      <c r="B303" s="2"/>
      <c r="D303" s="2"/>
      <c r="E303" s="2"/>
      <c r="F303" s="10"/>
      <c r="G303" s="10"/>
      <c r="I303" s="2"/>
      <c r="J303" s="2"/>
      <c r="K303" s="2"/>
      <c r="L303" s="2"/>
      <c r="M303" s="2"/>
      <c r="N303" s="2"/>
      <c r="O303" s="2"/>
      <c r="P303" s="2"/>
      <c r="Q303" s="2"/>
      <c r="R303" s="2"/>
      <c r="S303" s="2"/>
      <c r="T303" s="2"/>
      <c r="U303" s="2"/>
      <c r="V303" s="2"/>
      <c r="W303" s="2"/>
      <c r="X303" s="2"/>
      <c r="Y303" s="2"/>
      <c r="Z303" s="2"/>
      <c r="AA303" s="2"/>
    </row>
    <row r="304">
      <c r="A304" s="2"/>
      <c r="B304" s="2"/>
      <c r="D304" s="2"/>
      <c r="E304" s="2"/>
      <c r="F304" s="10"/>
      <c r="G304" s="10"/>
      <c r="I304" s="2"/>
      <c r="J304" s="2"/>
      <c r="K304" s="2"/>
      <c r="L304" s="2"/>
      <c r="M304" s="2"/>
      <c r="N304" s="2"/>
      <c r="O304" s="2"/>
      <c r="P304" s="2"/>
      <c r="Q304" s="2"/>
      <c r="R304" s="2"/>
      <c r="S304" s="2"/>
      <c r="T304" s="2"/>
      <c r="U304" s="2"/>
      <c r="V304" s="2"/>
      <c r="W304" s="2"/>
      <c r="X304" s="2"/>
      <c r="Y304" s="2"/>
      <c r="Z304" s="2"/>
      <c r="AA304" s="2"/>
    </row>
    <row r="305">
      <c r="A305" s="2"/>
      <c r="B305" s="2"/>
      <c r="D305" s="2"/>
      <c r="E305" s="2"/>
      <c r="F305" s="10"/>
      <c r="G305" s="10"/>
      <c r="I305" s="2"/>
      <c r="J305" s="2"/>
      <c r="K305" s="2"/>
      <c r="L305" s="2"/>
      <c r="M305" s="2"/>
      <c r="N305" s="2"/>
      <c r="O305" s="2"/>
      <c r="P305" s="2"/>
      <c r="Q305" s="2"/>
      <c r="R305" s="2"/>
      <c r="S305" s="2"/>
      <c r="T305" s="2"/>
      <c r="U305" s="2"/>
      <c r="V305" s="2"/>
      <c r="W305" s="2"/>
      <c r="X305" s="2"/>
      <c r="Y305" s="2"/>
      <c r="Z305" s="2"/>
      <c r="AA305" s="2"/>
    </row>
    <row r="306">
      <c r="A306" s="2"/>
      <c r="B306" s="2"/>
      <c r="D306" s="2"/>
      <c r="E306" s="2"/>
      <c r="F306" s="10"/>
      <c r="G306" s="10"/>
      <c r="I306" s="2"/>
      <c r="J306" s="2"/>
      <c r="K306" s="2"/>
      <c r="L306" s="2"/>
      <c r="M306" s="2"/>
      <c r="N306" s="2"/>
      <c r="O306" s="2"/>
      <c r="P306" s="2"/>
      <c r="Q306" s="2"/>
      <c r="R306" s="2"/>
      <c r="S306" s="2"/>
      <c r="T306" s="2"/>
      <c r="U306" s="2"/>
      <c r="V306" s="2"/>
      <c r="W306" s="2"/>
      <c r="X306" s="2"/>
      <c r="Y306" s="2"/>
      <c r="Z306" s="2"/>
      <c r="AA306" s="2"/>
    </row>
    <row r="307">
      <c r="A307" s="2"/>
      <c r="B307" s="2"/>
      <c r="D307" s="2"/>
      <c r="E307" s="2"/>
      <c r="F307" s="10"/>
      <c r="G307" s="10"/>
      <c r="I307" s="2"/>
      <c r="J307" s="2"/>
      <c r="K307" s="2"/>
      <c r="L307" s="2"/>
      <c r="M307" s="2"/>
      <c r="N307" s="2"/>
      <c r="O307" s="2"/>
      <c r="P307" s="2"/>
      <c r="Q307" s="2"/>
      <c r="R307" s="2"/>
      <c r="S307" s="2"/>
      <c r="T307" s="2"/>
      <c r="U307" s="2"/>
      <c r="V307" s="2"/>
      <c r="W307" s="2"/>
      <c r="X307" s="2"/>
      <c r="Y307" s="2"/>
      <c r="Z307" s="2"/>
      <c r="AA307" s="2"/>
    </row>
    <row r="308">
      <c r="A308" s="2"/>
      <c r="B308" s="2"/>
      <c r="D308" s="2"/>
      <c r="E308" s="2"/>
      <c r="F308" s="10"/>
      <c r="G308" s="10"/>
      <c r="I308" s="2"/>
      <c r="J308" s="2"/>
      <c r="K308" s="2"/>
      <c r="L308" s="2"/>
      <c r="M308" s="2"/>
      <c r="N308" s="2"/>
      <c r="O308" s="2"/>
      <c r="P308" s="2"/>
      <c r="Q308" s="2"/>
      <c r="R308" s="2"/>
      <c r="S308" s="2"/>
      <c r="T308" s="2"/>
      <c r="U308" s="2"/>
      <c r="V308" s="2"/>
      <c r="W308" s="2"/>
      <c r="X308" s="2"/>
      <c r="Y308" s="2"/>
      <c r="Z308" s="2"/>
      <c r="AA308" s="2"/>
    </row>
    <row r="309">
      <c r="A309" s="2"/>
      <c r="B309" s="2"/>
      <c r="D309" s="2"/>
      <c r="E309" s="2"/>
      <c r="F309" s="10"/>
      <c r="G309" s="10"/>
      <c r="I309" s="2"/>
      <c r="J309" s="2"/>
      <c r="K309" s="2"/>
      <c r="L309" s="2"/>
      <c r="M309" s="2"/>
      <c r="N309" s="2"/>
      <c r="O309" s="2"/>
      <c r="P309" s="2"/>
      <c r="Q309" s="2"/>
      <c r="R309" s="2"/>
      <c r="S309" s="2"/>
      <c r="T309" s="2"/>
      <c r="U309" s="2"/>
      <c r="V309" s="2"/>
      <c r="W309" s="2"/>
      <c r="X309" s="2"/>
      <c r="Y309" s="2"/>
      <c r="Z309" s="2"/>
      <c r="AA309" s="2"/>
    </row>
    <row r="310">
      <c r="A310" s="2"/>
      <c r="B310" s="2"/>
      <c r="D310" s="2"/>
      <c r="E310" s="2"/>
      <c r="F310" s="10"/>
      <c r="G310" s="10"/>
      <c r="I310" s="2"/>
      <c r="J310" s="2"/>
      <c r="K310" s="2"/>
      <c r="L310" s="2"/>
      <c r="M310" s="2"/>
      <c r="N310" s="2"/>
      <c r="O310" s="2"/>
      <c r="P310" s="2"/>
      <c r="Q310" s="2"/>
      <c r="R310" s="2"/>
      <c r="S310" s="2"/>
      <c r="T310" s="2"/>
      <c r="U310" s="2"/>
      <c r="V310" s="2"/>
      <c r="W310" s="2"/>
      <c r="X310" s="2"/>
      <c r="Y310" s="2"/>
      <c r="Z310" s="2"/>
      <c r="AA310" s="2"/>
    </row>
    <row r="311">
      <c r="A311" s="2"/>
      <c r="B311" s="2"/>
      <c r="D311" s="2"/>
      <c r="E311" s="2"/>
      <c r="F311" s="10"/>
      <c r="G311" s="10"/>
      <c r="I311" s="2"/>
      <c r="J311" s="2"/>
      <c r="K311" s="2"/>
      <c r="L311" s="2"/>
      <c r="M311" s="2"/>
      <c r="N311" s="2"/>
      <c r="O311" s="2"/>
      <c r="P311" s="2"/>
      <c r="Q311" s="2"/>
      <c r="R311" s="2"/>
      <c r="S311" s="2"/>
      <c r="T311" s="2"/>
      <c r="U311" s="2"/>
      <c r="V311" s="2"/>
      <c r="W311" s="2"/>
      <c r="X311" s="2"/>
      <c r="Y311" s="2"/>
      <c r="Z311" s="2"/>
      <c r="AA311" s="2"/>
    </row>
    <row r="312">
      <c r="A312" s="2"/>
      <c r="B312" s="2"/>
      <c r="D312" s="2"/>
      <c r="E312" s="2"/>
      <c r="F312" s="10"/>
      <c r="G312" s="10"/>
      <c r="I312" s="2"/>
      <c r="J312" s="2"/>
      <c r="K312" s="2"/>
      <c r="L312" s="2"/>
      <c r="M312" s="2"/>
      <c r="N312" s="2"/>
      <c r="O312" s="2"/>
      <c r="P312" s="2"/>
      <c r="Q312" s="2"/>
      <c r="R312" s="2"/>
      <c r="S312" s="2"/>
      <c r="T312" s="2"/>
      <c r="U312" s="2"/>
      <c r="V312" s="2"/>
      <c r="W312" s="2"/>
      <c r="X312" s="2"/>
      <c r="Y312" s="2"/>
      <c r="Z312" s="2"/>
      <c r="AA312" s="2"/>
    </row>
    <row r="313">
      <c r="A313" s="2"/>
      <c r="B313" s="2"/>
      <c r="D313" s="2"/>
      <c r="E313" s="2"/>
      <c r="F313" s="10"/>
      <c r="G313" s="10"/>
      <c r="I313" s="2"/>
      <c r="J313" s="2"/>
      <c r="K313" s="2"/>
      <c r="L313" s="2"/>
      <c r="M313" s="2"/>
      <c r="N313" s="2"/>
      <c r="O313" s="2"/>
      <c r="P313" s="2"/>
      <c r="Q313" s="2"/>
      <c r="R313" s="2"/>
      <c r="S313" s="2"/>
      <c r="T313" s="2"/>
      <c r="U313" s="2"/>
      <c r="V313" s="2"/>
      <c r="W313" s="2"/>
      <c r="X313" s="2"/>
      <c r="Y313" s="2"/>
      <c r="Z313" s="2"/>
      <c r="AA313" s="2"/>
    </row>
    <row r="314">
      <c r="A314" s="2"/>
      <c r="B314" s="2"/>
      <c r="D314" s="2"/>
      <c r="E314" s="2"/>
      <c r="F314" s="10"/>
      <c r="G314" s="10"/>
      <c r="I314" s="2"/>
      <c r="J314" s="2"/>
      <c r="K314" s="2"/>
      <c r="L314" s="2"/>
      <c r="M314" s="2"/>
      <c r="N314" s="2"/>
      <c r="O314" s="2"/>
      <c r="P314" s="2"/>
      <c r="Q314" s="2"/>
      <c r="R314" s="2"/>
      <c r="S314" s="2"/>
      <c r="T314" s="2"/>
      <c r="U314" s="2"/>
      <c r="V314" s="2"/>
      <c r="W314" s="2"/>
      <c r="X314" s="2"/>
      <c r="Y314" s="2"/>
      <c r="Z314" s="2"/>
      <c r="AA314" s="2"/>
    </row>
    <row r="315">
      <c r="A315" s="2"/>
      <c r="B315" s="2"/>
      <c r="D315" s="2"/>
      <c r="E315" s="2"/>
      <c r="F315" s="10"/>
      <c r="G315" s="10"/>
      <c r="I315" s="2"/>
      <c r="J315" s="2"/>
      <c r="K315" s="2"/>
      <c r="L315" s="2"/>
      <c r="M315" s="2"/>
      <c r="N315" s="2"/>
      <c r="O315" s="2"/>
      <c r="P315" s="2"/>
      <c r="Q315" s="2"/>
      <c r="R315" s="2"/>
      <c r="S315" s="2"/>
      <c r="T315" s="2"/>
      <c r="U315" s="2"/>
      <c r="V315" s="2"/>
      <c r="W315" s="2"/>
      <c r="X315" s="2"/>
      <c r="Y315" s="2"/>
      <c r="Z315" s="2"/>
      <c r="AA315" s="2"/>
    </row>
    <row r="316">
      <c r="A316" s="2"/>
      <c r="B316" s="2"/>
      <c r="D316" s="2"/>
      <c r="E316" s="2"/>
      <c r="F316" s="10"/>
      <c r="G316" s="10"/>
      <c r="I316" s="2"/>
      <c r="J316" s="2"/>
      <c r="K316" s="2"/>
      <c r="L316" s="2"/>
      <c r="M316" s="2"/>
      <c r="N316" s="2"/>
      <c r="O316" s="2"/>
      <c r="P316" s="2"/>
      <c r="Q316" s="2"/>
      <c r="R316" s="2"/>
      <c r="S316" s="2"/>
      <c r="T316" s="2"/>
      <c r="U316" s="2"/>
      <c r="V316" s="2"/>
      <c r="W316" s="2"/>
      <c r="X316" s="2"/>
      <c r="Y316" s="2"/>
      <c r="Z316" s="2"/>
      <c r="AA316" s="2"/>
    </row>
    <row r="317">
      <c r="A317" s="2"/>
      <c r="B317" s="2"/>
      <c r="D317" s="2"/>
      <c r="E317" s="2"/>
      <c r="F317" s="10"/>
      <c r="G317" s="10"/>
      <c r="I317" s="2"/>
      <c r="J317" s="2"/>
      <c r="K317" s="2"/>
      <c r="L317" s="2"/>
      <c r="M317" s="2"/>
      <c r="N317" s="2"/>
      <c r="O317" s="2"/>
      <c r="P317" s="2"/>
      <c r="Q317" s="2"/>
      <c r="R317" s="2"/>
      <c r="S317" s="2"/>
      <c r="T317" s="2"/>
      <c r="U317" s="2"/>
      <c r="V317" s="2"/>
      <c r="W317" s="2"/>
      <c r="X317" s="2"/>
      <c r="Y317" s="2"/>
      <c r="Z317" s="2"/>
      <c r="AA317" s="2"/>
    </row>
    <row r="318">
      <c r="A318" s="2"/>
      <c r="B318" s="2"/>
      <c r="D318" s="2"/>
      <c r="E318" s="2"/>
      <c r="F318" s="10"/>
      <c r="G318" s="10"/>
      <c r="I318" s="2"/>
      <c r="J318" s="2"/>
      <c r="K318" s="2"/>
      <c r="L318" s="2"/>
      <c r="M318" s="2"/>
      <c r="N318" s="2"/>
      <c r="O318" s="2"/>
      <c r="P318" s="2"/>
      <c r="Q318" s="2"/>
      <c r="R318" s="2"/>
      <c r="S318" s="2"/>
      <c r="T318" s="2"/>
      <c r="U318" s="2"/>
      <c r="V318" s="2"/>
      <c r="W318" s="2"/>
      <c r="X318" s="2"/>
      <c r="Y318" s="2"/>
      <c r="Z318" s="2"/>
      <c r="AA318" s="2"/>
    </row>
    <row r="319">
      <c r="A319" s="2"/>
      <c r="B319" s="2"/>
      <c r="D319" s="2"/>
      <c r="E319" s="2"/>
      <c r="F319" s="10"/>
      <c r="G319" s="10"/>
      <c r="I319" s="2"/>
      <c r="J319" s="2"/>
      <c r="K319" s="2"/>
      <c r="L319" s="2"/>
      <c r="M319" s="2"/>
      <c r="N319" s="2"/>
      <c r="O319" s="2"/>
      <c r="P319" s="2"/>
      <c r="Q319" s="2"/>
      <c r="R319" s="2"/>
      <c r="S319" s="2"/>
      <c r="T319" s="2"/>
      <c r="U319" s="2"/>
      <c r="V319" s="2"/>
      <c r="W319" s="2"/>
      <c r="X319" s="2"/>
      <c r="Y319" s="2"/>
      <c r="Z319" s="2"/>
      <c r="AA319" s="2"/>
    </row>
    <row r="320">
      <c r="A320" s="2"/>
      <c r="B320" s="2"/>
      <c r="D320" s="2"/>
      <c r="E320" s="2"/>
      <c r="F320" s="10"/>
      <c r="G320" s="10"/>
      <c r="I320" s="2"/>
      <c r="J320" s="2"/>
      <c r="K320" s="2"/>
      <c r="L320" s="2"/>
      <c r="M320" s="2"/>
      <c r="N320" s="2"/>
      <c r="O320" s="2"/>
      <c r="P320" s="2"/>
      <c r="Q320" s="2"/>
      <c r="R320" s="2"/>
      <c r="S320" s="2"/>
      <c r="T320" s="2"/>
      <c r="U320" s="2"/>
      <c r="V320" s="2"/>
      <c r="W320" s="2"/>
      <c r="X320" s="2"/>
      <c r="Y320" s="2"/>
      <c r="Z320" s="2"/>
      <c r="AA320" s="2"/>
    </row>
    <row r="321">
      <c r="A321" s="2"/>
      <c r="B321" s="2"/>
      <c r="D321" s="2"/>
      <c r="E321" s="2"/>
      <c r="F321" s="10"/>
      <c r="G321" s="10"/>
      <c r="I321" s="2"/>
      <c r="J321" s="2"/>
      <c r="K321" s="2"/>
      <c r="L321" s="2"/>
      <c r="M321" s="2"/>
      <c r="N321" s="2"/>
      <c r="O321" s="2"/>
      <c r="P321" s="2"/>
      <c r="Q321" s="2"/>
      <c r="R321" s="2"/>
      <c r="S321" s="2"/>
      <c r="T321" s="2"/>
      <c r="U321" s="2"/>
      <c r="V321" s="2"/>
      <c r="W321" s="2"/>
      <c r="X321" s="2"/>
      <c r="Y321" s="2"/>
      <c r="Z321" s="2"/>
      <c r="AA321" s="2"/>
    </row>
    <row r="322">
      <c r="A322" s="2"/>
      <c r="B322" s="2"/>
      <c r="D322" s="2"/>
      <c r="E322" s="2"/>
      <c r="F322" s="10"/>
      <c r="G322" s="10"/>
      <c r="I322" s="2"/>
      <c r="J322" s="2"/>
      <c r="K322" s="2"/>
      <c r="L322" s="2"/>
      <c r="M322" s="2"/>
      <c r="N322" s="2"/>
      <c r="O322" s="2"/>
      <c r="P322" s="2"/>
      <c r="Q322" s="2"/>
      <c r="R322" s="2"/>
      <c r="S322" s="2"/>
      <c r="T322" s="2"/>
      <c r="U322" s="2"/>
      <c r="V322" s="2"/>
      <c r="W322" s="2"/>
      <c r="X322" s="2"/>
      <c r="Y322" s="2"/>
      <c r="Z322" s="2"/>
      <c r="AA322" s="2"/>
    </row>
    <row r="323">
      <c r="A323" s="2"/>
      <c r="B323" s="2"/>
      <c r="D323" s="2"/>
      <c r="E323" s="2"/>
      <c r="F323" s="10"/>
      <c r="G323" s="10"/>
      <c r="I323" s="2"/>
      <c r="J323" s="2"/>
      <c r="K323" s="2"/>
      <c r="L323" s="2"/>
      <c r="M323" s="2"/>
      <c r="N323" s="2"/>
      <c r="O323" s="2"/>
      <c r="P323" s="2"/>
      <c r="Q323" s="2"/>
      <c r="R323" s="2"/>
      <c r="S323" s="2"/>
      <c r="T323" s="2"/>
      <c r="U323" s="2"/>
      <c r="V323" s="2"/>
      <c r="W323" s="2"/>
      <c r="X323" s="2"/>
      <c r="Y323" s="2"/>
      <c r="Z323" s="2"/>
      <c r="AA323" s="2"/>
    </row>
    <row r="324">
      <c r="A324" s="2"/>
      <c r="B324" s="2"/>
      <c r="D324" s="2"/>
      <c r="E324" s="2"/>
      <c r="F324" s="10"/>
      <c r="G324" s="10"/>
      <c r="I324" s="2"/>
      <c r="J324" s="2"/>
      <c r="K324" s="2"/>
      <c r="L324" s="2"/>
      <c r="M324" s="2"/>
      <c r="N324" s="2"/>
      <c r="O324" s="2"/>
      <c r="P324" s="2"/>
      <c r="Q324" s="2"/>
      <c r="R324" s="2"/>
      <c r="S324" s="2"/>
      <c r="T324" s="2"/>
      <c r="U324" s="2"/>
      <c r="V324" s="2"/>
      <c r="W324" s="2"/>
      <c r="X324" s="2"/>
      <c r="Y324" s="2"/>
      <c r="Z324" s="2"/>
      <c r="AA324" s="2"/>
    </row>
    <row r="325">
      <c r="A325" s="2"/>
      <c r="B325" s="2"/>
      <c r="D325" s="2"/>
      <c r="E325" s="2"/>
      <c r="F325" s="10"/>
      <c r="G325" s="10"/>
      <c r="I325" s="2"/>
      <c r="J325" s="2"/>
      <c r="K325" s="2"/>
      <c r="L325" s="2"/>
      <c r="M325" s="2"/>
      <c r="N325" s="2"/>
      <c r="O325" s="2"/>
      <c r="P325" s="2"/>
      <c r="Q325" s="2"/>
      <c r="R325" s="2"/>
      <c r="S325" s="2"/>
      <c r="T325" s="2"/>
      <c r="U325" s="2"/>
      <c r="V325" s="2"/>
      <c r="W325" s="2"/>
      <c r="X325" s="2"/>
      <c r="Y325" s="2"/>
      <c r="Z325" s="2"/>
      <c r="AA325" s="2"/>
    </row>
    <row r="326">
      <c r="A326" s="2"/>
      <c r="B326" s="2"/>
      <c r="D326" s="2"/>
      <c r="E326" s="2"/>
      <c r="F326" s="10"/>
      <c r="G326" s="10"/>
      <c r="I326" s="2"/>
      <c r="J326" s="2"/>
      <c r="K326" s="2"/>
      <c r="L326" s="2"/>
      <c r="M326" s="2"/>
      <c r="N326" s="2"/>
      <c r="O326" s="2"/>
      <c r="P326" s="2"/>
      <c r="Q326" s="2"/>
      <c r="R326" s="2"/>
      <c r="S326" s="2"/>
      <c r="T326" s="2"/>
      <c r="U326" s="2"/>
      <c r="V326" s="2"/>
      <c r="W326" s="2"/>
      <c r="X326" s="2"/>
      <c r="Y326" s="2"/>
      <c r="Z326" s="2"/>
      <c r="AA326" s="2"/>
    </row>
    <row r="327">
      <c r="A327" s="2"/>
      <c r="B327" s="2"/>
      <c r="D327" s="2"/>
      <c r="E327" s="2"/>
      <c r="F327" s="10"/>
      <c r="G327" s="10"/>
      <c r="I327" s="2"/>
      <c r="J327" s="2"/>
      <c r="K327" s="2"/>
      <c r="L327" s="2"/>
      <c r="M327" s="2"/>
      <c r="N327" s="2"/>
      <c r="O327" s="2"/>
      <c r="P327" s="2"/>
      <c r="Q327" s="2"/>
      <c r="R327" s="2"/>
      <c r="S327" s="2"/>
      <c r="T327" s="2"/>
      <c r="U327" s="2"/>
      <c r="V327" s="2"/>
      <c r="W327" s="2"/>
      <c r="X327" s="2"/>
      <c r="Y327" s="2"/>
      <c r="Z327" s="2"/>
      <c r="AA327" s="2"/>
    </row>
    <row r="328">
      <c r="A328" s="2"/>
      <c r="B328" s="2"/>
      <c r="D328" s="2"/>
      <c r="E328" s="2"/>
      <c r="F328" s="10"/>
      <c r="G328" s="10"/>
      <c r="I328" s="2"/>
      <c r="J328" s="2"/>
      <c r="K328" s="2"/>
      <c r="L328" s="2"/>
      <c r="M328" s="2"/>
      <c r="N328" s="2"/>
      <c r="O328" s="2"/>
      <c r="P328" s="2"/>
      <c r="Q328" s="2"/>
      <c r="R328" s="2"/>
      <c r="S328" s="2"/>
      <c r="T328" s="2"/>
      <c r="U328" s="2"/>
      <c r="V328" s="2"/>
      <c r="W328" s="2"/>
      <c r="X328" s="2"/>
      <c r="Y328" s="2"/>
      <c r="Z328" s="2"/>
      <c r="AA328" s="2"/>
    </row>
    <row r="329">
      <c r="A329" s="2"/>
      <c r="B329" s="2"/>
      <c r="D329" s="2"/>
      <c r="E329" s="2"/>
      <c r="F329" s="10"/>
      <c r="G329" s="10"/>
      <c r="I329" s="2"/>
      <c r="J329" s="2"/>
      <c r="K329" s="2"/>
      <c r="L329" s="2"/>
      <c r="M329" s="2"/>
      <c r="N329" s="2"/>
      <c r="O329" s="2"/>
      <c r="P329" s="2"/>
      <c r="Q329" s="2"/>
      <c r="R329" s="2"/>
      <c r="S329" s="2"/>
      <c r="T329" s="2"/>
      <c r="U329" s="2"/>
      <c r="V329" s="2"/>
      <c r="W329" s="2"/>
      <c r="X329" s="2"/>
      <c r="Y329" s="2"/>
      <c r="Z329" s="2"/>
      <c r="AA329" s="2"/>
    </row>
    <row r="330">
      <c r="A330" s="2"/>
      <c r="B330" s="2"/>
      <c r="D330" s="2"/>
      <c r="E330" s="2"/>
      <c r="F330" s="10"/>
      <c r="G330" s="10"/>
      <c r="I330" s="2"/>
      <c r="J330" s="2"/>
      <c r="K330" s="2"/>
      <c r="L330" s="2"/>
      <c r="M330" s="2"/>
      <c r="N330" s="2"/>
      <c r="O330" s="2"/>
      <c r="P330" s="2"/>
      <c r="Q330" s="2"/>
      <c r="R330" s="2"/>
      <c r="S330" s="2"/>
      <c r="T330" s="2"/>
      <c r="U330" s="2"/>
      <c r="V330" s="2"/>
      <c r="W330" s="2"/>
      <c r="X330" s="2"/>
      <c r="Y330" s="2"/>
      <c r="Z330" s="2"/>
      <c r="AA330" s="2"/>
    </row>
    <row r="331">
      <c r="A331" s="2"/>
      <c r="B331" s="2"/>
      <c r="D331" s="2"/>
      <c r="E331" s="2"/>
      <c r="F331" s="10"/>
      <c r="G331" s="10"/>
      <c r="I331" s="2"/>
      <c r="J331" s="2"/>
      <c r="K331" s="2"/>
      <c r="L331" s="2"/>
      <c r="M331" s="2"/>
      <c r="N331" s="2"/>
      <c r="O331" s="2"/>
      <c r="P331" s="2"/>
      <c r="Q331" s="2"/>
      <c r="R331" s="2"/>
      <c r="S331" s="2"/>
      <c r="T331" s="2"/>
      <c r="U331" s="2"/>
      <c r="V331" s="2"/>
      <c r="W331" s="2"/>
      <c r="X331" s="2"/>
      <c r="Y331" s="2"/>
      <c r="Z331" s="2"/>
      <c r="AA331" s="2"/>
    </row>
    <row r="332">
      <c r="A332" s="2"/>
      <c r="B332" s="2"/>
      <c r="D332" s="2"/>
      <c r="E332" s="2"/>
      <c r="F332" s="10"/>
      <c r="G332" s="10"/>
      <c r="I332" s="2"/>
      <c r="J332" s="2"/>
      <c r="K332" s="2"/>
      <c r="L332" s="2"/>
      <c r="M332" s="2"/>
      <c r="N332" s="2"/>
      <c r="O332" s="2"/>
      <c r="P332" s="2"/>
      <c r="Q332" s="2"/>
      <c r="R332" s="2"/>
      <c r="S332" s="2"/>
      <c r="T332" s="2"/>
      <c r="U332" s="2"/>
      <c r="V332" s="2"/>
      <c r="W332" s="2"/>
      <c r="X332" s="2"/>
      <c r="Y332" s="2"/>
      <c r="Z332" s="2"/>
      <c r="AA332" s="2"/>
    </row>
    <row r="333">
      <c r="A333" s="2"/>
      <c r="B333" s="2"/>
      <c r="D333" s="2"/>
      <c r="E333" s="2"/>
      <c r="F333" s="10"/>
      <c r="G333" s="10"/>
      <c r="I333" s="2"/>
      <c r="J333" s="2"/>
      <c r="K333" s="2"/>
      <c r="L333" s="2"/>
      <c r="M333" s="2"/>
      <c r="N333" s="2"/>
      <c r="O333" s="2"/>
      <c r="P333" s="2"/>
      <c r="Q333" s="2"/>
      <c r="R333" s="2"/>
      <c r="S333" s="2"/>
      <c r="T333" s="2"/>
      <c r="U333" s="2"/>
      <c r="V333" s="2"/>
      <c r="W333" s="2"/>
      <c r="X333" s="2"/>
      <c r="Y333" s="2"/>
      <c r="Z333" s="2"/>
      <c r="AA333" s="2"/>
    </row>
    <row r="334">
      <c r="A334" s="2"/>
      <c r="B334" s="2"/>
      <c r="D334" s="2"/>
      <c r="E334" s="2"/>
      <c r="F334" s="10"/>
      <c r="G334" s="10"/>
      <c r="I334" s="2"/>
      <c r="J334" s="2"/>
      <c r="K334" s="2"/>
      <c r="L334" s="2"/>
      <c r="M334" s="2"/>
      <c r="N334" s="2"/>
      <c r="O334" s="2"/>
      <c r="P334" s="2"/>
      <c r="Q334" s="2"/>
      <c r="R334" s="2"/>
      <c r="S334" s="2"/>
      <c r="T334" s="2"/>
      <c r="U334" s="2"/>
      <c r="V334" s="2"/>
      <c r="W334" s="2"/>
      <c r="X334" s="2"/>
      <c r="Y334" s="2"/>
      <c r="Z334" s="2"/>
      <c r="AA334" s="2"/>
    </row>
    <row r="335">
      <c r="A335" s="2"/>
      <c r="B335" s="2"/>
      <c r="D335" s="2"/>
      <c r="E335" s="2"/>
      <c r="F335" s="10"/>
      <c r="G335" s="10"/>
      <c r="I335" s="2"/>
      <c r="J335" s="2"/>
      <c r="K335" s="2"/>
      <c r="L335" s="2"/>
      <c r="M335" s="2"/>
      <c r="N335" s="2"/>
      <c r="O335" s="2"/>
      <c r="P335" s="2"/>
      <c r="Q335" s="2"/>
      <c r="R335" s="2"/>
      <c r="S335" s="2"/>
      <c r="T335" s="2"/>
      <c r="U335" s="2"/>
      <c r="V335" s="2"/>
      <c r="W335" s="2"/>
      <c r="X335" s="2"/>
      <c r="Y335" s="2"/>
      <c r="Z335" s="2"/>
      <c r="AA335" s="2"/>
    </row>
    <row r="336">
      <c r="A336" s="2"/>
      <c r="B336" s="2"/>
      <c r="D336" s="2"/>
      <c r="E336" s="2"/>
      <c r="F336" s="10"/>
      <c r="G336" s="10"/>
      <c r="I336" s="2"/>
      <c r="J336" s="2"/>
      <c r="K336" s="2"/>
      <c r="L336" s="2"/>
      <c r="M336" s="2"/>
      <c r="N336" s="2"/>
      <c r="O336" s="2"/>
      <c r="P336" s="2"/>
      <c r="Q336" s="2"/>
      <c r="R336" s="2"/>
      <c r="S336" s="2"/>
      <c r="T336" s="2"/>
      <c r="U336" s="2"/>
      <c r="V336" s="2"/>
      <c r="W336" s="2"/>
      <c r="X336" s="2"/>
      <c r="Y336" s="2"/>
      <c r="Z336" s="2"/>
      <c r="AA336" s="2"/>
    </row>
    <row r="337">
      <c r="A337" s="2"/>
      <c r="B337" s="2"/>
      <c r="D337" s="2"/>
      <c r="E337" s="2"/>
      <c r="F337" s="10"/>
      <c r="G337" s="10"/>
      <c r="I337" s="2"/>
      <c r="J337" s="2"/>
      <c r="K337" s="2"/>
      <c r="L337" s="2"/>
      <c r="M337" s="2"/>
      <c r="N337" s="2"/>
      <c r="O337" s="2"/>
      <c r="P337" s="2"/>
      <c r="Q337" s="2"/>
      <c r="R337" s="2"/>
      <c r="S337" s="2"/>
      <c r="T337" s="2"/>
      <c r="U337" s="2"/>
      <c r="V337" s="2"/>
      <c r="W337" s="2"/>
      <c r="X337" s="2"/>
      <c r="Y337" s="2"/>
      <c r="Z337" s="2"/>
      <c r="AA337" s="2"/>
    </row>
    <row r="338">
      <c r="A338" s="2"/>
      <c r="B338" s="2"/>
      <c r="D338" s="2"/>
      <c r="E338" s="2"/>
      <c r="F338" s="10"/>
      <c r="G338" s="10"/>
      <c r="I338" s="2"/>
      <c r="J338" s="2"/>
      <c r="K338" s="2"/>
      <c r="L338" s="2"/>
      <c r="M338" s="2"/>
      <c r="N338" s="2"/>
      <c r="O338" s="2"/>
      <c r="P338" s="2"/>
      <c r="Q338" s="2"/>
      <c r="R338" s="2"/>
      <c r="S338" s="2"/>
      <c r="T338" s="2"/>
      <c r="U338" s="2"/>
      <c r="V338" s="2"/>
      <c r="W338" s="2"/>
      <c r="X338" s="2"/>
      <c r="Y338" s="2"/>
      <c r="Z338" s="2"/>
      <c r="AA338" s="2"/>
    </row>
    <row r="339">
      <c r="A339" s="2"/>
      <c r="B339" s="2"/>
      <c r="D339" s="2"/>
      <c r="E339" s="2"/>
      <c r="F339" s="10"/>
      <c r="G339" s="10"/>
      <c r="I339" s="2"/>
      <c r="J339" s="2"/>
      <c r="K339" s="2"/>
      <c r="L339" s="2"/>
      <c r="M339" s="2"/>
      <c r="N339" s="2"/>
      <c r="O339" s="2"/>
      <c r="P339" s="2"/>
      <c r="Q339" s="2"/>
      <c r="R339" s="2"/>
      <c r="S339" s="2"/>
      <c r="T339" s="2"/>
      <c r="U339" s="2"/>
      <c r="V339" s="2"/>
      <c r="W339" s="2"/>
      <c r="X339" s="2"/>
      <c r="Y339" s="2"/>
      <c r="Z339" s="2"/>
      <c r="AA339" s="2"/>
    </row>
    <row r="340">
      <c r="A340" s="2"/>
      <c r="B340" s="2"/>
      <c r="D340" s="2"/>
      <c r="E340" s="2"/>
      <c r="F340" s="10"/>
      <c r="G340" s="10"/>
      <c r="I340" s="2"/>
      <c r="J340" s="2"/>
      <c r="K340" s="2"/>
      <c r="L340" s="2"/>
      <c r="M340" s="2"/>
      <c r="N340" s="2"/>
      <c r="O340" s="2"/>
      <c r="P340" s="2"/>
      <c r="Q340" s="2"/>
      <c r="R340" s="2"/>
      <c r="S340" s="2"/>
      <c r="T340" s="2"/>
      <c r="U340" s="2"/>
      <c r="V340" s="2"/>
      <c r="W340" s="2"/>
      <c r="X340" s="2"/>
      <c r="Y340" s="2"/>
      <c r="Z340" s="2"/>
      <c r="AA340" s="2"/>
    </row>
    <row r="341">
      <c r="A341" s="2"/>
      <c r="B341" s="2"/>
      <c r="D341" s="2"/>
      <c r="E341" s="2"/>
      <c r="F341" s="10"/>
      <c r="G341" s="10"/>
      <c r="I341" s="2"/>
      <c r="J341" s="2"/>
      <c r="K341" s="2"/>
      <c r="L341" s="2"/>
      <c r="M341" s="2"/>
      <c r="N341" s="2"/>
      <c r="O341" s="2"/>
      <c r="P341" s="2"/>
      <c r="Q341" s="2"/>
      <c r="R341" s="2"/>
      <c r="S341" s="2"/>
      <c r="T341" s="2"/>
      <c r="U341" s="2"/>
      <c r="V341" s="2"/>
      <c r="W341" s="2"/>
      <c r="X341" s="2"/>
      <c r="Y341" s="2"/>
      <c r="Z341" s="2"/>
      <c r="AA341" s="2"/>
    </row>
    <row r="342">
      <c r="A342" s="2"/>
      <c r="B342" s="2"/>
      <c r="D342" s="2"/>
      <c r="E342" s="2"/>
      <c r="F342" s="10"/>
      <c r="G342" s="10"/>
      <c r="I342" s="2"/>
      <c r="J342" s="2"/>
      <c r="K342" s="2"/>
      <c r="L342" s="2"/>
      <c r="M342" s="2"/>
      <c r="N342" s="2"/>
      <c r="O342" s="2"/>
      <c r="P342" s="2"/>
      <c r="Q342" s="2"/>
      <c r="R342" s="2"/>
      <c r="S342" s="2"/>
      <c r="T342" s="2"/>
      <c r="U342" s="2"/>
      <c r="V342" s="2"/>
      <c r="W342" s="2"/>
      <c r="X342" s="2"/>
      <c r="Y342" s="2"/>
      <c r="Z342" s="2"/>
      <c r="AA342" s="2"/>
    </row>
    <row r="343">
      <c r="A343" s="2"/>
      <c r="B343" s="2"/>
      <c r="D343" s="2"/>
      <c r="E343" s="2"/>
      <c r="F343" s="10"/>
      <c r="G343" s="10"/>
      <c r="I343" s="2"/>
      <c r="J343" s="2"/>
      <c r="K343" s="2"/>
      <c r="L343" s="2"/>
      <c r="M343" s="2"/>
      <c r="N343" s="2"/>
      <c r="O343" s="2"/>
      <c r="P343" s="2"/>
      <c r="Q343" s="2"/>
      <c r="R343" s="2"/>
      <c r="S343" s="2"/>
      <c r="T343" s="2"/>
      <c r="U343" s="2"/>
      <c r="V343" s="2"/>
      <c r="W343" s="2"/>
      <c r="X343" s="2"/>
      <c r="Y343" s="2"/>
      <c r="Z343" s="2"/>
      <c r="AA343" s="2"/>
    </row>
    <row r="344">
      <c r="A344" s="2"/>
      <c r="B344" s="2"/>
      <c r="D344" s="2"/>
      <c r="E344" s="2"/>
      <c r="F344" s="10"/>
      <c r="G344" s="10"/>
      <c r="I344" s="2"/>
      <c r="J344" s="2"/>
      <c r="K344" s="2"/>
      <c r="L344" s="2"/>
      <c r="M344" s="2"/>
      <c r="N344" s="2"/>
      <c r="O344" s="2"/>
      <c r="P344" s="2"/>
      <c r="Q344" s="2"/>
      <c r="R344" s="2"/>
      <c r="S344" s="2"/>
      <c r="T344" s="2"/>
      <c r="U344" s="2"/>
      <c r="V344" s="2"/>
      <c r="W344" s="2"/>
      <c r="X344" s="2"/>
      <c r="Y344" s="2"/>
      <c r="Z344" s="2"/>
      <c r="AA344" s="2"/>
    </row>
    <row r="345">
      <c r="A345" s="2"/>
      <c r="B345" s="2"/>
      <c r="D345" s="2"/>
      <c r="E345" s="2"/>
      <c r="F345" s="10"/>
      <c r="G345" s="10"/>
      <c r="I345" s="2"/>
      <c r="J345" s="2"/>
      <c r="K345" s="2"/>
      <c r="L345" s="2"/>
      <c r="M345" s="2"/>
      <c r="N345" s="2"/>
      <c r="O345" s="2"/>
      <c r="P345" s="2"/>
      <c r="Q345" s="2"/>
      <c r="R345" s="2"/>
      <c r="S345" s="2"/>
      <c r="T345" s="2"/>
      <c r="U345" s="2"/>
      <c r="V345" s="2"/>
      <c r="W345" s="2"/>
      <c r="X345" s="2"/>
      <c r="Y345" s="2"/>
      <c r="Z345" s="2"/>
      <c r="AA345" s="2"/>
    </row>
    <row r="346">
      <c r="A346" s="2"/>
      <c r="B346" s="2"/>
      <c r="D346" s="2"/>
      <c r="E346" s="2"/>
      <c r="F346" s="10"/>
      <c r="G346" s="10"/>
      <c r="I346" s="2"/>
      <c r="J346" s="2"/>
      <c r="K346" s="2"/>
      <c r="L346" s="2"/>
      <c r="M346" s="2"/>
      <c r="N346" s="2"/>
      <c r="O346" s="2"/>
      <c r="P346" s="2"/>
      <c r="Q346" s="2"/>
      <c r="R346" s="2"/>
      <c r="S346" s="2"/>
      <c r="T346" s="2"/>
      <c r="U346" s="2"/>
      <c r="V346" s="2"/>
      <c r="W346" s="2"/>
      <c r="X346" s="2"/>
      <c r="Y346" s="2"/>
      <c r="Z346" s="2"/>
      <c r="AA346" s="2"/>
    </row>
    <row r="347">
      <c r="A347" s="2"/>
      <c r="B347" s="2"/>
      <c r="D347" s="2"/>
      <c r="E347" s="2"/>
      <c r="F347" s="10"/>
      <c r="G347" s="10"/>
      <c r="I347" s="2"/>
      <c r="J347" s="2"/>
      <c r="K347" s="2"/>
      <c r="L347" s="2"/>
      <c r="M347" s="2"/>
      <c r="N347" s="2"/>
      <c r="O347" s="2"/>
      <c r="P347" s="2"/>
      <c r="Q347" s="2"/>
      <c r="R347" s="2"/>
      <c r="S347" s="2"/>
      <c r="T347" s="2"/>
      <c r="U347" s="2"/>
      <c r="V347" s="2"/>
      <c r="W347" s="2"/>
      <c r="X347" s="2"/>
      <c r="Y347" s="2"/>
      <c r="Z347" s="2"/>
      <c r="AA347" s="2"/>
    </row>
    <row r="348">
      <c r="A348" s="2"/>
      <c r="B348" s="2"/>
      <c r="D348" s="2"/>
      <c r="E348" s="2"/>
      <c r="F348" s="10"/>
      <c r="G348" s="10"/>
      <c r="I348" s="2"/>
      <c r="J348" s="2"/>
      <c r="K348" s="2"/>
      <c r="L348" s="2"/>
      <c r="M348" s="2"/>
      <c r="N348" s="2"/>
      <c r="O348" s="2"/>
      <c r="P348" s="2"/>
      <c r="Q348" s="2"/>
      <c r="R348" s="2"/>
      <c r="S348" s="2"/>
      <c r="T348" s="2"/>
      <c r="U348" s="2"/>
      <c r="V348" s="2"/>
      <c r="W348" s="2"/>
      <c r="X348" s="2"/>
      <c r="Y348" s="2"/>
      <c r="Z348" s="2"/>
      <c r="AA348" s="2"/>
    </row>
    <row r="349">
      <c r="A349" s="2"/>
      <c r="B349" s="2"/>
      <c r="D349" s="2"/>
      <c r="E349" s="2"/>
      <c r="F349" s="10"/>
      <c r="G349" s="10"/>
      <c r="I349" s="2"/>
      <c r="J349" s="2"/>
      <c r="K349" s="2"/>
      <c r="L349" s="2"/>
      <c r="M349" s="2"/>
      <c r="N349" s="2"/>
      <c r="O349" s="2"/>
      <c r="P349" s="2"/>
      <c r="Q349" s="2"/>
      <c r="R349" s="2"/>
      <c r="S349" s="2"/>
      <c r="T349" s="2"/>
      <c r="U349" s="2"/>
      <c r="V349" s="2"/>
      <c r="W349" s="2"/>
      <c r="X349" s="2"/>
      <c r="Y349" s="2"/>
      <c r="Z349" s="2"/>
      <c r="AA349" s="2"/>
    </row>
    <row r="350">
      <c r="A350" s="2"/>
      <c r="B350" s="2"/>
      <c r="D350" s="2"/>
      <c r="E350" s="2"/>
      <c r="F350" s="10"/>
      <c r="G350" s="10"/>
      <c r="I350" s="2"/>
      <c r="J350" s="2"/>
      <c r="K350" s="2"/>
      <c r="L350" s="2"/>
      <c r="M350" s="2"/>
      <c r="N350" s="2"/>
      <c r="O350" s="2"/>
      <c r="P350" s="2"/>
      <c r="Q350" s="2"/>
      <c r="R350" s="2"/>
      <c r="S350" s="2"/>
      <c r="T350" s="2"/>
      <c r="U350" s="2"/>
      <c r="V350" s="2"/>
      <c r="W350" s="2"/>
      <c r="X350" s="2"/>
      <c r="Y350" s="2"/>
      <c r="Z350" s="2"/>
      <c r="AA350" s="2"/>
    </row>
    <row r="351">
      <c r="A351" s="2"/>
      <c r="B351" s="2"/>
      <c r="D351" s="2"/>
      <c r="E351" s="2"/>
      <c r="F351" s="10"/>
      <c r="G351" s="10"/>
      <c r="I351" s="2"/>
      <c r="J351" s="2"/>
      <c r="K351" s="2"/>
      <c r="L351" s="2"/>
      <c r="M351" s="2"/>
      <c r="N351" s="2"/>
      <c r="O351" s="2"/>
      <c r="P351" s="2"/>
      <c r="Q351" s="2"/>
      <c r="R351" s="2"/>
      <c r="S351" s="2"/>
      <c r="T351" s="2"/>
      <c r="U351" s="2"/>
      <c r="V351" s="2"/>
      <c r="W351" s="2"/>
      <c r="X351" s="2"/>
      <c r="Y351" s="2"/>
      <c r="Z351" s="2"/>
      <c r="AA351" s="2"/>
    </row>
    <row r="352">
      <c r="A352" s="2"/>
      <c r="B352" s="2"/>
      <c r="D352" s="2"/>
      <c r="E352" s="2"/>
      <c r="F352" s="10"/>
      <c r="G352" s="10"/>
      <c r="I352" s="2"/>
      <c r="J352" s="2"/>
      <c r="K352" s="2"/>
      <c r="L352" s="2"/>
      <c r="M352" s="2"/>
      <c r="N352" s="2"/>
      <c r="O352" s="2"/>
      <c r="P352" s="2"/>
      <c r="Q352" s="2"/>
      <c r="R352" s="2"/>
      <c r="S352" s="2"/>
      <c r="T352" s="2"/>
      <c r="U352" s="2"/>
      <c r="V352" s="2"/>
      <c r="W352" s="2"/>
      <c r="X352" s="2"/>
      <c r="Y352" s="2"/>
      <c r="Z352" s="2"/>
      <c r="AA352" s="2"/>
    </row>
    <row r="353">
      <c r="A353" s="2"/>
      <c r="B353" s="2"/>
      <c r="D353" s="2"/>
      <c r="E353" s="2"/>
      <c r="F353" s="10"/>
      <c r="G353" s="10"/>
      <c r="I353" s="2"/>
      <c r="J353" s="2"/>
      <c r="K353" s="2"/>
      <c r="L353" s="2"/>
      <c r="M353" s="2"/>
      <c r="N353" s="2"/>
      <c r="O353" s="2"/>
      <c r="P353" s="2"/>
      <c r="Q353" s="2"/>
      <c r="R353" s="2"/>
      <c r="S353" s="2"/>
      <c r="T353" s="2"/>
      <c r="U353" s="2"/>
      <c r="V353" s="2"/>
      <c r="W353" s="2"/>
      <c r="X353" s="2"/>
      <c r="Y353" s="2"/>
      <c r="Z353" s="2"/>
      <c r="AA353" s="2"/>
    </row>
    <row r="354">
      <c r="A354" s="2"/>
      <c r="B354" s="2"/>
      <c r="D354" s="2"/>
      <c r="E354" s="2"/>
      <c r="F354" s="10"/>
      <c r="G354" s="10"/>
      <c r="I354" s="2"/>
      <c r="J354" s="2"/>
      <c r="K354" s="2"/>
      <c r="L354" s="2"/>
      <c r="M354" s="2"/>
      <c r="N354" s="2"/>
      <c r="O354" s="2"/>
      <c r="P354" s="2"/>
      <c r="Q354" s="2"/>
      <c r="R354" s="2"/>
      <c r="S354" s="2"/>
      <c r="T354" s="2"/>
      <c r="U354" s="2"/>
      <c r="V354" s="2"/>
      <c r="W354" s="2"/>
      <c r="X354" s="2"/>
      <c r="Y354" s="2"/>
      <c r="Z354" s="2"/>
      <c r="AA354" s="2"/>
    </row>
    <row r="355">
      <c r="A355" s="2"/>
      <c r="B355" s="2"/>
      <c r="D355" s="2"/>
      <c r="E355" s="2"/>
      <c r="F355" s="10"/>
      <c r="G355" s="10"/>
      <c r="I355" s="2"/>
      <c r="J355" s="2"/>
      <c r="K355" s="2"/>
      <c r="L355" s="2"/>
      <c r="M355" s="2"/>
      <c r="N355" s="2"/>
      <c r="O355" s="2"/>
      <c r="P355" s="2"/>
      <c r="Q355" s="2"/>
      <c r="R355" s="2"/>
      <c r="S355" s="2"/>
      <c r="T355" s="2"/>
      <c r="U355" s="2"/>
      <c r="V355" s="2"/>
      <c r="W355" s="2"/>
      <c r="X355" s="2"/>
      <c r="Y355" s="2"/>
      <c r="Z355" s="2"/>
      <c r="AA355" s="2"/>
    </row>
    <row r="356">
      <c r="A356" s="2"/>
      <c r="B356" s="2"/>
      <c r="D356" s="2"/>
      <c r="E356" s="2"/>
      <c r="F356" s="10"/>
      <c r="G356" s="10"/>
      <c r="I356" s="2"/>
      <c r="J356" s="2"/>
      <c r="K356" s="2"/>
      <c r="L356" s="2"/>
      <c r="M356" s="2"/>
      <c r="N356" s="2"/>
      <c r="O356" s="2"/>
      <c r="P356" s="2"/>
      <c r="Q356" s="2"/>
      <c r="R356" s="2"/>
      <c r="S356" s="2"/>
      <c r="T356" s="2"/>
      <c r="U356" s="2"/>
      <c r="V356" s="2"/>
      <c r="W356" s="2"/>
      <c r="X356" s="2"/>
      <c r="Y356" s="2"/>
      <c r="Z356" s="2"/>
      <c r="AA356" s="2"/>
    </row>
    <row r="357">
      <c r="A357" s="2"/>
      <c r="B357" s="2"/>
      <c r="D357" s="2"/>
      <c r="E357" s="2"/>
      <c r="F357" s="10"/>
      <c r="G357" s="10"/>
      <c r="I357" s="2"/>
      <c r="J357" s="2"/>
      <c r="K357" s="2"/>
      <c r="L357" s="2"/>
      <c r="M357" s="2"/>
      <c r="N357" s="2"/>
      <c r="O357" s="2"/>
      <c r="P357" s="2"/>
      <c r="Q357" s="2"/>
      <c r="R357" s="2"/>
      <c r="S357" s="2"/>
      <c r="T357" s="2"/>
      <c r="U357" s="2"/>
      <c r="V357" s="2"/>
      <c r="W357" s="2"/>
      <c r="X357" s="2"/>
      <c r="Y357" s="2"/>
      <c r="Z357" s="2"/>
      <c r="AA357" s="2"/>
    </row>
    <row r="358">
      <c r="A358" s="2"/>
      <c r="B358" s="2"/>
      <c r="D358" s="2"/>
      <c r="E358" s="2"/>
      <c r="F358" s="10"/>
      <c r="G358" s="10"/>
      <c r="I358" s="2"/>
      <c r="J358" s="2"/>
      <c r="K358" s="2"/>
      <c r="L358" s="2"/>
      <c r="M358" s="2"/>
      <c r="N358" s="2"/>
      <c r="O358" s="2"/>
      <c r="P358" s="2"/>
      <c r="Q358" s="2"/>
      <c r="R358" s="2"/>
      <c r="S358" s="2"/>
      <c r="T358" s="2"/>
      <c r="U358" s="2"/>
      <c r="V358" s="2"/>
      <c r="W358" s="2"/>
      <c r="X358" s="2"/>
      <c r="Y358" s="2"/>
      <c r="Z358" s="2"/>
      <c r="AA358" s="2"/>
    </row>
    <row r="359">
      <c r="A359" s="2"/>
      <c r="B359" s="2"/>
      <c r="D359" s="2"/>
      <c r="E359" s="2"/>
      <c r="F359" s="10"/>
      <c r="G359" s="10"/>
      <c r="I359" s="2"/>
      <c r="J359" s="2"/>
      <c r="K359" s="2"/>
      <c r="L359" s="2"/>
      <c r="M359" s="2"/>
      <c r="N359" s="2"/>
      <c r="O359" s="2"/>
      <c r="P359" s="2"/>
      <c r="Q359" s="2"/>
      <c r="R359" s="2"/>
      <c r="S359" s="2"/>
      <c r="T359" s="2"/>
      <c r="U359" s="2"/>
      <c r="V359" s="2"/>
      <c r="W359" s="2"/>
      <c r="X359" s="2"/>
      <c r="Y359" s="2"/>
      <c r="Z359" s="2"/>
      <c r="AA359" s="2"/>
    </row>
    <row r="360">
      <c r="A360" s="2"/>
      <c r="B360" s="2"/>
      <c r="D360" s="2"/>
      <c r="E360" s="2"/>
      <c r="F360" s="10"/>
      <c r="G360" s="10"/>
      <c r="I360" s="2"/>
      <c r="J360" s="2"/>
      <c r="K360" s="2"/>
      <c r="L360" s="2"/>
      <c r="M360" s="2"/>
      <c r="N360" s="2"/>
      <c r="O360" s="2"/>
      <c r="P360" s="2"/>
      <c r="Q360" s="2"/>
      <c r="R360" s="2"/>
      <c r="S360" s="2"/>
      <c r="T360" s="2"/>
      <c r="U360" s="2"/>
      <c r="V360" s="2"/>
      <c r="W360" s="2"/>
      <c r="X360" s="2"/>
      <c r="Y360" s="2"/>
      <c r="Z360" s="2"/>
      <c r="AA360" s="2"/>
    </row>
    <row r="361">
      <c r="A361" s="2"/>
      <c r="B361" s="2"/>
      <c r="D361" s="2"/>
      <c r="E361" s="2"/>
      <c r="F361" s="10"/>
      <c r="G361" s="10"/>
      <c r="I361" s="2"/>
      <c r="J361" s="2"/>
      <c r="K361" s="2"/>
      <c r="L361" s="2"/>
      <c r="M361" s="2"/>
      <c r="N361" s="2"/>
      <c r="O361" s="2"/>
      <c r="P361" s="2"/>
      <c r="Q361" s="2"/>
      <c r="R361" s="2"/>
      <c r="S361" s="2"/>
      <c r="T361" s="2"/>
      <c r="U361" s="2"/>
      <c r="V361" s="2"/>
      <c r="W361" s="2"/>
      <c r="X361" s="2"/>
      <c r="Y361" s="2"/>
      <c r="Z361" s="2"/>
      <c r="AA361" s="2"/>
    </row>
    <row r="362">
      <c r="A362" s="2"/>
      <c r="B362" s="2"/>
      <c r="D362" s="2"/>
      <c r="E362" s="2"/>
      <c r="F362" s="10"/>
      <c r="G362" s="10"/>
      <c r="I362" s="2"/>
      <c r="J362" s="2"/>
      <c r="K362" s="2"/>
      <c r="L362" s="2"/>
      <c r="M362" s="2"/>
      <c r="N362" s="2"/>
      <c r="O362" s="2"/>
      <c r="P362" s="2"/>
      <c r="Q362" s="2"/>
      <c r="R362" s="2"/>
      <c r="S362" s="2"/>
      <c r="T362" s="2"/>
      <c r="U362" s="2"/>
      <c r="V362" s="2"/>
      <c r="W362" s="2"/>
      <c r="X362" s="2"/>
      <c r="Y362" s="2"/>
      <c r="Z362" s="2"/>
      <c r="AA362" s="2"/>
    </row>
    <row r="363">
      <c r="A363" s="2"/>
      <c r="B363" s="2"/>
      <c r="D363" s="2"/>
      <c r="E363" s="2"/>
      <c r="F363" s="10"/>
      <c r="G363" s="10"/>
      <c r="I363" s="2"/>
      <c r="J363" s="2"/>
      <c r="K363" s="2"/>
      <c r="L363" s="2"/>
      <c r="M363" s="2"/>
      <c r="N363" s="2"/>
      <c r="O363" s="2"/>
      <c r="P363" s="2"/>
      <c r="Q363" s="2"/>
      <c r="R363" s="2"/>
      <c r="S363" s="2"/>
      <c r="T363" s="2"/>
      <c r="U363" s="2"/>
      <c r="V363" s="2"/>
      <c r="W363" s="2"/>
      <c r="X363" s="2"/>
      <c r="Y363" s="2"/>
      <c r="Z363" s="2"/>
      <c r="AA363" s="2"/>
    </row>
    <row r="364">
      <c r="A364" s="2"/>
      <c r="B364" s="2"/>
      <c r="D364" s="2"/>
      <c r="E364" s="2"/>
      <c r="F364" s="10"/>
      <c r="G364" s="10"/>
      <c r="I364" s="2"/>
      <c r="J364" s="2"/>
      <c r="K364" s="2"/>
      <c r="L364" s="2"/>
      <c r="M364" s="2"/>
      <c r="N364" s="2"/>
      <c r="O364" s="2"/>
      <c r="P364" s="2"/>
      <c r="Q364" s="2"/>
      <c r="R364" s="2"/>
      <c r="S364" s="2"/>
      <c r="T364" s="2"/>
      <c r="U364" s="2"/>
      <c r="V364" s="2"/>
      <c r="W364" s="2"/>
      <c r="X364" s="2"/>
      <c r="Y364" s="2"/>
      <c r="Z364" s="2"/>
      <c r="AA364" s="2"/>
    </row>
    <row r="365">
      <c r="A365" s="2"/>
      <c r="B365" s="2"/>
      <c r="D365" s="2"/>
      <c r="E365" s="2"/>
      <c r="F365" s="10"/>
      <c r="G365" s="10"/>
      <c r="I365" s="2"/>
      <c r="J365" s="2"/>
      <c r="K365" s="2"/>
      <c r="L365" s="2"/>
      <c r="M365" s="2"/>
      <c r="N365" s="2"/>
      <c r="O365" s="2"/>
      <c r="P365" s="2"/>
      <c r="Q365" s="2"/>
      <c r="R365" s="2"/>
      <c r="S365" s="2"/>
      <c r="T365" s="2"/>
      <c r="U365" s="2"/>
      <c r="V365" s="2"/>
      <c r="W365" s="2"/>
      <c r="X365" s="2"/>
      <c r="Y365" s="2"/>
      <c r="Z365" s="2"/>
      <c r="AA365" s="2"/>
    </row>
    <row r="366">
      <c r="A366" s="2"/>
      <c r="B366" s="2"/>
      <c r="D366" s="2"/>
      <c r="E366" s="2"/>
      <c r="F366" s="10"/>
      <c r="G366" s="10"/>
      <c r="I366" s="2"/>
      <c r="J366" s="2"/>
      <c r="K366" s="2"/>
      <c r="L366" s="2"/>
      <c r="M366" s="2"/>
      <c r="N366" s="2"/>
      <c r="O366" s="2"/>
      <c r="P366" s="2"/>
      <c r="Q366" s="2"/>
      <c r="R366" s="2"/>
      <c r="S366" s="2"/>
      <c r="T366" s="2"/>
      <c r="U366" s="2"/>
      <c r="V366" s="2"/>
      <c r="W366" s="2"/>
      <c r="X366" s="2"/>
      <c r="Y366" s="2"/>
      <c r="Z366" s="2"/>
      <c r="AA366" s="2"/>
    </row>
    <row r="367">
      <c r="A367" s="2"/>
      <c r="B367" s="2"/>
      <c r="D367" s="2"/>
      <c r="E367" s="2"/>
      <c r="F367" s="10"/>
      <c r="G367" s="10"/>
      <c r="I367" s="2"/>
      <c r="J367" s="2"/>
      <c r="K367" s="2"/>
      <c r="L367" s="2"/>
      <c r="M367" s="2"/>
      <c r="N367" s="2"/>
      <c r="O367" s="2"/>
      <c r="P367" s="2"/>
      <c r="Q367" s="2"/>
      <c r="R367" s="2"/>
      <c r="S367" s="2"/>
      <c r="T367" s="2"/>
      <c r="U367" s="2"/>
      <c r="V367" s="2"/>
      <c r="W367" s="2"/>
      <c r="X367" s="2"/>
      <c r="Y367" s="2"/>
      <c r="Z367" s="2"/>
      <c r="AA367" s="2"/>
    </row>
    <row r="368">
      <c r="A368" s="2"/>
      <c r="B368" s="2"/>
      <c r="D368" s="2"/>
      <c r="E368" s="2"/>
      <c r="F368" s="10"/>
      <c r="G368" s="10"/>
      <c r="I368" s="2"/>
      <c r="J368" s="2"/>
      <c r="K368" s="2"/>
      <c r="L368" s="2"/>
      <c r="M368" s="2"/>
      <c r="N368" s="2"/>
      <c r="O368" s="2"/>
      <c r="P368" s="2"/>
      <c r="Q368" s="2"/>
      <c r="R368" s="2"/>
      <c r="S368" s="2"/>
      <c r="T368" s="2"/>
      <c r="U368" s="2"/>
      <c r="V368" s="2"/>
      <c r="W368" s="2"/>
      <c r="X368" s="2"/>
      <c r="Y368" s="2"/>
      <c r="Z368" s="2"/>
      <c r="AA368" s="2"/>
    </row>
    <row r="369">
      <c r="A369" s="2"/>
      <c r="B369" s="2"/>
      <c r="D369" s="2"/>
      <c r="E369" s="2"/>
      <c r="F369" s="10"/>
      <c r="G369" s="10"/>
      <c r="I369" s="2"/>
      <c r="J369" s="2"/>
      <c r="K369" s="2"/>
      <c r="L369" s="2"/>
      <c r="M369" s="2"/>
      <c r="N369" s="2"/>
      <c r="O369" s="2"/>
      <c r="P369" s="2"/>
      <c r="Q369" s="2"/>
      <c r="R369" s="2"/>
      <c r="S369" s="2"/>
      <c r="T369" s="2"/>
      <c r="U369" s="2"/>
      <c r="V369" s="2"/>
      <c r="W369" s="2"/>
      <c r="X369" s="2"/>
      <c r="Y369" s="2"/>
      <c r="Z369" s="2"/>
      <c r="AA369" s="2"/>
    </row>
    <row r="370">
      <c r="A370" s="2"/>
      <c r="B370" s="2"/>
      <c r="D370" s="2"/>
      <c r="E370" s="2"/>
      <c r="F370" s="10"/>
      <c r="G370" s="10"/>
      <c r="I370" s="2"/>
      <c r="J370" s="2"/>
      <c r="K370" s="2"/>
      <c r="L370" s="2"/>
      <c r="M370" s="2"/>
      <c r="N370" s="2"/>
      <c r="O370" s="2"/>
      <c r="P370" s="2"/>
      <c r="Q370" s="2"/>
      <c r="R370" s="2"/>
      <c r="S370" s="2"/>
      <c r="T370" s="2"/>
      <c r="U370" s="2"/>
      <c r="V370" s="2"/>
      <c r="W370" s="2"/>
      <c r="X370" s="2"/>
      <c r="Y370" s="2"/>
      <c r="Z370" s="2"/>
      <c r="AA370" s="2"/>
    </row>
    <row r="371">
      <c r="A371" s="2"/>
      <c r="B371" s="2"/>
      <c r="D371" s="2"/>
      <c r="E371" s="2"/>
      <c r="F371" s="10"/>
      <c r="G371" s="10"/>
      <c r="I371" s="2"/>
      <c r="J371" s="2"/>
      <c r="K371" s="2"/>
      <c r="L371" s="2"/>
      <c r="M371" s="2"/>
      <c r="N371" s="2"/>
      <c r="O371" s="2"/>
      <c r="P371" s="2"/>
      <c r="Q371" s="2"/>
      <c r="R371" s="2"/>
      <c r="S371" s="2"/>
      <c r="T371" s="2"/>
      <c r="U371" s="2"/>
      <c r="V371" s="2"/>
      <c r="W371" s="2"/>
      <c r="X371" s="2"/>
      <c r="Y371" s="2"/>
      <c r="Z371" s="2"/>
      <c r="AA371" s="2"/>
    </row>
    <row r="372">
      <c r="A372" s="2"/>
      <c r="B372" s="2"/>
      <c r="D372" s="2"/>
      <c r="E372" s="2"/>
      <c r="F372" s="10"/>
      <c r="G372" s="10"/>
      <c r="I372" s="2"/>
      <c r="J372" s="2"/>
      <c r="K372" s="2"/>
      <c r="L372" s="2"/>
      <c r="M372" s="2"/>
      <c r="N372" s="2"/>
      <c r="O372" s="2"/>
      <c r="P372" s="2"/>
      <c r="Q372" s="2"/>
      <c r="R372" s="2"/>
      <c r="S372" s="2"/>
      <c r="T372" s="2"/>
      <c r="U372" s="2"/>
      <c r="V372" s="2"/>
      <c r="W372" s="2"/>
      <c r="X372" s="2"/>
      <c r="Y372" s="2"/>
      <c r="Z372" s="2"/>
      <c r="AA372" s="2"/>
    </row>
    <row r="373">
      <c r="A373" s="2"/>
      <c r="B373" s="2"/>
      <c r="D373" s="2"/>
      <c r="E373" s="2"/>
      <c r="F373" s="10"/>
      <c r="G373" s="10"/>
      <c r="I373" s="2"/>
      <c r="J373" s="2"/>
      <c r="K373" s="2"/>
      <c r="L373" s="2"/>
      <c r="M373" s="2"/>
      <c r="N373" s="2"/>
      <c r="O373" s="2"/>
      <c r="P373" s="2"/>
      <c r="Q373" s="2"/>
      <c r="R373" s="2"/>
      <c r="S373" s="2"/>
      <c r="T373" s="2"/>
      <c r="U373" s="2"/>
      <c r="V373" s="2"/>
      <c r="W373" s="2"/>
      <c r="X373" s="2"/>
      <c r="Y373" s="2"/>
      <c r="Z373" s="2"/>
      <c r="AA373" s="2"/>
    </row>
    <row r="374">
      <c r="A374" s="2"/>
      <c r="B374" s="2"/>
      <c r="D374" s="2"/>
      <c r="E374" s="2"/>
      <c r="F374" s="10"/>
      <c r="G374" s="10"/>
      <c r="I374" s="2"/>
      <c r="J374" s="2"/>
      <c r="K374" s="2"/>
      <c r="L374" s="2"/>
      <c r="M374" s="2"/>
      <c r="N374" s="2"/>
      <c r="O374" s="2"/>
      <c r="P374" s="2"/>
      <c r="Q374" s="2"/>
      <c r="R374" s="2"/>
      <c r="S374" s="2"/>
      <c r="T374" s="2"/>
      <c r="U374" s="2"/>
      <c r="V374" s="2"/>
      <c r="W374" s="2"/>
      <c r="X374" s="2"/>
      <c r="Y374" s="2"/>
      <c r="Z374" s="2"/>
      <c r="AA374" s="2"/>
    </row>
    <row r="375">
      <c r="A375" s="2"/>
      <c r="B375" s="2"/>
      <c r="D375" s="2"/>
      <c r="E375" s="2"/>
      <c r="F375" s="10"/>
      <c r="G375" s="10"/>
      <c r="I375" s="2"/>
      <c r="J375" s="2"/>
      <c r="K375" s="2"/>
      <c r="L375" s="2"/>
      <c r="M375" s="2"/>
      <c r="N375" s="2"/>
      <c r="O375" s="2"/>
      <c r="P375" s="2"/>
      <c r="Q375" s="2"/>
      <c r="R375" s="2"/>
      <c r="S375" s="2"/>
      <c r="T375" s="2"/>
      <c r="U375" s="2"/>
      <c r="V375" s="2"/>
      <c r="W375" s="2"/>
      <c r="X375" s="2"/>
      <c r="Y375" s="2"/>
      <c r="Z375" s="2"/>
      <c r="AA375" s="2"/>
    </row>
    <row r="376">
      <c r="A376" s="2"/>
      <c r="B376" s="2"/>
      <c r="D376" s="2"/>
      <c r="E376" s="2"/>
      <c r="F376" s="10"/>
      <c r="G376" s="10"/>
      <c r="I376" s="2"/>
      <c r="J376" s="2"/>
      <c r="K376" s="2"/>
      <c r="L376" s="2"/>
      <c r="M376" s="2"/>
      <c r="N376" s="2"/>
      <c r="O376" s="2"/>
      <c r="P376" s="2"/>
      <c r="Q376" s="2"/>
      <c r="R376" s="2"/>
      <c r="S376" s="2"/>
      <c r="T376" s="2"/>
      <c r="U376" s="2"/>
      <c r="V376" s="2"/>
      <c r="W376" s="2"/>
      <c r="X376" s="2"/>
      <c r="Y376" s="2"/>
      <c r="Z376" s="2"/>
      <c r="AA376" s="2"/>
    </row>
    <row r="377">
      <c r="A377" s="2"/>
      <c r="B377" s="2"/>
      <c r="D377" s="2"/>
      <c r="E377" s="2"/>
      <c r="F377" s="10"/>
      <c r="G377" s="10"/>
      <c r="I377" s="2"/>
      <c r="J377" s="2"/>
      <c r="K377" s="2"/>
      <c r="L377" s="2"/>
      <c r="M377" s="2"/>
      <c r="N377" s="2"/>
      <c r="O377" s="2"/>
      <c r="P377" s="2"/>
      <c r="Q377" s="2"/>
      <c r="R377" s="2"/>
      <c r="S377" s="2"/>
      <c r="T377" s="2"/>
      <c r="U377" s="2"/>
      <c r="V377" s="2"/>
      <c r="W377" s="2"/>
      <c r="X377" s="2"/>
      <c r="Y377" s="2"/>
      <c r="Z377" s="2"/>
      <c r="AA377" s="2"/>
    </row>
    <row r="378">
      <c r="A378" s="2"/>
      <c r="B378" s="2"/>
      <c r="D378" s="2"/>
      <c r="E378" s="2"/>
      <c r="F378" s="10"/>
      <c r="G378" s="10"/>
      <c r="I378" s="2"/>
      <c r="J378" s="2"/>
      <c r="K378" s="2"/>
      <c r="L378" s="2"/>
      <c r="M378" s="2"/>
      <c r="N378" s="2"/>
      <c r="O378" s="2"/>
      <c r="P378" s="2"/>
      <c r="Q378" s="2"/>
      <c r="R378" s="2"/>
      <c r="S378" s="2"/>
      <c r="T378" s="2"/>
      <c r="U378" s="2"/>
      <c r="V378" s="2"/>
      <c r="W378" s="2"/>
      <c r="X378" s="2"/>
      <c r="Y378" s="2"/>
      <c r="Z378" s="2"/>
      <c r="AA378" s="2"/>
    </row>
    <row r="379">
      <c r="A379" s="2"/>
      <c r="B379" s="2"/>
      <c r="D379" s="2"/>
      <c r="E379" s="2"/>
      <c r="F379" s="10"/>
      <c r="G379" s="10"/>
      <c r="I379" s="2"/>
      <c r="J379" s="2"/>
      <c r="K379" s="2"/>
      <c r="L379" s="2"/>
      <c r="M379" s="2"/>
      <c r="N379" s="2"/>
      <c r="O379" s="2"/>
      <c r="P379" s="2"/>
      <c r="Q379" s="2"/>
      <c r="R379" s="2"/>
      <c r="S379" s="2"/>
      <c r="T379" s="2"/>
      <c r="U379" s="2"/>
      <c r="V379" s="2"/>
      <c r="W379" s="2"/>
      <c r="X379" s="2"/>
      <c r="Y379" s="2"/>
      <c r="Z379" s="2"/>
      <c r="AA379" s="2"/>
    </row>
    <row r="380">
      <c r="A380" s="2"/>
      <c r="B380" s="2"/>
      <c r="D380" s="2"/>
      <c r="E380" s="2"/>
      <c r="F380" s="10"/>
      <c r="G380" s="10"/>
      <c r="I380" s="2"/>
      <c r="J380" s="2"/>
      <c r="K380" s="2"/>
      <c r="L380" s="2"/>
      <c r="M380" s="2"/>
      <c r="N380" s="2"/>
      <c r="O380" s="2"/>
      <c r="P380" s="2"/>
      <c r="Q380" s="2"/>
      <c r="R380" s="2"/>
      <c r="S380" s="2"/>
      <c r="T380" s="2"/>
      <c r="U380" s="2"/>
      <c r="V380" s="2"/>
      <c r="W380" s="2"/>
      <c r="X380" s="2"/>
      <c r="Y380" s="2"/>
      <c r="Z380" s="2"/>
      <c r="AA380" s="2"/>
    </row>
    <row r="381">
      <c r="A381" s="2"/>
      <c r="B381" s="2"/>
      <c r="D381" s="2"/>
      <c r="E381" s="2"/>
      <c r="F381" s="10"/>
      <c r="G381" s="10"/>
      <c r="I381" s="2"/>
      <c r="J381" s="2"/>
      <c r="K381" s="2"/>
      <c r="L381" s="2"/>
      <c r="M381" s="2"/>
      <c r="N381" s="2"/>
      <c r="O381" s="2"/>
      <c r="P381" s="2"/>
      <c r="Q381" s="2"/>
      <c r="R381" s="2"/>
      <c r="S381" s="2"/>
      <c r="T381" s="2"/>
      <c r="U381" s="2"/>
      <c r="V381" s="2"/>
      <c r="W381" s="2"/>
      <c r="X381" s="2"/>
      <c r="Y381" s="2"/>
      <c r="Z381" s="2"/>
      <c r="AA381" s="2"/>
    </row>
    <row r="382">
      <c r="A382" s="2"/>
      <c r="B382" s="2"/>
      <c r="D382" s="2"/>
      <c r="E382" s="2"/>
      <c r="F382" s="10"/>
      <c r="G382" s="10"/>
      <c r="I382" s="2"/>
      <c r="J382" s="2"/>
      <c r="K382" s="2"/>
      <c r="L382" s="2"/>
      <c r="M382" s="2"/>
      <c r="N382" s="2"/>
      <c r="O382" s="2"/>
      <c r="P382" s="2"/>
      <c r="Q382" s="2"/>
      <c r="R382" s="2"/>
      <c r="S382" s="2"/>
      <c r="T382" s="2"/>
      <c r="U382" s="2"/>
      <c r="V382" s="2"/>
      <c r="W382" s="2"/>
      <c r="X382" s="2"/>
      <c r="Y382" s="2"/>
      <c r="Z382" s="2"/>
      <c r="AA382" s="2"/>
    </row>
    <row r="383">
      <c r="A383" s="2"/>
      <c r="B383" s="2"/>
      <c r="D383" s="2"/>
      <c r="E383" s="2"/>
      <c r="F383" s="10"/>
      <c r="G383" s="10"/>
      <c r="I383" s="2"/>
      <c r="J383" s="2"/>
      <c r="K383" s="2"/>
      <c r="L383" s="2"/>
      <c r="M383" s="2"/>
      <c r="N383" s="2"/>
      <c r="O383" s="2"/>
      <c r="P383" s="2"/>
      <c r="Q383" s="2"/>
      <c r="R383" s="2"/>
      <c r="S383" s="2"/>
      <c r="T383" s="2"/>
      <c r="U383" s="2"/>
      <c r="V383" s="2"/>
      <c r="W383" s="2"/>
      <c r="X383" s="2"/>
      <c r="Y383" s="2"/>
      <c r="Z383" s="2"/>
      <c r="AA383" s="2"/>
    </row>
    <row r="384">
      <c r="A384" s="2"/>
      <c r="B384" s="2"/>
      <c r="D384" s="2"/>
      <c r="E384" s="2"/>
      <c r="F384" s="10"/>
      <c r="G384" s="10"/>
      <c r="I384" s="2"/>
      <c r="J384" s="2"/>
      <c r="K384" s="2"/>
      <c r="L384" s="2"/>
      <c r="M384" s="2"/>
      <c r="N384" s="2"/>
      <c r="O384" s="2"/>
      <c r="P384" s="2"/>
      <c r="Q384" s="2"/>
      <c r="R384" s="2"/>
      <c r="S384" s="2"/>
      <c r="T384" s="2"/>
      <c r="U384" s="2"/>
      <c r="V384" s="2"/>
      <c r="W384" s="2"/>
      <c r="X384" s="2"/>
      <c r="Y384" s="2"/>
      <c r="Z384" s="2"/>
      <c r="AA384" s="2"/>
    </row>
    <row r="385">
      <c r="A385" s="2"/>
      <c r="B385" s="2"/>
      <c r="D385" s="2"/>
      <c r="E385" s="2"/>
      <c r="F385" s="10"/>
      <c r="G385" s="10"/>
      <c r="I385" s="2"/>
      <c r="J385" s="2"/>
      <c r="K385" s="2"/>
      <c r="L385" s="2"/>
      <c r="M385" s="2"/>
      <c r="N385" s="2"/>
      <c r="O385" s="2"/>
      <c r="P385" s="2"/>
      <c r="Q385" s="2"/>
      <c r="R385" s="2"/>
      <c r="S385" s="2"/>
      <c r="T385" s="2"/>
      <c r="U385" s="2"/>
      <c r="V385" s="2"/>
      <c r="W385" s="2"/>
      <c r="X385" s="2"/>
      <c r="Y385" s="2"/>
      <c r="Z385" s="2"/>
      <c r="AA385" s="2"/>
    </row>
    <row r="386">
      <c r="A386" s="2"/>
      <c r="B386" s="2"/>
      <c r="D386" s="2"/>
      <c r="E386" s="2"/>
      <c r="F386" s="10"/>
      <c r="G386" s="10"/>
      <c r="I386" s="2"/>
      <c r="J386" s="2"/>
      <c r="K386" s="2"/>
      <c r="L386" s="2"/>
      <c r="M386" s="2"/>
      <c r="N386" s="2"/>
      <c r="O386" s="2"/>
      <c r="P386" s="2"/>
      <c r="Q386" s="2"/>
      <c r="R386" s="2"/>
      <c r="S386" s="2"/>
      <c r="T386" s="2"/>
      <c r="U386" s="2"/>
      <c r="V386" s="2"/>
      <c r="W386" s="2"/>
      <c r="X386" s="2"/>
      <c r="Y386" s="2"/>
      <c r="Z386" s="2"/>
      <c r="AA386" s="2"/>
    </row>
    <row r="387">
      <c r="A387" s="2"/>
      <c r="B387" s="2"/>
      <c r="D387" s="2"/>
      <c r="E387" s="2"/>
      <c r="F387" s="10"/>
      <c r="G387" s="10"/>
      <c r="I387" s="2"/>
      <c r="J387" s="2"/>
      <c r="K387" s="2"/>
      <c r="L387" s="2"/>
      <c r="M387" s="2"/>
      <c r="N387" s="2"/>
      <c r="O387" s="2"/>
      <c r="P387" s="2"/>
      <c r="Q387" s="2"/>
      <c r="R387" s="2"/>
      <c r="S387" s="2"/>
      <c r="T387" s="2"/>
      <c r="U387" s="2"/>
      <c r="V387" s="2"/>
      <c r="W387" s="2"/>
      <c r="X387" s="2"/>
      <c r="Y387" s="2"/>
      <c r="Z387" s="2"/>
      <c r="AA387" s="2"/>
    </row>
    <row r="388">
      <c r="A388" s="2"/>
      <c r="B388" s="2"/>
      <c r="D388" s="2"/>
      <c r="E388" s="2"/>
      <c r="F388" s="10"/>
      <c r="G388" s="10"/>
      <c r="I388" s="2"/>
      <c r="J388" s="2"/>
      <c r="K388" s="2"/>
      <c r="L388" s="2"/>
      <c r="M388" s="2"/>
      <c r="N388" s="2"/>
      <c r="O388" s="2"/>
      <c r="P388" s="2"/>
      <c r="Q388" s="2"/>
      <c r="R388" s="2"/>
      <c r="S388" s="2"/>
      <c r="T388" s="2"/>
      <c r="U388" s="2"/>
      <c r="V388" s="2"/>
      <c r="W388" s="2"/>
      <c r="X388" s="2"/>
      <c r="Y388" s="2"/>
      <c r="Z388" s="2"/>
      <c r="AA388" s="2"/>
    </row>
    <row r="389">
      <c r="A389" s="2"/>
      <c r="B389" s="2"/>
      <c r="D389" s="2"/>
      <c r="E389" s="2"/>
      <c r="F389" s="10"/>
      <c r="G389" s="10"/>
      <c r="I389" s="2"/>
      <c r="J389" s="2"/>
      <c r="K389" s="2"/>
      <c r="L389" s="2"/>
      <c r="M389" s="2"/>
      <c r="N389" s="2"/>
      <c r="O389" s="2"/>
      <c r="P389" s="2"/>
      <c r="Q389" s="2"/>
      <c r="R389" s="2"/>
      <c r="S389" s="2"/>
      <c r="T389" s="2"/>
      <c r="U389" s="2"/>
      <c r="V389" s="2"/>
      <c r="W389" s="2"/>
      <c r="X389" s="2"/>
      <c r="Y389" s="2"/>
      <c r="Z389" s="2"/>
      <c r="AA389" s="2"/>
    </row>
    <row r="390">
      <c r="A390" s="2"/>
      <c r="B390" s="2"/>
      <c r="D390" s="2"/>
      <c r="E390" s="2"/>
      <c r="F390" s="10"/>
      <c r="G390" s="10"/>
      <c r="I390" s="2"/>
      <c r="J390" s="2"/>
      <c r="K390" s="2"/>
      <c r="L390" s="2"/>
      <c r="M390" s="2"/>
      <c r="N390" s="2"/>
      <c r="O390" s="2"/>
      <c r="P390" s="2"/>
      <c r="Q390" s="2"/>
      <c r="R390" s="2"/>
      <c r="S390" s="2"/>
      <c r="T390" s="2"/>
      <c r="U390" s="2"/>
      <c r="V390" s="2"/>
      <c r="W390" s="2"/>
      <c r="X390" s="2"/>
      <c r="Y390" s="2"/>
      <c r="Z390" s="2"/>
      <c r="AA390" s="2"/>
    </row>
    <row r="391">
      <c r="A391" s="2"/>
      <c r="B391" s="2"/>
      <c r="D391" s="2"/>
      <c r="E391" s="2"/>
      <c r="F391" s="10"/>
      <c r="G391" s="10"/>
      <c r="I391" s="2"/>
      <c r="J391" s="2"/>
      <c r="K391" s="2"/>
      <c r="L391" s="2"/>
      <c r="M391" s="2"/>
      <c r="N391" s="2"/>
      <c r="O391" s="2"/>
      <c r="P391" s="2"/>
      <c r="Q391" s="2"/>
      <c r="R391" s="2"/>
      <c r="S391" s="2"/>
      <c r="T391" s="2"/>
      <c r="U391" s="2"/>
      <c r="V391" s="2"/>
      <c r="W391" s="2"/>
      <c r="X391" s="2"/>
      <c r="Y391" s="2"/>
      <c r="Z391" s="2"/>
      <c r="AA391" s="2"/>
    </row>
    <row r="392">
      <c r="A392" s="2"/>
      <c r="B392" s="2"/>
      <c r="D392" s="2"/>
      <c r="E392" s="2"/>
      <c r="F392" s="10"/>
      <c r="G392" s="10"/>
      <c r="I392" s="2"/>
      <c r="J392" s="2"/>
      <c r="K392" s="2"/>
      <c r="L392" s="2"/>
      <c r="M392" s="2"/>
      <c r="N392" s="2"/>
      <c r="O392" s="2"/>
      <c r="P392" s="2"/>
      <c r="Q392" s="2"/>
      <c r="R392" s="2"/>
      <c r="S392" s="2"/>
      <c r="T392" s="2"/>
      <c r="U392" s="2"/>
      <c r="V392" s="2"/>
      <c r="W392" s="2"/>
      <c r="X392" s="2"/>
      <c r="Y392" s="2"/>
      <c r="Z392" s="2"/>
      <c r="AA392" s="2"/>
    </row>
    <row r="393">
      <c r="A393" s="2"/>
      <c r="B393" s="2"/>
      <c r="D393" s="2"/>
      <c r="E393" s="2"/>
      <c r="F393" s="10"/>
      <c r="G393" s="10"/>
      <c r="I393" s="2"/>
      <c r="J393" s="2"/>
      <c r="K393" s="2"/>
      <c r="L393" s="2"/>
      <c r="M393" s="2"/>
      <c r="N393" s="2"/>
      <c r="O393" s="2"/>
      <c r="P393" s="2"/>
      <c r="Q393" s="2"/>
      <c r="R393" s="2"/>
      <c r="S393" s="2"/>
      <c r="T393" s="2"/>
      <c r="U393" s="2"/>
      <c r="V393" s="2"/>
      <c r="W393" s="2"/>
      <c r="X393" s="2"/>
      <c r="Y393" s="2"/>
      <c r="Z393" s="2"/>
      <c r="AA393" s="2"/>
    </row>
    <row r="394">
      <c r="A394" s="2"/>
      <c r="B394" s="2"/>
      <c r="D394" s="2"/>
      <c r="E394" s="2"/>
      <c r="F394" s="10"/>
      <c r="G394" s="10"/>
      <c r="I394" s="2"/>
      <c r="J394" s="2"/>
      <c r="K394" s="2"/>
      <c r="L394" s="2"/>
      <c r="M394" s="2"/>
      <c r="N394" s="2"/>
      <c r="O394" s="2"/>
      <c r="P394" s="2"/>
      <c r="Q394" s="2"/>
      <c r="R394" s="2"/>
      <c r="S394" s="2"/>
      <c r="T394" s="2"/>
      <c r="U394" s="2"/>
      <c r="V394" s="2"/>
      <c r="W394" s="2"/>
      <c r="X394" s="2"/>
      <c r="Y394" s="2"/>
      <c r="Z394" s="2"/>
      <c r="AA394" s="2"/>
    </row>
    <row r="395">
      <c r="A395" s="2"/>
      <c r="B395" s="2"/>
      <c r="D395" s="2"/>
      <c r="E395" s="2"/>
      <c r="F395" s="10"/>
      <c r="G395" s="10"/>
      <c r="I395" s="2"/>
      <c r="J395" s="2"/>
      <c r="K395" s="2"/>
      <c r="L395" s="2"/>
      <c r="M395" s="2"/>
      <c r="N395" s="2"/>
      <c r="O395" s="2"/>
      <c r="P395" s="2"/>
      <c r="Q395" s="2"/>
      <c r="R395" s="2"/>
      <c r="S395" s="2"/>
      <c r="T395" s="2"/>
      <c r="U395" s="2"/>
      <c r="V395" s="2"/>
      <c r="W395" s="2"/>
      <c r="X395" s="2"/>
      <c r="Y395" s="2"/>
      <c r="Z395" s="2"/>
      <c r="AA395" s="2"/>
    </row>
    <row r="396">
      <c r="A396" s="2"/>
      <c r="B396" s="2"/>
      <c r="D396" s="2"/>
      <c r="E396" s="2"/>
      <c r="F396" s="10"/>
      <c r="G396" s="10"/>
      <c r="I396" s="2"/>
      <c r="J396" s="2"/>
      <c r="K396" s="2"/>
      <c r="L396" s="2"/>
      <c r="M396" s="2"/>
      <c r="N396" s="2"/>
      <c r="O396" s="2"/>
      <c r="P396" s="2"/>
      <c r="Q396" s="2"/>
      <c r="R396" s="2"/>
      <c r="S396" s="2"/>
      <c r="T396" s="2"/>
      <c r="U396" s="2"/>
      <c r="V396" s="2"/>
      <c r="W396" s="2"/>
      <c r="X396" s="2"/>
      <c r="Y396" s="2"/>
      <c r="Z396" s="2"/>
      <c r="AA396" s="2"/>
    </row>
    <row r="397">
      <c r="A397" s="2"/>
      <c r="B397" s="2"/>
      <c r="D397" s="2"/>
      <c r="E397" s="2"/>
      <c r="F397" s="10"/>
      <c r="G397" s="10"/>
      <c r="I397" s="2"/>
      <c r="J397" s="2"/>
      <c r="K397" s="2"/>
      <c r="L397" s="2"/>
      <c r="M397" s="2"/>
      <c r="N397" s="2"/>
      <c r="O397" s="2"/>
      <c r="P397" s="2"/>
      <c r="Q397" s="2"/>
      <c r="R397" s="2"/>
      <c r="S397" s="2"/>
      <c r="T397" s="2"/>
      <c r="U397" s="2"/>
      <c r="V397" s="2"/>
      <c r="W397" s="2"/>
      <c r="X397" s="2"/>
      <c r="Y397" s="2"/>
      <c r="Z397" s="2"/>
      <c r="AA397" s="2"/>
    </row>
    <row r="398">
      <c r="A398" s="2"/>
      <c r="B398" s="2"/>
      <c r="D398" s="2"/>
      <c r="E398" s="2"/>
      <c r="F398" s="10"/>
      <c r="G398" s="10"/>
      <c r="I398" s="2"/>
      <c r="J398" s="2"/>
      <c r="K398" s="2"/>
      <c r="L398" s="2"/>
      <c r="M398" s="2"/>
      <c r="N398" s="2"/>
      <c r="O398" s="2"/>
      <c r="P398" s="2"/>
      <c r="Q398" s="2"/>
      <c r="R398" s="2"/>
      <c r="S398" s="2"/>
      <c r="T398" s="2"/>
      <c r="U398" s="2"/>
      <c r="V398" s="2"/>
      <c r="W398" s="2"/>
      <c r="X398" s="2"/>
      <c r="Y398" s="2"/>
      <c r="Z398" s="2"/>
      <c r="AA398" s="2"/>
    </row>
    <row r="399">
      <c r="A399" s="2"/>
      <c r="B399" s="2"/>
      <c r="D399" s="2"/>
      <c r="E399" s="2"/>
      <c r="F399" s="10"/>
      <c r="G399" s="10"/>
      <c r="I399" s="2"/>
      <c r="J399" s="2"/>
      <c r="K399" s="2"/>
      <c r="L399" s="2"/>
      <c r="M399" s="2"/>
      <c r="N399" s="2"/>
      <c r="O399" s="2"/>
      <c r="P399" s="2"/>
      <c r="Q399" s="2"/>
      <c r="R399" s="2"/>
      <c r="S399" s="2"/>
      <c r="T399" s="2"/>
      <c r="U399" s="2"/>
      <c r="V399" s="2"/>
      <c r="W399" s="2"/>
      <c r="X399" s="2"/>
      <c r="Y399" s="2"/>
      <c r="Z399" s="2"/>
      <c r="AA399" s="2"/>
    </row>
    <row r="400">
      <c r="A400" s="2"/>
      <c r="B400" s="2"/>
      <c r="D400" s="2"/>
      <c r="E400" s="2"/>
      <c r="F400" s="10"/>
      <c r="G400" s="10"/>
      <c r="I400" s="2"/>
      <c r="J400" s="2"/>
      <c r="K400" s="2"/>
      <c r="L400" s="2"/>
      <c r="M400" s="2"/>
      <c r="N400" s="2"/>
      <c r="O400" s="2"/>
      <c r="P400" s="2"/>
      <c r="Q400" s="2"/>
      <c r="R400" s="2"/>
      <c r="S400" s="2"/>
      <c r="T400" s="2"/>
      <c r="U400" s="2"/>
      <c r="V400" s="2"/>
      <c r="W400" s="2"/>
      <c r="X400" s="2"/>
      <c r="Y400" s="2"/>
      <c r="Z400" s="2"/>
      <c r="AA400" s="2"/>
    </row>
    <row r="401">
      <c r="A401" s="2"/>
      <c r="B401" s="2"/>
      <c r="D401" s="2"/>
      <c r="E401" s="2"/>
      <c r="F401" s="10"/>
      <c r="G401" s="10"/>
      <c r="I401" s="2"/>
      <c r="J401" s="2"/>
      <c r="K401" s="2"/>
      <c r="L401" s="2"/>
      <c r="M401" s="2"/>
      <c r="N401" s="2"/>
      <c r="O401" s="2"/>
      <c r="P401" s="2"/>
      <c r="Q401" s="2"/>
      <c r="R401" s="2"/>
      <c r="S401" s="2"/>
      <c r="T401" s="2"/>
      <c r="U401" s="2"/>
      <c r="V401" s="2"/>
      <c r="W401" s="2"/>
      <c r="X401" s="2"/>
      <c r="Y401" s="2"/>
      <c r="Z401" s="2"/>
      <c r="AA401" s="2"/>
    </row>
    <row r="402">
      <c r="A402" s="2"/>
      <c r="B402" s="2"/>
      <c r="D402" s="2"/>
      <c r="E402" s="2"/>
      <c r="F402" s="10"/>
      <c r="G402" s="10"/>
      <c r="I402" s="2"/>
      <c r="J402" s="2"/>
      <c r="K402" s="2"/>
      <c r="L402" s="2"/>
      <c r="M402" s="2"/>
      <c r="N402" s="2"/>
      <c r="O402" s="2"/>
      <c r="P402" s="2"/>
      <c r="Q402" s="2"/>
      <c r="R402" s="2"/>
      <c r="S402" s="2"/>
      <c r="T402" s="2"/>
      <c r="U402" s="2"/>
      <c r="V402" s="2"/>
      <c r="W402" s="2"/>
      <c r="X402" s="2"/>
      <c r="Y402" s="2"/>
      <c r="Z402" s="2"/>
      <c r="AA402" s="2"/>
    </row>
    <row r="403">
      <c r="A403" s="2"/>
      <c r="B403" s="2"/>
      <c r="D403" s="2"/>
      <c r="E403" s="2"/>
      <c r="F403" s="10"/>
      <c r="G403" s="10"/>
      <c r="I403" s="2"/>
      <c r="J403" s="2"/>
      <c r="K403" s="2"/>
      <c r="L403" s="2"/>
      <c r="M403" s="2"/>
      <c r="N403" s="2"/>
      <c r="O403" s="2"/>
      <c r="P403" s="2"/>
      <c r="Q403" s="2"/>
      <c r="R403" s="2"/>
      <c r="S403" s="2"/>
      <c r="T403" s="2"/>
      <c r="U403" s="2"/>
      <c r="V403" s="2"/>
      <c r="W403" s="2"/>
      <c r="X403" s="2"/>
      <c r="Y403" s="2"/>
      <c r="Z403" s="2"/>
      <c r="AA403" s="2"/>
    </row>
    <row r="404">
      <c r="A404" s="2"/>
      <c r="B404" s="2"/>
      <c r="D404" s="2"/>
      <c r="E404" s="2"/>
      <c r="F404" s="10"/>
      <c r="G404" s="10"/>
      <c r="I404" s="2"/>
      <c r="J404" s="2"/>
      <c r="K404" s="2"/>
      <c r="L404" s="2"/>
      <c r="M404" s="2"/>
      <c r="N404" s="2"/>
      <c r="O404" s="2"/>
      <c r="P404" s="2"/>
      <c r="Q404" s="2"/>
      <c r="R404" s="2"/>
      <c r="S404" s="2"/>
      <c r="T404" s="2"/>
      <c r="U404" s="2"/>
      <c r="V404" s="2"/>
      <c r="W404" s="2"/>
      <c r="X404" s="2"/>
      <c r="Y404" s="2"/>
      <c r="Z404" s="2"/>
      <c r="AA404" s="2"/>
    </row>
    <row r="405">
      <c r="A405" s="2"/>
      <c r="B405" s="2"/>
      <c r="D405" s="2"/>
      <c r="E405" s="2"/>
      <c r="F405" s="10"/>
      <c r="G405" s="10"/>
      <c r="I405" s="2"/>
      <c r="J405" s="2"/>
      <c r="K405" s="2"/>
      <c r="L405" s="2"/>
      <c r="M405" s="2"/>
      <c r="N405" s="2"/>
      <c r="O405" s="2"/>
      <c r="P405" s="2"/>
      <c r="Q405" s="2"/>
      <c r="R405" s="2"/>
      <c r="S405" s="2"/>
      <c r="T405" s="2"/>
      <c r="U405" s="2"/>
      <c r="V405" s="2"/>
      <c r="W405" s="2"/>
      <c r="X405" s="2"/>
      <c r="Y405" s="2"/>
      <c r="Z405" s="2"/>
      <c r="AA405" s="2"/>
    </row>
    <row r="406">
      <c r="A406" s="2"/>
      <c r="B406" s="2"/>
      <c r="D406" s="2"/>
      <c r="E406" s="2"/>
      <c r="F406" s="10"/>
      <c r="G406" s="10"/>
      <c r="I406" s="2"/>
      <c r="J406" s="2"/>
      <c r="K406" s="2"/>
      <c r="L406" s="2"/>
      <c r="M406" s="2"/>
      <c r="N406" s="2"/>
      <c r="O406" s="2"/>
      <c r="P406" s="2"/>
      <c r="Q406" s="2"/>
      <c r="R406" s="2"/>
      <c r="S406" s="2"/>
      <c r="T406" s="2"/>
      <c r="U406" s="2"/>
      <c r="V406" s="2"/>
      <c r="W406" s="2"/>
      <c r="X406" s="2"/>
      <c r="Y406" s="2"/>
      <c r="Z406" s="2"/>
      <c r="AA406" s="2"/>
    </row>
    <row r="407">
      <c r="A407" s="2"/>
      <c r="B407" s="2"/>
      <c r="D407" s="2"/>
      <c r="E407" s="2"/>
      <c r="F407" s="10"/>
      <c r="G407" s="10"/>
      <c r="I407" s="2"/>
      <c r="J407" s="2"/>
      <c r="K407" s="2"/>
      <c r="L407" s="2"/>
      <c r="M407" s="2"/>
      <c r="N407" s="2"/>
      <c r="O407" s="2"/>
      <c r="P407" s="2"/>
      <c r="Q407" s="2"/>
      <c r="R407" s="2"/>
      <c r="S407" s="2"/>
      <c r="T407" s="2"/>
      <c r="U407" s="2"/>
      <c r="V407" s="2"/>
      <c r="W407" s="2"/>
      <c r="X407" s="2"/>
      <c r="Y407" s="2"/>
      <c r="Z407" s="2"/>
      <c r="AA407" s="2"/>
    </row>
    <row r="408">
      <c r="A408" s="2"/>
      <c r="B408" s="2"/>
      <c r="D408" s="2"/>
      <c r="E408" s="2"/>
      <c r="F408" s="10"/>
      <c r="G408" s="10"/>
      <c r="I408" s="2"/>
      <c r="J408" s="2"/>
      <c r="K408" s="2"/>
      <c r="L408" s="2"/>
      <c r="M408" s="2"/>
      <c r="N408" s="2"/>
      <c r="O408" s="2"/>
      <c r="P408" s="2"/>
      <c r="Q408" s="2"/>
      <c r="R408" s="2"/>
      <c r="S408" s="2"/>
      <c r="T408" s="2"/>
      <c r="U408" s="2"/>
      <c r="V408" s="2"/>
      <c r="W408" s="2"/>
      <c r="X408" s="2"/>
      <c r="Y408" s="2"/>
      <c r="Z408" s="2"/>
      <c r="AA408" s="2"/>
    </row>
    <row r="409">
      <c r="A409" s="2"/>
      <c r="B409" s="2"/>
      <c r="D409" s="2"/>
      <c r="E409" s="2"/>
      <c r="F409" s="10"/>
      <c r="G409" s="10"/>
      <c r="I409" s="2"/>
      <c r="J409" s="2"/>
      <c r="K409" s="2"/>
      <c r="L409" s="2"/>
      <c r="M409" s="2"/>
      <c r="N409" s="2"/>
      <c r="O409" s="2"/>
      <c r="P409" s="2"/>
      <c r="Q409" s="2"/>
      <c r="R409" s="2"/>
      <c r="S409" s="2"/>
      <c r="T409" s="2"/>
      <c r="U409" s="2"/>
      <c r="V409" s="2"/>
      <c r="W409" s="2"/>
      <c r="X409" s="2"/>
      <c r="Y409" s="2"/>
      <c r="Z409" s="2"/>
      <c r="AA409" s="2"/>
    </row>
    <row r="410">
      <c r="A410" s="2"/>
      <c r="B410" s="2"/>
      <c r="D410" s="2"/>
      <c r="E410" s="2"/>
      <c r="F410" s="10"/>
      <c r="G410" s="10"/>
      <c r="I410" s="2"/>
      <c r="J410" s="2"/>
      <c r="K410" s="2"/>
      <c r="L410" s="2"/>
      <c r="M410" s="2"/>
      <c r="N410" s="2"/>
      <c r="O410" s="2"/>
      <c r="P410" s="2"/>
      <c r="Q410" s="2"/>
      <c r="R410" s="2"/>
      <c r="S410" s="2"/>
      <c r="T410" s="2"/>
      <c r="U410" s="2"/>
      <c r="V410" s="2"/>
      <c r="W410" s="2"/>
      <c r="X410" s="2"/>
      <c r="Y410" s="2"/>
      <c r="Z410" s="2"/>
      <c r="AA410" s="2"/>
    </row>
    <row r="411">
      <c r="A411" s="2"/>
      <c r="B411" s="2"/>
      <c r="D411" s="2"/>
      <c r="E411" s="2"/>
      <c r="F411" s="10"/>
      <c r="G411" s="10"/>
      <c r="I411" s="2"/>
      <c r="J411" s="2"/>
      <c r="K411" s="2"/>
      <c r="L411" s="2"/>
      <c r="M411" s="2"/>
      <c r="N411" s="2"/>
      <c r="O411" s="2"/>
      <c r="P411" s="2"/>
      <c r="Q411" s="2"/>
      <c r="R411" s="2"/>
      <c r="S411" s="2"/>
      <c r="T411" s="2"/>
      <c r="U411" s="2"/>
      <c r="V411" s="2"/>
      <c r="W411" s="2"/>
      <c r="X411" s="2"/>
      <c r="Y411" s="2"/>
      <c r="Z411" s="2"/>
      <c r="AA411" s="2"/>
    </row>
    <row r="412">
      <c r="A412" s="2"/>
      <c r="B412" s="2"/>
      <c r="D412" s="2"/>
      <c r="E412" s="2"/>
      <c r="F412" s="10"/>
      <c r="G412" s="10"/>
      <c r="I412" s="2"/>
      <c r="J412" s="2"/>
      <c r="K412" s="2"/>
      <c r="L412" s="2"/>
      <c r="M412" s="2"/>
      <c r="N412" s="2"/>
      <c r="O412" s="2"/>
      <c r="P412" s="2"/>
      <c r="Q412" s="2"/>
      <c r="R412" s="2"/>
      <c r="S412" s="2"/>
      <c r="T412" s="2"/>
      <c r="U412" s="2"/>
      <c r="V412" s="2"/>
      <c r="W412" s="2"/>
      <c r="X412" s="2"/>
      <c r="Y412" s="2"/>
      <c r="Z412" s="2"/>
      <c r="AA412" s="2"/>
    </row>
    <row r="413">
      <c r="A413" s="2"/>
      <c r="B413" s="2"/>
      <c r="D413" s="2"/>
      <c r="E413" s="2"/>
      <c r="F413" s="10"/>
      <c r="G413" s="10"/>
      <c r="I413" s="2"/>
      <c r="J413" s="2"/>
      <c r="K413" s="2"/>
      <c r="L413" s="2"/>
      <c r="M413" s="2"/>
      <c r="N413" s="2"/>
      <c r="O413" s="2"/>
      <c r="P413" s="2"/>
      <c r="Q413" s="2"/>
      <c r="R413" s="2"/>
      <c r="S413" s="2"/>
      <c r="T413" s="2"/>
      <c r="U413" s="2"/>
      <c r="V413" s="2"/>
      <c r="W413" s="2"/>
      <c r="X413" s="2"/>
      <c r="Y413" s="2"/>
      <c r="Z413" s="2"/>
      <c r="AA413" s="2"/>
    </row>
    <row r="414">
      <c r="A414" s="2"/>
      <c r="B414" s="2"/>
      <c r="D414" s="2"/>
      <c r="E414" s="2"/>
      <c r="F414" s="10"/>
      <c r="G414" s="10"/>
      <c r="I414" s="2"/>
      <c r="J414" s="2"/>
      <c r="K414" s="2"/>
      <c r="L414" s="2"/>
      <c r="M414" s="2"/>
      <c r="N414" s="2"/>
      <c r="O414" s="2"/>
      <c r="P414" s="2"/>
      <c r="Q414" s="2"/>
      <c r="R414" s="2"/>
      <c r="S414" s="2"/>
      <c r="T414" s="2"/>
      <c r="U414" s="2"/>
      <c r="V414" s="2"/>
      <c r="W414" s="2"/>
      <c r="X414" s="2"/>
      <c r="Y414" s="2"/>
      <c r="Z414" s="2"/>
      <c r="AA414" s="2"/>
    </row>
    <row r="415">
      <c r="A415" s="2"/>
      <c r="B415" s="2"/>
      <c r="D415" s="2"/>
      <c r="E415" s="2"/>
      <c r="F415" s="10"/>
      <c r="G415" s="10"/>
      <c r="I415" s="2"/>
      <c r="J415" s="2"/>
      <c r="K415" s="2"/>
      <c r="L415" s="2"/>
      <c r="M415" s="2"/>
      <c r="N415" s="2"/>
      <c r="O415" s="2"/>
      <c r="P415" s="2"/>
      <c r="Q415" s="2"/>
      <c r="R415" s="2"/>
      <c r="S415" s="2"/>
      <c r="T415" s="2"/>
      <c r="U415" s="2"/>
      <c r="V415" s="2"/>
      <c r="W415" s="2"/>
      <c r="X415" s="2"/>
      <c r="Y415" s="2"/>
      <c r="Z415" s="2"/>
      <c r="AA415" s="2"/>
    </row>
    <row r="416">
      <c r="A416" s="2"/>
      <c r="B416" s="2"/>
      <c r="D416" s="2"/>
      <c r="E416" s="2"/>
      <c r="F416" s="10"/>
      <c r="G416" s="10"/>
      <c r="I416" s="2"/>
      <c r="J416" s="2"/>
      <c r="K416" s="2"/>
      <c r="L416" s="2"/>
      <c r="M416" s="2"/>
      <c r="N416" s="2"/>
      <c r="O416" s="2"/>
      <c r="P416" s="2"/>
      <c r="Q416" s="2"/>
      <c r="R416" s="2"/>
      <c r="S416" s="2"/>
      <c r="T416" s="2"/>
      <c r="U416" s="2"/>
      <c r="V416" s="2"/>
      <c r="W416" s="2"/>
      <c r="X416" s="2"/>
      <c r="Y416" s="2"/>
      <c r="Z416" s="2"/>
      <c r="AA416" s="2"/>
    </row>
    <row r="417">
      <c r="A417" s="2"/>
      <c r="B417" s="2"/>
      <c r="D417" s="2"/>
      <c r="E417" s="2"/>
      <c r="F417" s="10"/>
      <c r="G417" s="10"/>
      <c r="I417" s="2"/>
      <c r="J417" s="2"/>
      <c r="K417" s="2"/>
      <c r="L417" s="2"/>
      <c r="M417" s="2"/>
      <c r="N417" s="2"/>
      <c r="O417" s="2"/>
      <c r="P417" s="2"/>
      <c r="Q417" s="2"/>
      <c r="R417" s="2"/>
      <c r="S417" s="2"/>
      <c r="T417" s="2"/>
      <c r="U417" s="2"/>
      <c r="V417" s="2"/>
      <c r="W417" s="2"/>
      <c r="X417" s="2"/>
      <c r="Y417" s="2"/>
      <c r="Z417" s="2"/>
      <c r="AA417" s="2"/>
    </row>
    <row r="418">
      <c r="A418" s="2"/>
      <c r="B418" s="2"/>
      <c r="D418" s="2"/>
      <c r="E418" s="2"/>
      <c r="F418" s="10"/>
      <c r="G418" s="10"/>
      <c r="I418" s="2"/>
      <c r="J418" s="2"/>
      <c r="K418" s="2"/>
      <c r="L418" s="2"/>
      <c r="M418" s="2"/>
      <c r="N418" s="2"/>
      <c r="O418" s="2"/>
      <c r="P418" s="2"/>
      <c r="Q418" s="2"/>
      <c r="R418" s="2"/>
      <c r="S418" s="2"/>
      <c r="T418" s="2"/>
      <c r="U418" s="2"/>
      <c r="V418" s="2"/>
      <c r="W418" s="2"/>
      <c r="X418" s="2"/>
      <c r="Y418" s="2"/>
      <c r="Z418" s="2"/>
      <c r="AA418" s="2"/>
    </row>
    <row r="419">
      <c r="A419" s="2"/>
      <c r="B419" s="2"/>
      <c r="D419" s="2"/>
      <c r="E419" s="2"/>
      <c r="F419" s="10"/>
      <c r="G419" s="10"/>
      <c r="I419" s="2"/>
      <c r="J419" s="2"/>
      <c r="K419" s="2"/>
      <c r="L419" s="2"/>
      <c r="M419" s="2"/>
      <c r="N419" s="2"/>
      <c r="O419" s="2"/>
      <c r="P419" s="2"/>
      <c r="Q419" s="2"/>
      <c r="R419" s="2"/>
      <c r="S419" s="2"/>
      <c r="T419" s="2"/>
      <c r="U419" s="2"/>
      <c r="V419" s="2"/>
      <c r="W419" s="2"/>
      <c r="X419" s="2"/>
      <c r="Y419" s="2"/>
      <c r="Z419" s="2"/>
      <c r="AA419" s="2"/>
    </row>
    <row r="420">
      <c r="A420" s="2"/>
      <c r="B420" s="2"/>
      <c r="D420" s="2"/>
      <c r="E420" s="2"/>
      <c r="F420" s="10"/>
      <c r="G420" s="10"/>
      <c r="I420" s="2"/>
      <c r="J420" s="2"/>
      <c r="K420" s="2"/>
      <c r="L420" s="2"/>
      <c r="M420" s="2"/>
      <c r="N420" s="2"/>
      <c r="O420" s="2"/>
      <c r="P420" s="2"/>
      <c r="Q420" s="2"/>
      <c r="R420" s="2"/>
      <c r="S420" s="2"/>
      <c r="T420" s="2"/>
      <c r="U420" s="2"/>
      <c r="V420" s="2"/>
      <c r="W420" s="2"/>
      <c r="X420" s="2"/>
      <c r="Y420" s="2"/>
      <c r="Z420" s="2"/>
      <c r="AA420" s="2"/>
    </row>
    <row r="421">
      <c r="A421" s="2"/>
      <c r="B421" s="2"/>
      <c r="D421" s="2"/>
      <c r="E421" s="2"/>
      <c r="F421" s="10"/>
      <c r="G421" s="10"/>
      <c r="I421" s="2"/>
      <c r="J421" s="2"/>
      <c r="K421" s="2"/>
      <c r="L421" s="2"/>
      <c r="M421" s="2"/>
      <c r="N421" s="2"/>
      <c r="O421" s="2"/>
      <c r="P421" s="2"/>
      <c r="Q421" s="2"/>
      <c r="R421" s="2"/>
      <c r="S421" s="2"/>
      <c r="T421" s="2"/>
      <c r="U421" s="2"/>
      <c r="V421" s="2"/>
      <c r="W421" s="2"/>
      <c r="X421" s="2"/>
      <c r="Y421" s="2"/>
      <c r="Z421" s="2"/>
      <c r="AA421" s="2"/>
    </row>
    <row r="422">
      <c r="A422" s="2"/>
      <c r="B422" s="2"/>
      <c r="D422" s="2"/>
      <c r="E422" s="2"/>
      <c r="F422" s="10"/>
      <c r="G422" s="10"/>
      <c r="I422" s="2"/>
      <c r="J422" s="2"/>
      <c r="K422" s="2"/>
      <c r="L422" s="2"/>
      <c r="M422" s="2"/>
      <c r="N422" s="2"/>
      <c r="O422" s="2"/>
      <c r="P422" s="2"/>
      <c r="Q422" s="2"/>
      <c r="R422" s="2"/>
      <c r="S422" s="2"/>
      <c r="T422" s="2"/>
      <c r="U422" s="2"/>
      <c r="V422" s="2"/>
      <c r="W422" s="2"/>
      <c r="X422" s="2"/>
      <c r="Y422" s="2"/>
      <c r="Z422" s="2"/>
      <c r="AA422" s="2"/>
    </row>
    <row r="423">
      <c r="A423" s="2"/>
      <c r="B423" s="2"/>
      <c r="D423" s="2"/>
      <c r="E423" s="2"/>
      <c r="F423" s="10"/>
      <c r="G423" s="10"/>
      <c r="I423" s="2"/>
      <c r="J423" s="2"/>
      <c r="K423" s="2"/>
      <c r="L423" s="2"/>
      <c r="M423" s="2"/>
      <c r="N423" s="2"/>
      <c r="O423" s="2"/>
      <c r="P423" s="2"/>
      <c r="Q423" s="2"/>
      <c r="R423" s="2"/>
      <c r="S423" s="2"/>
      <c r="T423" s="2"/>
      <c r="U423" s="2"/>
      <c r="V423" s="2"/>
      <c r="W423" s="2"/>
      <c r="X423" s="2"/>
      <c r="Y423" s="2"/>
      <c r="Z423" s="2"/>
      <c r="AA423" s="2"/>
    </row>
    <row r="424">
      <c r="A424" s="2"/>
      <c r="B424" s="2"/>
      <c r="D424" s="2"/>
      <c r="E424" s="2"/>
      <c r="F424" s="10"/>
      <c r="G424" s="10"/>
      <c r="I424" s="2"/>
      <c r="J424" s="2"/>
      <c r="K424" s="2"/>
      <c r="L424" s="2"/>
      <c r="M424" s="2"/>
      <c r="N424" s="2"/>
      <c r="O424" s="2"/>
      <c r="P424" s="2"/>
      <c r="Q424" s="2"/>
      <c r="R424" s="2"/>
      <c r="S424" s="2"/>
      <c r="T424" s="2"/>
      <c r="U424" s="2"/>
      <c r="V424" s="2"/>
      <c r="W424" s="2"/>
      <c r="X424" s="2"/>
      <c r="Y424" s="2"/>
      <c r="Z424" s="2"/>
      <c r="AA424" s="2"/>
    </row>
    <row r="425">
      <c r="A425" s="2"/>
      <c r="B425" s="2"/>
      <c r="D425" s="2"/>
      <c r="E425" s="2"/>
      <c r="F425" s="10"/>
      <c r="G425" s="10"/>
      <c r="I425" s="2"/>
      <c r="J425" s="2"/>
      <c r="K425" s="2"/>
      <c r="L425" s="2"/>
      <c r="M425" s="2"/>
      <c r="N425" s="2"/>
      <c r="O425" s="2"/>
      <c r="P425" s="2"/>
      <c r="Q425" s="2"/>
      <c r="R425" s="2"/>
      <c r="S425" s="2"/>
      <c r="T425" s="2"/>
      <c r="U425" s="2"/>
      <c r="V425" s="2"/>
      <c r="W425" s="2"/>
      <c r="X425" s="2"/>
      <c r="Y425" s="2"/>
      <c r="Z425" s="2"/>
      <c r="AA425" s="2"/>
    </row>
    <row r="426">
      <c r="A426" s="2"/>
      <c r="B426" s="2"/>
      <c r="D426" s="2"/>
      <c r="E426" s="2"/>
      <c r="F426" s="10"/>
      <c r="G426" s="10"/>
      <c r="I426" s="2"/>
      <c r="J426" s="2"/>
      <c r="K426" s="2"/>
      <c r="L426" s="2"/>
      <c r="M426" s="2"/>
      <c r="N426" s="2"/>
      <c r="O426" s="2"/>
      <c r="P426" s="2"/>
      <c r="Q426" s="2"/>
      <c r="R426" s="2"/>
      <c r="S426" s="2"/>
      <c r="T426" s="2"/>
      <c r="U426" s="2"/>
      <c r="V426" s="2"/>
      <c r="W426" s="2"/>
      <c r="X426" s="2"/>
      <c r="Y426" s="2"/>
      <c r="Z426" s="2"/>
      <c r="AA426" s="2"/>
    </row>
    <row r="427">
      <c r="A427" s="2"/>
      <c r="B427" s="2"/>
      <c r="D427" s="2"/>
      <c r="E427" s="2"/>
      <c r="F427" s="10"/>
      <c r="G427" s="10"/>
      <c r="I427" s="2"/>
      <c r="J427" s="2"/>
      <c r="K427" s="2"/>
      <c r="L427" s="2"/>
      <c r="M427" s="2"/>
      <c r="N427" s="2"/>
      <c r="O427" s="2"/>
      <c r="P427" s="2"/>
      <c r="Q427" s="2"/>
      <c r="R427" s="2"/>
      <c r="S427" s="2"/>
      <c r="T427" s="2"/>
      <c r="U427" s="2"/>
      <c r="V427" s="2"/>
      <c r="W427" s="2"/>
      <c r="X427" s="2"/>
      <c r="Y427" s="2"/>
      <c r="Z427" s="2"/>
      <c r="AA427" s="2"/>
    </row>
    <row r="428">
      <c r="A428" s="2"/>
      <c r="B428" s="2"/>
      <c r="D428" s="2"/>
      <c r="E428" s="2"/>
      <c r="F428" s="10"/>
      <c r="G428" s="10"/>
      <c r="I428" s="2"/>
      <c r="J428" s="2"/>
      <c r="K428" s="2"/>
      <c r="L428" s="2"/>
      <c r="M428" s="2"/>
      <c r="N428" s="2"/>
      <c r="O428" s="2"/>
      <c r="P428" s="2"/>
      <c r="Q428" s="2"/>
      <c r="R428" s="2"/>
      <c r="S428" s="2"/>
      <c r="T428" s="2"/>
      <c r="U428" s="2"/>
      <c r="V428" s="2"/>
      <c r="W428" s="2"/>
      <c r="X428" s="2"/>
      <c r="Y428" s="2"/>
      <c r="Z428" s="2"/>
      <c r="AA428" s="2"/>
    </row>
    <row r="429">
      <c r="A429" s="2"/>
      <c r="B429" s="2"/>
      <c r="D429" s="2"/>
      <c r="E429" s="2"/>
      <c r="F429" s="10"/>
      <c r="G429" s="10"/>
      <c r="I429" s="2"/>
      <c r="J429" s="2"/>
      <c r="K429" s="2"/>
      <c r="L429" s="2"/>
      <c r="M429" s="2"/>
      <c r="N429" s="2"/>
      <c r="O429" s="2"/>
      <c r="P429" s="2"/>
      <c r="Q429" s="2"/>
      <c r="R429" s="2"/>
      <c r="S429" s="2"/>
      <c r="T429" s="2"/>
      <c r="U429" s="2"/>
      <c r="V429" s="2"/>
      <c r="W429" s="2"/>
      <c r="X429" s="2"/>
      <c r="Y429" s="2"/>
      <c r="Z429" s="2"/>
      <c r="AA429" s="2"/>
    </row>
    <row r="430">
      <c r="A430" s="2"/>
      <c r="B430" s="2"/>
      <c r="D430" s="2"/>
      <c r="E430" s="2"/>
      <c r="F430" s="10"/>
      <c r="G430" s="10"/>
      <c r="I430" s="2"/>
      <c r="J430" s="2"/>
      <c r="K430" s="2"/>
      <c r="L430" s="2"/>
      <c r="M430" s="2"/>
      <c r="N430" s="2"/>
      <c r="O430" s="2"/>
      <c r="P430" s="2"/>
      <c r="Q430" s="2"/>
      <c r="R430" s="2"/>
      <c r="S430" s="2"/>
      <c r="T430" s="2"/>
      <c r="U430" s="2"/>
      <c r="V430" s="2"/>
      <c r="W430" s="2"/>
      <c r="X430" s="2"/>
      <c r="Y430" s="2"/>
      <c r="Z430" s="2"/>
      <c r="AA430" s="2"/>
    </row>
    <row r="431">
      <c r="A431" s="2"/>
      <c r="B431" s="2"/>
      <c r="D431" s="2"/>
      <c r="E431" s="2"/>
      <c r="F431" s="10"/>
      <c r="G431" s="10"/>
      <c r="I431" s="2"/>
      <c r="J431" s="2"/>
      <c r="K431" s="2"/>
      <c r="L431" s="2"/>
      <c r="M431" s="2"/>
      <c r="N431" s="2"/>
      <c r="O431" s="2"/>
      <c r="P431" s="2"/>
      <c r="Q431" s="2"/>
      <c r="R431" s="2"/>
      <c r="S431" s="2"/>
      <c r="T431" s="2"/>
      <c r="U431" s="2"/>
      <c r="V431" s="2"/>
      <c r="W431" s="2"/>
      <c r="X431" s="2"/>
      <c r="Y431" s="2"/>
      <c r="Z431" s="2"/>
      <c r="AA431" s="2"/>
    </row>
    <row r="432">
      <c r="A432" s="2"/>
      <c r="B432" s="2"/>
      <c r="D432" s="2"/>
      <c r="E432" s="2"/>
      <c r="F432" s="10"/>
      <c r="G432" s="10"/>
      <c r="I432" s="2"/>
      <c r="J432" s="2"/>
      <c r="K432" s="2"/>
      <c r="L432" s="2"/>
      <c r="M432" s="2"/>
      <c r="N432" s="2"/>
      <c r="O432" s="2"/>
      <c r="P432" s="2"/>
      <c r="Q432" s="2"/>
      <c r="R432" s="2"/>
      <c r="S432" s="2"/>
      <c r="T432" s="2"/>
      <c r="U432" s="2"/>
      <c r="V432" s="2"/>
      <c r="W432" s="2"/>
      <c r="X432" s="2"/>
      <c r="Y432" s="2"/>
      <c r="Z432" s="2"/>
      <c r="AA432" s="2"/>
    </row>
    <row r="433">
      <c r="A433" s="2"/>
      <c r="B433" s="2"/>
      <c r="D433" s="2"/>
      <c r="E433" s="2"/>
      <c r="F433" s="10"/>
      <c r="G433" s="10"/>
      <c r="I433" s="2"/>
      <c r="J433" s="2"/>
      <c r="K433" s="2"/>
      <c r="L433" s="2"/>
      <c r="M433" s="2"/>
      <c r="N433" s="2"/>
      <c r="O433" s="2"/>
      <c r="P433" s="2"/>
      <c r="Q433" s="2"/>
      <c r="R433" s="2"/>
      <c r="S433" s="2"/>
      <c r="T433" s="2"/>
      <c r="U433" s="2"/>
      <c r="V433" s="2"/>
      <c r="W433" s="2"/>
      <c r="X433" s="2"/>
      <c r="Y433" s="2"/>
      <c r="Z433" s="2"/>
      <c r="AA433" s="2"/>
    </row>
    <row r="434">
      <c r="A434" s="2"/>
      <c r="B434" s="2"/>
      <c r="D434" s="2"/>
      <c r="E434" s="2"/>
      <c r="F434" s="10"/>
      <c r="G434" s="10"/>
      <c r="I434" s="2"/>
      <c r="J434" s="2"/>
      <c r="K434" s="2"/>
      <c r="L434" s="2"/>
      <c r="M434" s="2"/>
      <c r="N434" s="2"/>
      <c r="O434" s="2"/>
      <c r="P434" s="2"/>
      <c r="Q434" s="2"/>
      <c r="R434" s="2"/>
      <c r="S434" s="2"/>
      <c r="T434" s="2"/>
      <c r="U434" s="2"/>
      <c r="V434" s="2"/>
      <c r="W434" s="2"/>
      <c r="X434" s="2"/>
      <c r="Y434" s="2"/>
      <c r="Z434" s="2"/>
      <c r="AA434" s="2"/>
    </row>
    <row r="435">
      <c r="A435" s="2"/>
      <c r="B435" s="2"/>
      <c r="D435" s="2"/>
      <c r="E435" s="2"/>
      <c r="F435" s="10"/>
      <c r="G435" s="10"/>
      <c r="I435" s="2"/>
      <c r="J435" s="2"/>
      <c r="K435" s="2"/>
      <c r="L435" s="2"/>
      <c r="M435" s="2"/>
      <c r="N435" s="2"/>
      <c r="O435" s="2"/>
      <c r="P435" s="2"/>
      <c r="Q435" s="2"/>
      <c r="R435" s="2"/>
      <c r="S435" s="2"/>
      <c r="T435" s="2"/>
      <c r="U435" s="2"/>
      <c r="V435" s="2"/>
      <c r="W435" s="2"/>
      <c r="X435" s="2"/>
      <c r="Y435" s="2"/>
      <c r="Z435" s="2"/>
      <c r="AA435" s="2"/>
    </row>
    <row r="436">
      <c r="A436" s="2"/>
      <c r="B436" s="2"/>
      <c r="D436" s="2"/>
      <c r="E436" s="2"/>
      <c r="F436" s="10"/>
      <c r="G436" s="10"/>
      <c r="I436" s="2"/>
      <c r="J436" s="2"/>
      <c r="K436" s="2"/>
      <c r="L436" s="2"/>
      <c r="M436" s="2"/>
      <c r="N436" s="2"/>
      <c r="O436" s="2"/>
      <c r="P436" s="2"/>
      <c r="Q436" s="2"/>
      <c r="R436" s="2"/>
      <c r="S436" s="2"/>
      <c r="T436" s="2"/>
      <c r="U436" s="2"/>
      <c r="V436" s="2"/>
      <c r="W436" s="2"/>
      <c r="X436" s="2"/>
      <c r="Y436" s="2"/>
      <c r="Z436" s="2"/>
      <c r="AA436" s="2"/>
    </row>
    <row r="437">
      <c r="A437" s="2"/>
      <c r="B437" s="2"/>
      <c r="D437" s="2"/>
      <c r="E437" s="2"/>
      <c r="F437" s="10"/>
      <c r="G437" s="10"/>
      <c r="I437" s="2"/>
      <c r="J437" s="2"/>
      <c r="K437" s="2"/>
      <c r="L437" s="2"/>
      <c r="M437" s="2"/>
      <c r="N437" s="2"/>
      <c r="O437" s="2"/>
      <c r="P437" s="2"/>
      <c r="Q437" s="2"/>
      <c r="R437" s="2"/>
      <c r="S437" s="2"/>
      <c r="T437" s="2"/>
      <c r="U437" s="2"/>
      <c r="V437" s="2"/>
      <c r="W437" s="2"/>
      <c r="X437" s="2"/>
      <c r="Y437" s="2"/>
      <c r="Z437" s="2"/>
      <c r="AA437" s="2"/>
    </row>
    <row r="438">
      <c r="A438" s="2"/>
      <c r="B438" s="2"/>
      <c r="D438" s="2"/>
      <c r="E438" s="2"/>
      <c r="F438" s="10"/>
      <c r="G438" s="10"/>
      <c r="I438" s="2"/>
      <c r="J438" s="2"/>
      <c r="K438" s="2"/>
      <c r="L438" s="2"/>
      <c r="M438" s="2"/>
      <c r="N438" s="2"/>
      <c r="O438" s="2"/>
      <c r="P438" s="2"/>
      <c r="Q438" s="2"/>
      <c r="R438" s="2"/>
      <c r="S438" s="2"/>
      <c r="T438" s="2"/>
      <c r="U438" s="2"/>
      <c r="V438" s="2"/>
      <c r="W438" s="2"/>
      <c r="X438" s="2"/>
      <c r="Y438" s="2"/>
      <c r="Z438" s="2"/>
      <c r="AA438" s="2"/>
    </row>
    <row r="439">
      <c r="A439" s="2"/>
      <c r="B439" s="2"/>
      <c r="D439" s="2"/>
      <c r="E439" s="2"/>
      <c r="F439" s="10"/>
      <c r="G439" s="10"/>
      <c r="I439" s="2"/>
      <c r="J439" s="2"/>
      <c r="K439" s="2"/>
      <c r="L439" s="2"/>
      <c r="M439" s="2"/>
      <c r="N439" s="2"/>
      <c r="O439" s="2"/>
      <c r="P439" s="2"/>
      <c r="Q439" s="2"/>
      <c r="R439" s="2"/>
      <c r="S439" s="2"/>
      <c r="T439" s="2"/>
      <c r="U439" s="2"/>
      <c r="V439" s="2"/>
      <c r="W439" s="2"/>
      <c r="X439" s="2"/>
      <c r="Y439" s="2"/>
      <c r="Z439" s="2"/>
      <c r="AA439" s="2"/>
    </row>
    <row r="440">
      <c r="A440" s="2"/>
      <c r="B440" s="2"/>
      <c r="D440" s="2"/>
      <c r="E440" s="2"/>
      <c r="F440" s="10"/>
      <c r="G440" s="10"/>
      <c r="I440" s="2"/>
      <c r="J440" s="2"/>
      <c r="K440" s="2"/>
      <c r="L440" s="2"/>
      <c r="M440" s="2"/>
      <c r="N440" s="2"/>
      <c r="O440" s="2"/>
      <c r="P440" s="2"/>
      <c r="Q440" s="2"/>
      <c r="R440" s="2"/>
      <c r="S440" s="2"/>
      <c r="T440" s="2"/>
      <c r="U440" s="2"/>
      <c r="V440" s="2"/>
      <c r="W440" s="2"/>
      <c r="X440" s="2"/>
      <c r="Y440" s="2"/>
      <c r="Z440" s="2"/>
      <c r="AA440" s="2"/>
    </row>
    <row r="441">
      <c r="A441" s="2"/>
      <c r="B441" s="2"/>
      <c r="D441" s="2"/>
      <c r="E441" s="2"/>
      <c r="F441" s="10"/>
      <c r="G441" s="10"/>
      <c r="I441" s="2"/>
      <c r="J441" s="2"/>
      <c r="K441" s="2"/>
      <c r="L441" s="2"/>
      <c r="M441" s="2"/>
      <c r="N441" s="2"/>
      <c r="O441" s="2"/>
      <c r="P441" s="2"/>
      <c r="Q441" s="2"/>
      <c r="R441" s="2"/>
      <c r="S441" s="2"/>
      <c r="T441" s="2"/>
      <c r="U441" s="2"/>
      <c r="V441" s="2"/>
      <c r="W441" s="2"/>
      <c r="X441" s="2"/>
      <c r="Y441" s="2"/>
      <c r="Z441" s="2"/>
      <c r="AA441" s="2"/>
    </row>
    <row r="442">
      <c r="A442" s="2"/>
      <c r="B442" s="2"/>
      <c r="D442" s="2"/>
      <c r="E442" s="2"/>
      <c r="F442" s="10"/>
      <c r="G442" s="10"/>
      <c r="I442" s="2"/>
      <c r="J442" s="2"/>
      <c r="K442" s="2"/>
      <c r="L442" s="2"/>
      <c r="M442" s="2"/>
      <c r="N442" s="2"/>
      <c r="O442" s="2"/>
      <c r="P442" s="2"/>
      <c r="Q442" s="2"/>
      <c r="R442" s="2"/>
      <c r="S442" s="2"/>
      <c r="T442" s="2"/>
      <c r="U442" s="2"/>
      <c r="V442" s="2"/>
      <c r="W442" s="2"/>
      <c r="X442" s="2"/>
      <c r="Y442" s="2"/>
      <c r="Z442" s="2"/>
      <c r="AA442" s="2"/>
    </row>
    <row r="443">
      <c r="A443" s="2"/>
      <c r="B443" s="2"/>
      <c r="D443" s="2"/>
      <c r="E443" s="2"/>
      <c r="F443" s="10"/>
      <c r="G443" s="10"/>
      <c r="I443" s="2"/>
      <c r="J443" s="2"/>
      <c r="K443" s="2"/>
      <c r="L443" s="2"/>
      <c r="M443" s="2"/>
      <c r="N443" s="2"/>
      <c r="O443" s="2"/>
      <c r="P443" s="2"/>
      <c r="Q443" s="2"/>
      <c r="R443" s="2"/>
      <c r="S443" s="2"/>
      <c r="T443" s="2"/>
      <c r="U443" s="2"/>
      <c r="V443" s="2"/>
      <c r="W443" s="2"/>
      <c r="X443" s="2"/>
      <c r="Y443" s="2"/>
      <c r="Z443" s="2"/>
      <c r="AA443" s="2"/>
    </row>
    <row r="444">
      <c r="A444" s="2"/>
      <c r="B444" s="2"/>
      <c r="D444" s="2"/>
      <c r="E444" s="2"/>
      <c r="F444" s="10"/>
      <c r="G444" s="10"/>
      <c r="I444" s="2"/>
      <c r="J444" s="2"/>
      <c r="K444" s="2"/>
      <c r="L444" s="2"/>
      <c r="M444" s="2"/>
      <c r="N444" s="2"/>
      <c r="O444" s="2"/>
      <c r="P444" s="2"/>
      <c r="Q444" s="2"/>
      <c r="R444" s="2"/>
      <c r="S444" s="2"/>
      <c r="T444" s="2"/>
      <c r="U444" s="2"/>
      <c r="V444" s="2"/>
      <c r="W444" s="2"/>
      <c r="X444" s="2"/>
      <c r="Y444" s="2"/>
      <c r="Z444" s="2"/>
      <c r="AA444" s="2"/>
    </row>
    <row r="445">
      <c r="A445" s="2"/>
      <c r="B445" s="2"/>
      <c r="D445" s="2"/>
      <c r="E445" s="2"/>
      <c r="F445" s="10"/>
      <c r="G445" s="10"/>
      <c r="I445" s="2"/>
      <c r="J445" s="2"/>
      <c r="K445" s="2"/>
      <c r="L445" s="2"/>
      <c r="M445" s="2"/>
      <c r="N445" s="2"/>
      <c r="O445" s="2"/>
      <c r="P445" s="2"/>
      <c r="Q445" s="2"/>
      <c r="R445" s="2"/>
      <c r="S445" s="2"/>
      <c r="T445" s="2"/>
      <c r="U445" s="2"/>
      <c r="V445" s="2"/>
      <c r="W445" s="2"/>
      <c r="X445" s="2"/>
      <c r="Y445" s="2"/>
      <c r="Z445" s="2"/>
      <c r="AA445" s="2"/>
    </row>
    <row r="446">
      <c r="A446" s="2"/>
      <c r="B446" s="2"/>
      <c r="D446" s="2"/>
      <c r="E446" s="2"/>
      <c r="F446" s="10"/>
      <c r="G446" s="10"/>
      <c r="I446" s="2"/>
      <c r="J446" s="2"/>
      <c r="K446" s="2"/>
      <c r="L446" s="2"/>
      <c r="M446" s="2"/>
      <c r="N446" s="2"/>
      <c r="O446" s="2"/>
      <c r="P446" s="2"/>
      <c r="Q446" s="2"/>
      <c r="R446" s="2"/>
      <c r="S446" s="2"/>
      <c r="T446" s="2"/>
      <c r="U446" s="2"/>
      <c r="V446" s="2"/>
      <c r="W446" s="2"/>
      <c r="X446" s="2"/>
      <c r="Y446" s="2"/>
      <c r="Z446" s="2"/>
      <c r="AA446" s="2"/>
    </row>
    <row r="447">
      <c r="A447" s="2"/>
      <c r="B447" s="2"/>
      <c r="D447" s="2"/>
      <c r="E447" s="2"/>
      <c r="F447" s="10"/>
      <c r="G447" s="10"/>
      <c r="I447" s="2"/>
      <c r="J447" s="2"/>
      <c r="K447" s="2"/>
      <c r="L447" s="2"/>
      <c r="M447" s="2"/>
      <c r="N447" s="2"/>
      <c r="O447" s="2"/>
      <c r="P447" s="2"/>
      <c r="Q447" s="2"/>
      <c r="R447" s="2"/>
      <c r="S447" s="2"/>
      <c r="T447" s="2"/>
      <c r="U447" s="2"/>
      <c r="V447" s="2"/>
      <c r="W447" s="2"/>
      <c r="X447" s="2"/>
      <c r="Y447" s="2"/>
      <c r="Z447" s="2"/>
      <c r="AA447" s="2"/>
    </row>
    <row r="448">
      <c r="A448" s="2"/>
      <c r="B448" s="2"/>
      <c r="D448" s="2"/>
      <c r="E448" s="2"/>
      <c r="F448" s="10"/>
      <c r="G448" s="10"/>
      <c r="I448" s="2"/>
      <c r="J448" s="2"/>
      <c r="K448" s="2"/>
      <c r="L448" s="2"/>
      <c r="M448" s="2"/>
      <c r="N448" s="2"/>
      <c r="O448" s="2"/>
      <c r="P448" s="2"/>
      <c r="Q448" s="2"/>
      <c r="R448" s="2"/>
      <c r="S448" s="2"/>
      <c r="T448" s="2"/>
      <c r="U448" s="2"/>
      <c r="V448" s="2"/>
      <c r="W448" s="2"/>
      <c r="X448" s="2"/>
      <c r="Y448" s="2"/>
      <c r="Z448" s="2"/>
      <c r="AA448" s="2"/>
    </row>
    <row r="449">
      <c r="A449" s="2"/>
      <c r="B449" s="2"/>
      <c r="D449" s="2"/>
      <c r="E449" s="2"/>
      <c r="F449" s="10"/>
      <c r="G449" s="10"/>
      <c r="I449" s="2"/>
      <c r="J449" s="2"/>
      <c r="K449" s="2"/>
      <c r="L449" s="2"/>
      <c r="M449" s="2"/>
      <c r="N449" s="2"/>
      <c r="O449" s="2"/>
      <c r="P449" s="2"/>
      <c r="Q449" s="2"/>
      <c r="R449" s="2"/>
      <c r="S449" s="2"/>
      <c r="T449" s="2"/>
      <c r="U449" s="2"/>
      <c r="V449" s="2"/>
      <c r="W449" s="2"/>
      <c r="X449" s="2"/>
      <c r="Y449" s="2"/>
      <c r="Z449" s="2"/>
      <c r="AA449" s="2"/>
    </row>
    <row r="450">
      <c r="A450" s="2"/>
      <c r="B450" s="2"/>
      <c r="D450" s="2"/>
      <c r="E450" s="2"/>
      <c r="F450" s="10"/>
      <c r="G450" s="10"/>
      <c r="I450" s="2"/>
      <c r="J450" s="2"/>
      <c r="K450" s="2"/>
      <c r="L450" s="2"/>
      <c r="M450" s="2"/>
      <c r="N450" s="2"/>
      <c r="O450" s="2"/>
      <c r="P450" s="2"/>
      <c r="Q450" s="2"/>
      <c r="R450" s="2"/>
      <c r="S450" s="2"/>
      <c r="T450" s="2"/>
      <c r="U450" s="2"/>
      <c r="V450" s="2"/>
      <c r="W450" s="2"/>
      <c r="X450" s="2"/>
      <c r="Y450" s="2"/>
      <c r="Z450" s="2"/>
      <c r="AA450" s="2"/>
    </row>
    <row r="451">
      <c r="A451" s="2"/>
      <c r="B451" s="2"/>
      <c r="D451" s="2"/>
      <c r="E451" s="2"/>
      <c r="F451" s="10"/>
      <c r="G451" s="10"/>
      <c r="I451" s="2"/>
      <c r="J451" s="2"/>
      <c r="K451" s="2"/>
      <c r="L451" s="2"/>
      <c r="M451" s="2"/>
      <c r="N451" s="2"/>
      <c r="O451" s="2"/>
      <c r="P451" s="2"/>
      <c r="Q451" s="2"/>
      <c r="R451" s="2"/>
      <c r="S451" s="2"/>
      <c r="T451" s="2"/>
      <c r="U451" s="2"/>
      <c r="V451" s="2"/>
      <c r="W451" s="2"/>
      <c r="X451" s="2"/>
      <c r="Y451" s="2"/>
      <c r="Z451" s="2"/>
      <c r="AA451" s="2"/>
    </row>
    <row r="452">
      <c r="A452" s="2"/>
      <c r="B452" s="2"/>
      <c r="D452" s="2"/>
      <c r="E452" s="2"/>
      <c r="F452" s="10"/>
      <c r="G452" s="10"/>
      <c r="I452" s="2"/>
      <c r="J452" s="2"/>
      <c r="K452" s="2"/>
      <c r="L452" s="2"/>
      <c r="M452" s="2"/>
      <c r="N452" s="2"/>
      <c r="O452" s="2"/>
      <c r="P452" s="2"/>
      <c r="Q452" s="2"/>
      <c r="R452" s="2"/>
      <c r="S452" s="2"/>
      <c r="T452" s="2"/>
      <c r="U452" s="2"/>
      <c r="V452" s="2"/>
      <c r="W452" s="2"/>
      <c r="X452" s="2"/>
      <c r="Y452" s="2"/>
      <c r="Z452" s="2"/>
      <c r="AA452" s="2"/>
    </row>
    <row r="453">
      <c r="A453" s="2"/>
      <c r="B453" s="2"/>
      <c r="D453" s="2"/>
      <c r="E453" s="2"/>
      <c r="F453" s="10"/>
      <c r="G453" s="10"/>
      <c r="I453" s="2"/>
      <c r="J453" s="2"/>
      <c r="K453" s="2"/>
      <c r="L453" s="2"/>
      <c r="M453" s="2"/>
      <c r="N453" s="2"/>
      <c r="O453" s="2"/>
      <c r="P453" s="2"/>
      <c r="Q453" s="2"/>
      <c r="R453" s="2"/>
      <c r="S453" s="2"/>
      <c r="T453" s="2"/>
      <c r="U453" s="2"/>
      <c r="V453" s="2"/>
      <c r="W453" s="2"/>
      <c r="X453" s="2"/>
      <c r="Y453" s="2"/>
      <c r="Z453" s="2"/>
      <c r="AA453" s="2"/>
    </row>
    <row r="454">
      <c r="A454" s="2"/>
      <c r="B454" s="2"/>
      <c r="D454" s="2"/>
      <c r="E454" s="2"/>
      <c r="F454" s="10"/>
      <c r="G454" s="10"/>
      <c r="I454" s="2"/>
      <c r="J454" s="2"/>
      <c r="K454" s="2"/>
      <c r="L454" s="2"/>
      <c r="M454" s="2"/>
      <c r="N454" s="2"/>
      <c r="O454" s="2"/>
      <c r="P454" s="2"/>
      <c r="Q454" s="2"/>
      <c r="R454" s="2"/>
      <c r="S454" s="2"/>
      <c r="T454" s="2"/>
      <c r="U454" s="2"/>
      <c r="V454" s="2"/>
      <c r="W454" s="2"/>
      <c r="X454" s="2"/>
      <c r="Y454" s="2"/>
      <c r="Z454" s="2"/>
      <c r="AA454" s="2"/>
    </row>
    <row r="455">
      <c r="A455" s="2"/>
      <c r="B455" s="2"/>
      <c r="D455" s="2"/>
      <c r="E455" s="2"/>
      <c r="F455" s="10"/>
      <c r="G455" s="10"/>
      <c r="I455" s="2"/>
      <c r="J455" s="2"/>
      <c r="K455" s="2"/>
      <c r="L455" s="2"/>
      <c r="M455" s="2"/>
      <c r="N455" s="2"/>
      <c r="O455" s="2"/>
      <c r="P455" s="2"/>
      <c r="Q455" s="2"/>
      <c r="R455" s="2"/>
      <c r="S455" s="2"/>
      <c r="T455" s="2"/>
      <c r="U455" s="2"/>
      <c r="V455" s="2"/>
      <c r="W455" s="2"/>
      <c r="X455" s="2"/>
      <c r="Y455" s="2"/>
      <c r="Z455" s="2"/>
      <c r="AA455" s="2"/>
    </row>
    <row r="456">
      <c r="A456" s="2"/>
      <c r="B456" s="2"/>
      <c r="D456" s="2"/>
      <c r="E456" s="2"/>
      <c r="F456" s="10"/>
      <c r="G456" s="10"/>
      <c r="I456" s="2"/>
      <c r="J456" s="2"/>
      <c r="K456" s="2"/>
      <c r="L456" s="2"/>
      <c r="M456" s="2"/>
      <c r="N456" s="2"/>
      <c r="O456" s="2"/>
      <c r="P456" s="2"/>
      <c r="Q456" s="2"/>
      <c r="R456" s="2"/>
      <c r="S456" s="2"/>
      <c r="T456" s="2"/>
      <c r="U456" s="2"/>
      <c r="V456" s="2"/>
      <c r="W456" s="2"/>
      <c r="X456" s="2"/>
      <c r="Y456" s="2"/>
      <c r="Z456" s="2"/>
      <c r="AA456" s="2"/>
    </row>
    <row r="457">
      <c r="A457" s="2"/>
      <c r="B457" s="2"/>
      <c r="D457" s="2"/>
      <c r="E457" s="2"/>
      <c r="F457" s="10"/>
      <c r="G457" s="10"/>
      <c r="I457" s="2"/>
      <c r="J457" s="2"/>
      <c r="K457" s="2"/>
      <c r="L457" s="2"/>
      <c r="M457" s="2"/>
      <c r="N457" s="2"/>
      <c r="O457" s="2"/>
      <c r="P457" s="2"/>
      <c r="Q457" s="2"/>
      <c r="R457" s="2"/>
      <c r="S457" s="2"/>
      <c r="T457" s="2"/>
      <c r="U457" s="2"/>
      <c r="V457" s="2"/>
      <c r="W457" s="2"/>
      <c r="X457" s="2"/>
      <c r="Y457" s="2"/>
      <c r="Z457" s="2"/>
      <c r="AA457" s="2"/>
    </row>
    <row r="458">
      <c r="A458" s="2"/>
      <c r="B458" s="2"/>
      <c r="D458" s="2"/>
      <c r="E458" s="2"/>
      <c r="F458" s="10"/>
      <c r="G458" s="10"/>
      <c r="I458" s="2"/>
      <c r="J458" s="2"/>
      <c r="K458" s="2"/>
      <c r="L458" s="2"/>
      <c r="M458" s="2"/>
      <c r="N458" s="2"/>
      <c r="O458" s="2"/>
      <c r="P458" s="2"/>
      <c r="Q458" s="2"/>
      <c r="R458" s="2"/>
      <c r="S458" s="2"/>
      <c r="T458" s="2"/>
      <c r="U458" s="2"/>
      <c r="V458" s="2"/>
      <c r="W458" s="2"/>
      <c r="X458" s="2"/>
      <c r="Y458" s="2"/>
      <c r="Z458" s="2"/>
      <c r="AA458" s="2"/>
    </row>
    <row r="459">
      <c r="A459" s="2"/>
      <c r="B459" s="2"/>
      <c r="D459" s="2"/>
      <c r="E459" s="2"/>
      <c r="F459" s="10"/>
      <c r="G459" s="10"/>
      <c r="I459" s="2"/>
      <c r="J459" s="2"/>
      <c r="K459" s="2"/>
      <c r="L459" s="2"/>
      <c r="M459" s="2"/>
      <c r="N459" s="2"/>
      <c r="O459" s="2"/>
      <c r="P459" s="2"/>
      <c r="Q459" s="2"/>
      <c r="R459" s="2"/>
      <c r="S459" s="2"/>
      <c r="T459" s="2"/>
      <c r="U459" s="2"/>
      <c r="V459" s="2"/>
      <c r="W459" s="2"/>
      <c r="X459" s="2"/>
      <c r="Y459" s="2"/>
      <c r="Z459" s="2"/>
      <c r="AA459" s="2"/>
    </row>
    <row r="460">
      <c r="A460" s="2"/>
      <c r="B460" s="2"/>
      <c r="D460" s="2"/>
      <c r="E460" s="2"/>
      <c r="F460" s="10"/>
      <c r="G460" s="10"/>
      <c r="I460" s="2"/>
      <c r="J460" s="2"/>
      <c r="K460" s="2"/>
      <c r="L460" s="2"/>
      <c r="M460" s="2"/>
      <c r="N460" s="2"/>
      <c r="O460" s="2"/>
      <c r="P460" s="2"/>
      <c r="Q460" s="2"/>
      <c r="R460" s="2"/>
      <c r="S460" s="2"/>
      <c r="T460" s="2"/>
      <c r="U460" s="2"/>
      <c r="V460" s="2"/>
      <c r="W460" s="2"/>
      <c r="X460" s="2"/>
      <c r="Y460" s="2"/>
      <c r="Z460" s="2"/>
      <c r="AA460" s="2"/>
    </row>
    <row r="461">
      <c r="A461" s="2"/>
      <c r="B461" s="2"/>
      <c r="D461" s="2"/>
      <c r="E461" s="2"/>
      <c r="F461" s="10"/>
      <c r="G461" s="10"/>
      <c r="I461" s="2"/>
      <c r="J461" s="2"/>
      <c r="K461" s="2"/>
      <c r="L461" s="2"/>
      <c r="M461" s="2"/>
      <c r="N461" s="2"/>
      <c r="O461" s="2"/>
      <c r="P461" s="2"/>
      <c r="Q461" s="2"/>
      <c r="R461" s="2"/>
      <c r="S461" s="2"/>
      <c r="T461" s="2"/>
      <c r="U461" s="2"/>
      <c r="V461" s="2"/>
      <c r="W461" s="2"/>
      <c r="X461" s="2"/>
      <c r="Y461" s="2"/>
      <c r="Z461" s="2"/>
      <c r="AA461" s="2"/>
    </row>
    <row r="462">
      <c r="A462" s="2"/>
      <c r="B462" s="2"/>
      <c r="D462" s="2"/>
      <c r="E462" s="2"/>
      <c r="F462" s="10"/>
      <c r="G462" s="10"/>
      <c r="I462" s="2"/>
      <c r="J462" s="2"/>
      <c r="K462" s="2"/>
      <c r="L462" s="2"/>
      <c r="M462" s="2"/>
      <c r="N462" s="2"/>
      <c r="O462" s="2"/>
      <c r="P462" s="2"/>
      <c r="Q462" s="2"/>
      <c r="R462" s="2"/>
      <c r="S462" s="2"/>
      <c r="T462" s="2"/>
      <c r="U462" s="2"/>
      <c r="V462" s="2"/>
      <c r="W462" s="2"/>
      <c r="X462" s="2"/>
      <c r="Y462" s="2"/>
      <c r="Z462" s="2"/>
      <c r="AA462" s="2"/>
    </row>
    <row r="463">
      <c r="A463" s="2"/>
      <c r="B463" s="2"/>
      <c r="D463" s="2"/>
      <c r="E463" s="2"/>
      <c r="F463" s="10"/>
      <c r="G463" s="10"/>
      <c r="I463" s="2"/>
      <c r="J463" s="2"/>
      <c r="K463" s="2"/>
      <c r="L463" s="2"/>
      <c r="M463" s="2"/>
      <c r="N463" s="2"/>
      <c r="O463" s="2"/>
      <c r="P463" s="2"/>
      <c r="Q463" s="2"/>
      <c r="R463" s="2"/>
      <c r="S463" s="2"/>
      <c r="T463" s="2"/>
      <c r="U463" s="2"/>
      <c r="V463" s="2"/>
      <c r="W463" s="2"/>
      <c r="X463" s="2"/>
      <c r="Y463" s="2"/>
      <c r="Z463" s="2"/>
      <c r="AA463" s="2"/>
    </row>
    <row r="464">
      <c r="A464" s="2"/>
      <c r="B464" s="2"/>
      <c r="D464" s="2"/>
      <c r="E464" s="2"/>
      <c r="F464" s="10"/>
      <c r="G464" s="10"/>
      <c r="I464" s="2"/>
      <c r="J464" s="2"/>
      <c r="K464" s="2"/>
      <c r="L464" s="2"/>
      <c r="M464" s="2"/>
      <c r="N464" s="2"/>
      <c r="O464" s="2"/>
      <c r="P464" s="2"/>
      <c r="Q464" s="2"/>
      <c r="R464" s="2"/>
      <c r="S464" s="2"/>
      <c r="T464" s="2"/>
      <c r="U464" s="2"/>
      <c r="V464" s="2"/>
      <c r="W464" s="2"/>
      <c r="X464" s="2"/>
      <c r="Y464" s="2"/>
      <c r="Z464" s="2"/>
      <c r="AA464" s="2"/>
    </row>
    <row r="465">
      <c r="A465" s="2"/>
      <c r="B465" s="2"/>
      <c r="D465" s="2"/>
      <c r="E465" s="2"/>
      <c r="F465" s="10"/>
      <c r="G465" s="10"/>
      <c r="I465" s="2"/>
      <c r="J465" s="2"/>
      <c r="K465" s="2"/>
      <c r="L465" s="2"/>
      <c r="M465" s="2"/>
      <c r="N465" s="2"/>
      <c r="O465" s="2"/>
      <c r="P465" s="2"/>
      <c r="Q465" s="2"/>
      <c r="R465" s="2"/>
      <c r="S465" s="2"/>
      <c r="T465" s="2"/>
      <c r="U465" s="2"/>
      <c r="V465" s="2"/>
      <c r="W465" s="2"/>
      <c r="X465" s="2"/>
      <c r="Y465" s="2"/>
      <c r="Z465" s="2"/>
      <c r="AA465" s="2"/>
    </row>
    <row r="466">
      <c r="A466" s="2"/>
      <c r="B466" s="2"/>
      <c r="D466" s="2"/>
      <c r="E466" s="2"/>
      <c r="F466" s="10"/>
      <c r="G466" s="10"/>
      <c r="I466" s="2"/>
      <c r="J466" s="2"/>
      <c r="K466" s="2"/>
      <c r="L466" s="2"/>
      <c r="M466" s="2"/>
      <c r="N466" s="2"/>
      <c r="O466" s="2"/>
      <c r="P466" s="2"/>
      <c r="Q466" s="2"/>
      <c r="R466" s="2"/>
      <c r="S466" s="2"/>
      <c r="T466" s="2"/>
      <c r="U466" s="2"/>
      <c r="V466" s="2"/>
      <c r="W466" s="2"/>
      <c r="X466" s="2"/>
      <c r="Y466" s="2"/>
      <c r="Z466" s="2"/>
      <c r="AA466" s="2"/>
    </row>
    <row r="467">
      <c r="A467" s="2"/>
      <c r="B467" s="2"/>
      <c r="D467" s="2"/>
      <c r="E467" s="2"/>
      <c r="F467" s="10"/>
      <c r="G467" s="10"/>
      <c r="I467" s="2"/>
      <c r="J467" s="2"/>
      <c r="K467" s="2"/>
      <c r="L467" s="2"/>
      <c r="M467" s="2"/>
      <c r="N467" s="2"/>
      <c r="O467" s="2"/>
      <c r="P467" s="2"/>
      <c r="Q467" s="2"/>
      <c r="R467" s="2"/>
      <c r="S467" s="2"/>
      <c r="T467" s="2"/>
      <c r="U467" s="2"/>
      <c r="V467" s="2"/>
      <c r="W467" s="2"/>
      <c r="X467" s="2"/>
      <c r="Y467" s="2"/>
      <c r="Z467" s="2"/>
      <c r="AA467" s="2"/>
    </row>
    <row r="468">
      <c r="A468" s="2"/>
      <c r="B468" s="2"/>
      <c r="D468" s="2"/>
      <c r="E468" s="2"/>
      <c r="F468" s="10"/>
      <c r="G468" s="10"/>
      <c r="I468" s="2"/>
      <c r="J468" s="2"/>
      <c r="K468" s="2"/>
      <c r="L468" s="2"/>
      <c r="M468" s="2"/>
      <c r="N468" s="2"/>
      <c r="O468" s="2"/>
      <c r="P468" s="2"/>
      <c r="Q468" s="2"/>
      <c r="R468" s="2"/>
      <c r="S468" s="2"/>
      <c r="T468" s="2"/>
      <c r="U468" s="2"/>
      <c r="V468" s="2"/>
      <c r="W468" s="2"/>
      <c r="X468" s="2"/>
      <c r="Y468" s="2"/>
      <c r="Z468" s="2"/>
      <c r="AA468" s="2"/>
    </row>
    <row r="469">
      <c r="A469" s="2"/>
      <c r="B469" s="2"/>
      <c r="D469" s="2"/>
      <c r="E469" s="2"/>
      <c r="F469" s="10"/>
      <c r="G469" s="10"/>
      <c r="I469" s="2"/>
      <c r="J469" s="2"/>
      <c r="K469" s="2"/>
      <c r="L469" s="2"/>
      <c r="M469" s="2"/>
      <c r="N469" s="2"/>
      <c r="O469" s="2"/>
      <c r="P469" s="2"/>
      <c r="Q469" s="2"/>
      <c r="R469" s="2"/>
      <c r="S469" s="2"/>
      <c r="T469" s="2"/>
      <c r="U469" s="2"/>
      <c r="V469" s="2"/>
      <c r="W469" s="2"/>
      <c r="X469" s="2"/>
      <c r="Y469" s="2"/>
      <c r="Z469" s="2"/>
      <c r="AA469" s="2"/>
    </row>
    <row r="470">
      <c r="A470" s="2"/>
      <c r="B470" s="2"/>
      <c r="D470" s="2"/>
      <c r="E470" s="2"/>
      <c r="F470" s="10"/>
      <c r="G470" s="10"/>
      <c r="I470" s="2"/>
      <c r="J470" s="2"/>
      <c r="K470" s="2"/>
      <c r="L470" s="2"/>
      <c r="M470" s="2"/>
      <c r="N470" s="2"/>
      <c r="O470" s="2"/>
      <c r="P470" s="2"/>
      <c r="Q470" s="2"/>
      <c r="R470" s="2"/>
      <c r="S470" s="2"/>
      <c r="T470" s="2"/>
      <c r="U470" s="2"/>
      <c r="V470" s="2"/>
      <c r="W470" s="2"/>
      <c r="X470" s="2"/>
      <c r="Y470" s="2"/>
      <c r="Z470" s="2"/>
      <c r="AA470" s="2"/>
    </row>
    <row r="471">
      <c r="A471" s="2"/>
      <c r="B471" s="2"/>
      <c r="D471" s="2"/>
      <c r="E471" s="2"/>
      <c r="F471" s="10"/>
      <c r="G471" s="10"/>
      <c r="I471" s="2"/>
      <c r="J471" s="2"/>
      <c r="K471" s="2"/>
      <c r="L471" s="2"/>
      <c r="M471" s="2"/>
      <c r="N471" s="2"/>
      <c r="O471" s="2"/>
      <c r="P471" s="2"/>
      <c r="Q471" s="2"/>
      <c r="R471" s="2"/>
      <c r="S471" s="2"/>
      <c r="T471" s="2"/>
      <c r="U471" s="2"/>
      <c r="V471" s="2"/>
      <c r="W471" s="2"/>
      <c r="X471" s="2"/>
      <c r="Y471" s="2"/>
      <c r="Z471" s="2"/>
      <c r="AA471" s="2"/>
    </row>
    <row r="472">
      <c r="A472" s="2"/>
      <c r="B472" s="2"/>
      <c r="D472" s="2"/>
      <c r="E472" s="2"/>
      <c r="F472" s="10"/>
      <c r="G472" s="10"/>
      <c r="I472" s="2"/>
      <c r="J472" s="2"/>
      <c r="K472" s="2"/>
      <c r="L472" s="2"/>
      <c r="M472" s="2"/>
      <c r="N472" s="2"/>
      <c r="O472" s="2"/>
      <c r="P472" s="2"/>
      <c r="Q472" s="2"/>
      <c r="R472" s="2"/>
      <c r="S472" s="2"/>
      <c r="T472" s="2"/>
      <c r="U472" s="2"/>
      <c r="V472" s="2"/>
      <c r="W472" s="2"/>
      <c r="X472" s="2"/>
      <c r="Y472" s="2"/>
      <c r="Z472" s="2"/>
      <c r="AA472" s="2"/>
    </row>
    <row r="473">
      <c r="A473" s="2"/>
      <c r="B473" s="2"/>
      <c r="D473" s="2"/>
      <c r="E473" s="2"/>
      <c r="F473" s="10"/>
      <c r="G473" s="10"/>
      <c r="I473" s="2"/>
      <c r="J473" s="2"/>
      <c r="K473" s="2"/>
      <c r="L473" s="2"/>
      <c r="M473" s="2"/>
      <c r="N473" s="2"/>
      <c r="O473" s="2"/>
      <c r="P473" s="2"/>
      <c r="Q473" s="2"/>
      <c r="R473" s="2"/>
      <c r="S473" s="2"/>
      <c r="T473" s="2"/>
      <c r="U473" s="2"/>
      <c r="V473" s="2"/>
      <c r="W473" s="2"/>
      <c r="X473" s="2"/>
      <c r="Y473" s="2"/>
      <c r="Z473" s="2"/>
      <c r="AA473" s="2"/>
    </row>
    <row r="474">
      <c r="A474" s="2"/>
      <c r="B474" s="2"/>
      <c r="D474" s="2"/>
      <c r="E474" s="2"/>
      <c r="F474" s="10"/>
      <c r="G474" s="10"/>
      <c r="I474" s="2"/>
      <c r="J474" s="2"/>
      <c r="K474" s="2"/>
      <c r="L474" s="2"/>
      <c r="M474" s="2"/>
      <c r="N474" s="2"/>
      <c r="O474" s="2"/>
      <c r="P474" s="2"/>
      <c r="Q474" s="2"/>
      <c r="R474" s="2"/>
      <c r="S474" s="2"/>
      <c r="T474" s="2"/>
      <c r="U474" s="2"/>
      <c r="V474" s="2"/>
      <c r="W474" s="2"/>
      <c r="X474" s="2"/>
      <c r="Y474" s="2"/>
      <c r="Z474" s="2"/>
      <c r="AA474" s="2"/>
    </row>
    <row r="475">
      <c r="A475" s="2"/>
      <c r="B475" s="2"/>
      <c r="D475" s="2"/>
      <c r="E475" s="2"/>
      <c r="F475" s="10"/>
      <c r="G475" s="10"/>
      <c r="I475" s="2"/>
      <c r="J475" s="2"/>
      <c r="K475" s="2"/>
      <c r="L475" s="2"/>
      <c r="M475" s="2"/>
      <c r="N475" s="2"/>
      <c r="O475" s="2"/>
      <c r="P475" s="2"/>
      <c r="Q475" s="2"/>
      <c r="R475" s="2"/>
      <c r="S475" s="2"/>
      <c r="T475" s="2"/>
      <c r="U475" s="2"/>
      <c r="V475" s="2"/>
      <c r="W475" s="2"/>
      <c r="X475" s="2"/>
      <c r="Y475" s="2"/>
      <c r="Z475" s="2"/>
      <c r="AA475" s="2"/>
    </row>
    <row r="476">
      <c r="A476" s="2"/>
      <c r="B476" s="2"/>
      <c r="D476" s="2"/>
      <c r="E476" s="2"/>
      <c r="F476" s="10"/>
      <c r="G476" s="10"/>
      <c r="I476" s="2"/>
      <c r="J476" s="2"/>
      <c r="K476" s="2"/>
      <c r="L476" s="2"/>
      <c r="M476" s="2"/>
      <c r="N476" s="2"/>
      <c r="O476" s="2"/>
      <c r="P476" s="2"/>
      <c r="Q476" s="2"/>
      <c r="R476" s="2"/>
      <c r="S476" s="2"/>
      <c r="T476" s="2"/>
      <c r="U476" s="2"/>
      <c r="V476" s="2"/>
      <c r="W476" s="2"/>
      <c r="X476" s="2"/>
      <c r="Y476" s="2"/>
      <c r="Z476" s="2"/>
      <c r="AA476" s="2"/>
    </row>
    <row r="477">
      <c r="A477" s="2"/>
      <c r="B477" s="2"/>
      <c r="D477" s="2"/>
      <c r="E477" s="2"/>
      <c r="F477" s="10"/>
      <c r="G477" s="10"/>
      <c r="I477" s="2"/>
      <c r="J477" s="2"/>
      <c r="K477" s="2"/>
      <c r="L477" s="2"/>
      <c r="M477" s="2"/>
      <c r="N477" s="2"/>
      <c r="O477" s="2"/>
      <c r="P477" s="2"/>
      <c r="Q477" s="2"/>
      <c r="R477" s="2"/>
      <c r="S477" s="2"/>
      <c r="T477" s="2"/>
      <c r="U477" s="2"/>
      <c r="V477" s="2"/>
      <c r="W477" s="2"/>
      <c r="X477" s="2"/>
      <c r="Y477" s="2"/>
      <c r="Z477" s="2"/>
      <c r="AA477" s="2"/>
    </row>
    <row r="478">
      <c r="A478" s="2"/>
      <c r="B478" s="2"/>
      <c r="D478" s="2"/>
      <c r="E478" s="2"/>
      <c r="F478" s="10"/>
      <c r="G478" s="10"/>
      <c r="I478" s="2"/>
      <c r="J478" s="2"/>
      <c r="K478" s="2"/>
      <c r="L478" s="2"/>
      <c r="M478" s="2"/>
      <c r="N478" s="2"/>
      <c r="O478" s="2"/>
      <c r="P478" s="2"/>
      <c r="Q478" s="2"/>
      <c r="R478" s="2"/>
      <c r="S478" s="2"/>
      <c r="T478" s="2"/>
      <c r="U478" s="2"/>
      <c r="V478" s="2"/>
      <c r="W478" s="2"/>
      <c r="X478" s="2"/>
      <c r="Y478" s="2"/>
      <c r="Z478" s="2"/>
      <c r="AA478" s="2"/>
    </row>
    <row r="479">
      <c r="A479" s="2"/>
      <c r="B479" s="2"/>
      <c r="D479" s="2"/>
      <c r="E479" s="2"/>
      <c r="F479" s="10"/>
      <c r="G479" s="10"/>
      <c r="I479" s="2"/>
      <c r="J479" s="2"/>
      <c r="K479" s="2"/>
      <c r="L479" s="2"/>
      <c r="M479" s="2"/>
      <c r="N479" s="2"/>
      <c r="O479" s="2"/>
      <c r="P479" s="2"/>
      <c r="Q479" s="2"/>
      <c r="R479" s="2"/>
      <c r="S479" s="2"/>
      <c r="T479" s="2"/>
      <c r="U479" s="2"/>
      <c r="V479" s="2"/>
      <c r="W479" s="2"/>
      <c r="X479" s="2"/>
      <c r="Y479" s="2"/>
      <c r="Z479" s="2"/>
      <c r="AA479" s="2"/>
    </row>
    <row r="480">
      <c r="A480" s="2"/>
      <c r="B480" s="2"/>
      <c r="D480" s="2"/>
      <c r="E480" s="2"/>
      <c r="F480" s="10"/>
      <c r="G480" s="10"/>
      <c r="I480" s="2"/>
      <c r="J480" s="2"/>
      <c r="K480" s="2"/>
      <c r="L480" s="2"/>
      <c r="M480" s="2"/>
      <c r="N480" s="2"/>
      <c r="O480" s="2"/>
      <c r="P480" s="2"/>
      <c r="Q480" s="2"/>
      <c r="R480" s="2"/>
      <c r="S480" s="2"/>
      <c r="T480" s="2"/>
      <c r="U480" s="2"/>
      <c r="V480" s="2"/>
      <c r="W480" s="2"/>
      <c r="X480" s="2"/>
      <c r="Y480" s="2"/>
      <c r="Z480" s="2"/>
      <c r="AA480" s="2"/>
    </row>
    <row r="481">
      <c r="A481" s="2"/>
      <c r="B481" s="2"/>
      <c r="D481" s="2"/>
      <c r="E481" s="2"/>
      <c r="F481" s="10"/>
      <c r="G481" s="10"/>
      <c r="I481" s="2"/>
      <c r="J481" s="2"/>
      <c r="K481" s="2"/>
      <c r="L481" s="2"/>
      <c r="M481" s="2"/>
      <c r="N481" s="2"/>
      <c r="O481" s="2"/>
      <c r="P481" s="2"/>
      <c r="Q481" s="2"/>
      <c r="R481" s="2"/>
      <c r="S481" s="2"/>
      <c r="T481" s="2"/>
      <c r="U481" s="2"/>
      <c r="V481" s="2"/>
      <c r="W481" s="2"/>
      <c r="X481" s="2"/>
      <c r="Y481" s="2"/>
      <c r="Z481" s="2"/>
      <c r="AA481" s="2"/>
    </row>
    <row r="482">
      <c r="A482" s="2"/>
      <c r="B482" s="2"/>
      <c r="D482" s="2"/>
      <c r="E482" s="2"/>
      <c r="F482" s="10"/>
      <c r="G482" s="10"/>
      <c r="I482" s="2"/>
      <c r="J482" s="2"/>
      <c r="K482" s="2"/>
      <c r="L482" s="2"/>
      <c r="M482" s="2"/>
      <c r="N482" s="2"/>
      <c r="O482" s="2"/>
      <c r="P482" s="2"/>
      <c r="Q482" s="2"/>
      <c r="R482" s="2"/>
      <c r="S482" s="2"/>
      <c r="T482" s="2"/>
      <c r="U482" s="2"/>
      <c r="V482" s="2"/>
      <c r="W482" s="2"/>
      <c r="X482" s="2"/>
      <c r="Y482" s="2"/>
      <c r="Z482" s="2"/>
      <c r="AA482" s="2"/>
    </row>
    <row r="483">
      <c r="A483" s="2"/>
      <c r="B483" s="2"/>
      <c r="D483" s="2"/>
      <c r="E483" s="2"/>
      <c r="F483" s="10"/>
      <c r="G483" s="10"/>
      <c r="I483" s="2"/>
      <c r="J483" s="2"/>
      <c r="K483" s="2"/>
      <c r="L483" s="2"/>
      <c r="M483" s="2"/>
      <c r="N483" s="2"/>
      <c r="O483" s="2"/>
      <c r="P483" s="2"/>
      <c r="Q483" s="2"/>
      <c r="R483" s="2"/>
      <c r="S483" s="2"/>
      <c r="T483" s="2"/>
      <c r="U483" s="2"/>
      <c r="V483" s="2"/>
      <c r="W483" s="2"/>
      <c r="X483" s="2"/>
      <c r="Y483" s="2"/>
      <c r="Z483" s="2"/>
      <c r="AA483" s="2"/>
    </row>
    <row r="484">
      <c r="A484" s="2"/>
      <c r="B484" s="2"/>
      <c r="D484" s="2"/>
      <c r="E484" s="2"/>
      <c r="F484" s="10"/>
      <c r="G484" s="10"/>
      <c r="I484" s="2"/>
      <c r="J484" s="2"/>
      <c r="K484" s="2"/>
      <c r="L484" s="2"/>
      <c r="M484" s="2"/>
      <c r="N484" s="2"/>
      <c r="O484" s="2"/>
      <c r="P484" s="2"/>
      <c r="Q484" s="2"/>
      <c r="R484" s="2"/>
      <c r="S484" s="2"/>
      <c r="T484" s="2"/>
      <c r="U484" s="2"/>
      <c r="V484" s="2"/>
      <c r="W484" s="2"/>
      <c r="X484" s="2"/>
      <c r="Y484" s="2"/>
      <c r="Z484" s="2"/>
      <c r="AA484" s="2"/>
    </row>
    <row r="485">
      <c r="A485" s="2"/>
      <c r="B485" s="2"/>
      <c r="D485" s="2"/>
      <c r="E485" s="2"/>
      <c r="F485" s="10"/>
      <c r="G485" s="10"/>
      <c r="I485" s="2"/>
      <c r="J485" s="2"/>
      <c r="K485" s="2"/>
      <c r="L485" s="2"/>
      <c r="M485" s="2"/>
      <c r="N485" s="2"/>
      <c r="O485" s="2"/>
      <c r="P485" s="2"/>
      <c r="Q485" s="2"/>
      <c r="R485" s="2"/>
      <c r="S485" s="2"/>
      <c r="T485" s="2"/>
      <c r="U485" s="2"/>
      <c r="V485" s="2"/>
      <c r="W485" s="2"/>
      <c r="X485" s="2"/>
      <c r="Y485" s="2"/>
      <c r="Z485" s="2"/>
      <c r="AA485" s="2"/>
    </row>
    <row r="486">
      <c r="A486" s="2"/>
      <c r="B486" s="2"/>
      <c r="D486" s="2"/>
      <c r="E486" s="2"/>
      <c r="F486" s="10"/>
      <c r="G486" s="10"/>
      <c r="I486" s="2"/>
      <c r="J486" s="2"/>
      <c r="K486" s="2"/>
      <c r="L486" s="2"/>
      <c r="M486" s="2"/>
      <c r="N486" s="2"/>
      <c r="O486" s="2"/>
      <c r="P486" s="2"/>
      <c r="Q486" s="2"/>
      <c r="R486" s="2"/>
      <c r="S486" s="2"/>
      <c r="T486" s="2"/>
      <c r="U486" s="2"/>
      <c r="V486" s="2"/>
      <c r="W486" s="2"/>
      <c r="X486" s="2"/>
      <c r="Y486" s="2"/>
      <c r="Z486" s="2"/>
      <c r="AA486" s="2"/>
    </row>
    <row r="487">
      <c r="A487" s="2"/>
      <c r="B487" s="2"/>
      <c r="D487" s="2"/>
      <c r="E487" s="2"/>
      <c r="F487" s="10"/>
      <c r="G487" s="10"/>
      <c r="I487" s="2"/>
      <c r="J487" s="2"/>
      <c r="K487" s="2"/>
      <c r="L487" s="2"/>
      <c r="M487" s="2"/>
      <c r="N487" s="2"/>
      <c r="O487" s="2"/>
      <c r="P487" s="2"/>
      <c r="Q487" s="2"/>
      <c r="R487" s="2"/>
      <c r="S487" s="2"/>
      <c r="T487" s="2"/>
      <c r="U487" s="2"/>
      <c r="V487" s="2"/>
      <c r="W487" s="2"/>
      <c r="X487" s="2"/>
      <c r="Y487" s="2"/>
      <c r="Z487" s="2"/>
      <c r="AA487" s="2"/>
    </row>
    <row r="488">
      <c r="A488" s="2"/>
      <c r="B488" s="2"/>
      <c r="D488" s="2"/>
      <c r="E488" s="2"/>
      <c r="F488" s="10"/>
      <c r="G488" s="10"/>
      <c r="I488" s="2"/>
      <c r="J488" s="2"/>
      <c r="K488" s="2"/>
      <c r="L488" s="2"/>
      <c r="M488" s="2"/>
      <c r="N488" s="2"/>
      <c r="O488" s="2"/>
      <c r="P488" s="2"/>
      <c r="Q488" s="2"/>
      <c r="R488" s="2"/>
      <c r="S488" s="2"/>
      <c r="T488" s="2"/>
      <c r="U488" s="2"/>
      <c r="V488" s="2"/>
      <c r="W488" s="2"/>
      <c r="X488" s="2"/>
      <c r="Y488" s="2"/>
      <c r="Z488" s="2"/>
      <c r="AA488" s="2"/>
    </row>
    <row r="489">
      <c r="A489" s="2"/>
      <c r="B489" s="2"/>
      <c r="D489" s="2"/>
      <c r="E489" s="2"/>
      <c r="F489" s="10"/>
      <c r="G489" s="10"/>
      <c r="I489" s="2"/>
      <c r="J489" s="2"/>
      <c r="K489" s="2"/>
      <c r="L489" s="2"/>
      <c r="M489" s="2"/>
      <c r="N489" s="2"/>
      <c r="O489" s="2"/>
      <c r="P489" s="2"/>
      <c r="Q489" s="2"/>
      <c r="R489" s="2"/>
      <c r="S489" s="2"/>
      <c r="T489" s="2"/>
      <c r="U489" s="2"/>
      <c r="V489" s="2"/>
      <c r="W489" s="2"/>
      <c r="X489" s="2"/>
      <c r="Y489" s="2"/>
      <c r="Z489" s="2"/>
      <c r="AA489" s="2"/>
    </row>
    <row r="490">
      <c r="A490" s="2"/>
      <c r="B490" s="2"/>
      <c r="D490" s="2"/>
      <c r="E490" s="2"/>
      <c r="F490" s="10"/>
      <c r="G490" s="10"/>
      <c r="I490" s="2"/>
      <c r="J490" s="2"/>
      <c r="K490" s="2"/>
      <c r="L490" s="2"/>
      <c r="M490" s="2"/>
      <c r="N490" s="2"/>
      <c r="O490" s="2"/>
      <c r="P490" s="2"/>
      <c r="Q490" s="2"/>
      <c r="R490" s="2"/>
      <c r="S490" s="2"/>
      <c r="T490" s="2"/>
      <c r="U490" s="2"/>
      <c r="V490" s="2"/>
      <c r="W490" s="2"/>
      <c r="X490" s="2"/>
      <c r="Y490" s="2"/>
      <c r="Z490" s="2"/>
      <c r="AA490" s="2"/>
    </row>
    <row r="491">
      <c r="A491" s="2"/>
      <c r="B491" s="2"/>
      <c r="D491" s="2"/>
      <c r="E491" s="2"/>
      <c r="F491" s="10"/>
      <c r="G491" s="10"/>
      <c r="I491" s="2"/>
      <c r="J491" s="2"/>
      <c r="K491" s="2"/>
      <c r="L491" s="2"/>
      <c r="M491" s="2"/>
      <c r="N491" s="2"/>
      <c r="O491" s="2"/>
      <c r="P491" s="2"/>
      <c r="Q491" s="2"/>
      <c r="R491" s="2"/>
      <c r="S491" s="2"/>
      <c r="T491" s="2"/>
      <c r="U491" s="2"/>
      <c r="V491" s="2"/>
      <c r="W491" s="2"/>
      <c r="X491" s="2"/>
      <c r="Y491" s="2"/>
      <c r="Z491" s="2"/>
      <c r="AA491" s="2"/>
    </row>
    <row r="492">
      <c r="A492" s="2"/>
      <c r="B492" s="2"/>
      <c r="D492" s="2"/>
      <c r="E492" s="2"/>
      <c r="F492" s="10"/>
      <c r="G492" s="10"/>
      <c r="I492" s="2"/>
      <c r="J492" s="2"/>
      <c r="K492" s="2"/>
      <c r="L492" s="2"/>
      <c r="M492" s="2"/>
      <c r="N492" s="2"/>
      <c r="O492" s="2"/>
      <c r="P492" s="2"/>
      <c r="Q492" s="2"/>
      <c r="R492" s="2"/>
      <c r="S492" s="2"/>
      <c r="T492" s="2"/>
      <c r="U492" s="2"/>
      <c r="V492" s="2"/>
      <c r="W492" s="2"/>
      <c r="X492" s="2"/>
      <c r="Y492" s="2"/>
      <c r="Z492" s="2"/>
      <c r="AA492" s="2"/>
    </row>
    <row r="493">
      <c r="A493" s="2"/>
      <c r="B493" s="2"/>
      <c r="D493" s="2"/>
      <c r="E493" s="2"/>
      <c r="F493" s="10"/>
      <c r="G493" s="10"/>
      <c r="I493" s="2"/>
      <c r="J493" s="2"/>
      <c r="K493" s="2"/>
      <c r="L493" s="2"/>
      <c r="M493" s="2"/>
      <c r="N493" s="2"/>
      <c r="O493" s="2"/>
      <c r="P493" s="2"/>
      <c r="Q493" s="2"/>
      <c r="R493" s="2"/>
      <c r="S493" s="2"/>
      <c r="T493" s="2"/>
      <c r="U493" s="2"/>
      <c r="V493" s="2"/>
      <c r="W493" s="2"/>
      <c r="X493" s="2"/>
      <c r="Y493" s="2"/>
      <c r="Z493" s="2"/>
      <c r="AA493" s="2"/>
    </row>
    <row r="494">
      <c r="A494" s="2"/>
      <c r="B494" s="2"/>
      <c r="D494" s="2"/>
      <c r="E494" s="2"/>
      <c r="F494" s="10"/>
      <c r="G494" s="10"/>
      <c r="I494" s="2"/>
      <c r="J494" s="2"/>
      <c r="K494" s="2"/>
      <c r="L494" s="2"/>
      <c r="M494" s="2"/>
      <c r="N494" s="2"/>
      <c r="O494" s="2"/>
      <c r="P494" s="2"/>
      <c r="Q494" s="2"/>
      <c r="R494" s="2"/>
      <c r="S494" s="2"/>
      <c r="T494" s="2"/>
      <c r="U494" s="2"/>
      <c r="V494" s="2"/>
      <c r="W494" s="2"/>
      <c r="X494" s="2"/>
      <c r="Y494" s="2"/>
      <c r="Z494" s="2"/>
      <c r="AA494" s="2"/>
    </row>
    <row r="495">
      <c r="A495" s="2"/>
      <c r="B495" s="2"/>
      <c r="D495" s="2"/>
      <c r="E495" s="2"/>
      <c r="F495" s="10"/>
      <c r="G495" s="10"/>
      <c r="I495" s="2"/>
      <c r="J495" s="2"/>
      <c r="K495" s="2"/>
      <c r="L495" s="2"/>
      <c r="M495" s="2"/>
      <c r="N495" s="2"/>
      <c r="O495" s="2"/>
      <c r="P495" s="2"/>
      <c r="Q495" s="2"/>
      <c r="R495" s="2"/>
      <c r="S495" s="2"/>
      <c r="T495" s="2"/>
      <c r="U495" s="2"/>
      <c r="V495" s="2"/>
      <c r="W495" s="2"/>
      <c r="X495" s="2"/>
      <c r="Y495" s="2"/>
      <c r="Z495" s="2"/>
      <c r="AA495" s="2"/>
    </row>
    <row r="496">
      <c r="A496" s="2"/>
      <c r="B496" s="2"/>
      <c r="D496" s="2"/>
      <c r="E496" s="2"/>
      <c r="F496" s="10"/>
      <c r="G496" s="10"/>
      <c r="I496" s="2"/>
      <c r="J496" s="2"/>
      <c r="K496" s="2"/>
      <c r="L496" s="2"/>
      <c r="M496" s="2"/>
      <c r="N496" s="2"/>
      <c r="O496" s="2"/>
      <c r="P496" s="2"/>
      <c r="Q496" s="2"/>
      <c r="R496" s="2"/>
      <c r="S496" s="2"/>
      <c r="T496" s="2"/>
      <c r="U496" s="2"/>
      <c r="V496" s="2"/>
      <c r="W496" s="2"/>
      <c r="X496" s="2"/>
      <c r="Y496" s="2"/>
      <c r="Z496" s="2"/>
      <c r="AA496" s="2"/>
    </row>
    <row r="497">
      <c r="A497" s="2"/>
      <c r="B497" s="2"/>
      <c r="D497" s="2"/>
      <c r="E497" s="2"/>
      <c r="F497" s="10"/>
      <c r="G497" s="10"/>
      <c r="I497" s="2"/>
      <c r="J497" s="2"/>
      <c r="K497" s="2"/>
      <c r="L497" s="2"/>
      <c r="M497" s="2"/>
      <c r="N497" s="2"/>
      <c r="O497" s="2"/>
      <c r="P497" s="2"/>
      <c r="Q497" s="2"/>
      <c r="R497" s="2"/>
      <c r="S497" s="2"/>
      <c r="T497" s="2"/>
      <c r="U497" s="2"/>
      <c r="V497" s="2"/>
      <c r="W497" s="2"/>
      <c r="X497" s="2"/>
      <c r="Y497" s="2"/>
      <c r="Z497" s="2"/>
      <c r="AA497" s="2"/>
    </row>
    <row r="498">
      <c r="A498" s="2"/>
      <c r="B498" s="2"/>
      <c r="D498" s="2"/>
      <c r="E498" s="2"/>
      <c r="F498" s="10"/>
      <c r="G498" s="10"/>
      <c r="I498" s="2"/>
      <c r="J498" s="2"/>
      <c r="K498" s="2"/>
      <c r="L498" s="2"/>
      <c r="M498" s="2"/>
      <c r="N498" s="2"/>
      <c r="O498" s="2"/>
      <c r="P498" s="2"/>
      <c r="Q498" s="2"/>
      <c r="R498" s="2"/>
      <c r="S498" s="2"/>
      <c r="T498" s="2"/>
      <c r="U498" s="2"/>
      <c r="V498" s="2"/>
      <c r="W498" s="2"/>
      <c r="X498" s="2"/>
      <c r="Y498" s="2"/>
      <c r="Z498" s="2"/>
      <c r="AA498" s="2"/>
    </row>
    <row r="499">
      <c r="A499" s="2"/>
      <c r="B499" s="2"/>
      <c r="D499" s="2"/>
      <c r="E499" s="2"/>
      <c r="F499" s="10"/>
      <c r="G499" s="10"/>
      <c r="I499" s="2"/>
      <c r="J499" s="2"/>
      <c r="K499" s="2"/>
      <c r="L499" s="2"/>
      <c r="M499" s="2"/>
      <c r="N499" s="2"/>
      <c r="O499" s="2"/>
      <c r="P499" s="2"/>
      <c r="Q499" s="2"/>
      <c r="R499" s="2"/>
      <c r="S499" s="2"/>
      <c r="T499" s="2"/>
      <c r="U499" s="2"/>
      <c r="V499" s="2"/>
      <c r="W499" s="2"/>
      <c r="X499" s="2"/>
      <c r="Y499" s="2"/>
      <c r="Z499" s="2"/>
      <c r="AA499" s="2"/>
    </row>
    <row r="500">
      <c r="A500" s="2"/>
      <c r="B500" s="2"/>
      <c r="D500" s="2"/>
      <c r="E500" s="2"/>
      <c r="F500" s="10"/>
      <c r="G500" s="10"/>
      <c r="I500" s="2"/>
      <c r="J500" s="2"/>
      <c r="K500" s="2"/>
      <c r="L500" s="2"/>
      <c r="M500" s="2"/>
      <c r="N500" s="2"/>
      <c r="O500" s="2"/>
      <c r="P500" s="2"/>
      <c r="Q500" s="2"/>
      <c r="R500" s="2"/>
      <c r="S500" s="2"/>
      <c r="T500" s="2"/>
      <c r="U500" s="2"/>
      <c r="V500" s="2"/>
      <c r="W500" s="2"/>
      <c r="X500" s="2"/>
      <c r="Y500" s="2"/>
      <c r="Z500" s="2"/>
      <c r="AA500" s="2"/>
    </row>
    <row r="501">
      <c r="A501" s="2"/>
      <c r="B501" s="2"/>
      <c r="D501" s="2"/>
      <c r="E501" s="2"/>
      <c r="F501" s="10"/>
      <c r="G501" s="10"/>
      <c r="I501" s="2"/>
      <c r="J501" s="2"/>
      <c r="K501" s="2"/>
      <c r="L501" s="2"/>
      <c r="M501" s="2"/>
      <c r="N501" s="2"/>
      <c r="O501" s="2"/>
      <c r="P501" s="2"/>
      <c r="Q501" s="2"/>
      <c r="R501" s="2"/>
      <c r="S501" s="2"/>
      <c r="T501" s="2"/>
      <c r="U501" s="2"/>
      <c r="V501" s="2"/>
      <c r="W501" s="2"/>
      <c r="X501" s="2"/>
      <c r="Y501" s="2"/>
      <c r="Z501" s="2"/>
      <c r="AA501" s="2"/>
    </row>
    <row r="502">
      <c r="A502" s="2"/>
      <c r="B502" s="2"/>
      <c r="D502" s="2"/>
      <c r="E502" s="2"/>
      <c r="F502" s="10"/>
      <c r="G502" s="10"/>
      <c r="I502" s="2"/>
      <c r="J502" s="2"/>
      <c r="K502" s="2"/>
      <c r="L502" s="2"/>
      <c r="M502" s="2"/>
      <c r="N502" s="2"/>
      <c r="O502" s="2"/>
      <c r="P502" s="2"/>
      <c r="Q502" s="2"/>
      <c r="R502" s="2"/>
      <c r="S502" s="2"/>
      <c r="T502" s="2"/>
      <c r="U502" s="2"/>
      <c r="V502" s="2"/>
      <c r="W502" s="2"/>
      <c r="X502" s="2"/>
      <c r="Y502" s="2"/>
      <c r="Z502" s="2"/>
      <c r="AA502" s="2"/>
    </row>
    <row r="503">
      <c r="A503" s="2"/>
      <c r="B503" s="2"/>
      <c r="D503" s="2"/>
      <c r="E503" s="2"/>
      <c r="F503" s="10"/>
      <c r="G503" s="10"/>
      <c r="I503" s="2"/>
      <c r="J503" s="2"/>
      <c r="K503" s="2"/>
      <c r="L503" s="2"/>
      <c r="M503" s="2"/>
      <c r="N503" s="2"/>
      <c r="O503" s="2"/>
      <c r="P503" s="2"/>
      <c r="Q503" s="2"/>
      <c r="R503" s="2"/>
      <c r="S503" s="2"/>
      <c r="T503" s="2"/>
      <c r="U503" s="2"/>
      <c r="V503" s="2"/>
      <c r="W503" s="2"/>
      <c r="X503" s="2"/>
      <c r="Y503" s="2"/>
      <c r="Z503" s="2"/>
      <c r="AA503" s="2"/>
    </row>
    <row r="504">
      <c r="A504" s="2"/>
      <c r="B504" s="2"/>
      <c r="D504" s="2"/>
      <c r="E504" s="2"/>
      <c r="F504" s="10"/>
      <c r="G504" s="10"/>
      <c r="I504" s="2"/>
      <c r="J504" s="2"/>
      <c r="K504" s="2"/>
      <c r="L504" s="2"/>
      <c r="M504" s="2"/>
      <c r="N504" s="2"/>
      <c r="O504" s="2"/>
      <c r="P504" s="2"/>
      <c r="Q504" s="2"/>
      <c r="R504" s="2"/>
      <c r="S504" s="2"/>
      <c r="T504" s="2"/>
      <c r="U504" s="2"/>
      <c r="V504" s="2"/>
      <c r="W504" s="2"/>
      <c r="X504" s="2"/>
      <c r="Y504" s="2"/>
      <c r="Z504" s="2"/>
      <c r="AA504" s="2"/>
    </row>
    <row r="505">
      <c r="A505" s="2"/>
      <c r="B505" s="2"/>
      <c r="D505" s="2"/>
      <c r="E505" s="2"/>
      <c r="F505" s="10"/>
      <c r="G505" s="10"/>
      <c r="I505" s="2"/>
      <c r="J505" s="2"/>
      <c r="K505" s="2"/>
      <c r="L505" s="2"/>
      <c r="M505" s="2"/>
      <c r="N505" s="2"/>
      <c r="O505" s="2"/>
      <c r="P505" s="2"/>
      <c r="Q505" s="2"/>
      <c r="R505" s="2"/>
      <c r="S505" s="2"/>
      <c r="T505" s="2"/>
      <c r="U505" s="2"/>
      <c r="V505" s="2"/>
      <c r="W505" s="2"/>
      <c r="X505" s="2"/>
      <c r="Y505" s="2"/>
      <c r="Z505" s="2"/>
      <c r="AA505" s="2"/>
    </row>
    <row r="506">
      <c r="A506" s="2"/>
      <c r="B506" s="2"/>
      <c r="D506" s="2"/>
      <c r="E506" s="2"/>
      <c r="F506" s="10"/>
      <c r="G506" s="10"/>
      <c r="I506" s="2"/>
      <c r="J506" s="2"/>
      <c r="K506" s="2"/>
      <c r="L506" s="2"/>
      <c r="M506" s="2"/>
      <c r="N506" s="2"/>
      <c r="O506" s="2"/>
      <c r="P506" s="2"/>
      <c r="Q506" s="2"/>
      <c r="R506" s="2"/>
      <c r="S506" s="2"/>
      <c r="T506" s="2"/>
      <c r="U506" s="2"/>
      <c r="V506" s="2"/>
      <c r="W506" s="2"/>
      <c r="X506" s="2"/>
      <c r="Y506" s="2"/>
      <c r="Z506" s="2"/>
      <c r="AA506" s="2"/>
    </row>
    <row r="507">
      <c r="A507" s="2"/>
      <c r="B507" s="2"/>
      <c r="D507" s="2"/>
      <c r="E507" s="2"/>
      <c r="F507" s="10"/>
      <c r="G507" s="10"/>
      <c r="I507" s="2"/>
      <c r="J507" s="2"/>
      <c r="K507" s="2"/>
      <c r="L507" s="2"/>
      <c r="M507" s="2"/>
      <c r="N507" s="2"/>
      <c r="O507" s="2"/>
      <c r="P507" s="2"/>
      <c r="Q507" s="2"/>
      <c r="R507" s="2"/>
      <c r="S507" s="2"/>
      <c r="T507" s="2"/>
      <c r="U507" s="2"/>
      <c r="V507" s="2"/>
      <c r="W507" s="2"/>
      <c r="X507" s="2"/>
      <c r="Y507" s="2"/>
      <c r="Z507" s="2"/>
      <c r="AA507" s="2"/>
    </row>
    <row r="508">
      <c r="A508" s="2"/>
      <c r="B508" s="2"/>
      <c r="D508" s="2"/>
      <c r="E508" s="2"/>
      <c r="F508" s="10"/>
      <c r="G508" s="10"/>
      <c r="I508" s="2"/>
      <c r="J508" s="2"/>
      <c r="K508" s="2"/>
      <c r="L508" s="2"/>
      <c r="M508" s="2"/>
      <c r="N508" s="2"/>
      <c r="O508" s="2"/>
      <c r="P508" s="2"/>
      <c r="Q508" s="2"/>
      <c r="R508" s="2"/>
      <c r="S508" s="2"/>
      <c r="T508" s="2"/>
      <c r="U508" s="2"/>
      <c r="V508" s="2"/>
      <c r="W508" s="2"/>
      <c r="X508" s="2"/>
      <c r="Y508" s="2"/>
      <c r="Z508" s="2"/>
      <c r="AA508" s="2"/>
    </row>
    <row r="509">
      <c r="A509" s="2"/>
      <c r="B509" s="2"/>
      <c r="D509" s="2"/>
      <c r="E509" s="2"/>
      <c r="F509" s="10"/>
      <c r="G509" s="10"/>
      <c r="I509" s="2"/>
      <c r="J509" s="2"/>
      <c r="K509" s="2"/>
      <c r="L509" s="2"/>
      <c r="M509" s="2"/>
      <c r="N509" s="2"/>
      <c r="O509" s="2"/>
      <c r="P509" s="2"/>
      <c r="Q509" s="2"/>
      <c r="R509" s="2"/>
      <c r="S509" s="2"/>
      <c r="T509" s="2"/>
      <c r="U509" s="2"/>
      <c r="V509" s="2"/>
      <c r="W509" s="2"/>
      <c r="X509" s="2"/>
      <c r="Y509" s="2"/>
      <c r="Z509" s="2"/>
      <c r="AA509" s="2"/>
    </row>
    <row r="510">
      <c r="A510" s="2"/>
      <c r="B510" s="2"/>
      <c r="D510" s="2"/>
      <c r="E510" s="2"/>
      <c r="F510" s="10"/>
      <c r="G510" s="10"/>
      <c r="I510" s="2"/>
      <c r="J510" s="2"/>
      <c r="K510" s="2"/>
      <c r="L510" s="2"/>
      <c r="M510" s="2"/>
      <c r="N510" s="2"/>
      <c r="O510" s="2"/>
      <c r="P510" s="2"/>
      <c r="Q510" s="2"/>
      <c r="R510" s="2"/>
      <c r="S510" s="2"/>
      <c r="T510" s="2"/>
      <c r="U510" s="2"/>
      <c r="V510" s="2"/>
      <c r="W510" s="2"/>
      <c r="X510" s="2"/>
      <c r="Y510" s="2"/>
      <c r="Z510" s="2"/>
      <c r="AA510" s="2"/>
    </row>
    <row r="511">
      <c r="A511" s="2"/>
      <c r="B511" s="2"/>
      <c r="D511" s="2"/>
      <c r="E511" s="2"/>
      <c r="F511" s="10"/>
      <c r="G511" s="10"/>
      <c r="I511" s="2"/>
      <c r="J511" s="2"/>
      <c r="K511" s="2"/>
      <c r="L511" s="2"/>
      <c r="M511" s="2"/>
      <c r="N511" s="2"/>
      <c r="O511" s="2"/>
      <c r="P511" s="2"/>
      <c r="Q511" s="2"/>
      <c r="R511" s="2"/>
      <c r="S511" s="2"/>
      <c r="T511" s="2"/>
      <c r="U511" s="2"/>
      <c r="V511" s="2"/>
      <c r="W511" s="2"/>
      <c r="X511" s="2"/>
      <c r="Y511" s="2"/>
      <c r="Z511" s="2"/>
      <c r="AA511" s="2"/>
    </row>
    <row r="512">
      <c r="A512" s="2"/>
      <c r="B512" s="2"/>
      <c r="D512" s="2"/>
      <c r="E512" s="2"/>
      <c r="F512" s="10"/>
      <c r="G512" s="10"/>
      <c r="I512" s="2"/>
      <c r="J512" s="2"/>
      <c r="K512" s="2"/>
      <c r="L512" s="2"/>
      <c r="M512" s="2"/>
      <c r="N512" s="2"/>
      <c r="O512" s="2"/>
      <c r="P512" s="2"/>
      <c r="Q512" s="2"/>
      <c r="R512" s="2"/>
      <c r="S512" s="2"/>
      <c r="T512" s="2"/>
      <c r="U512" s="2"/>
      <c r="V512" s="2"/>
      <c r="W512" s="2"/>
      <c r="X512" s="2"/>
      <c r="Y512" s="2"/>
      <c r="Z512" s="2"/>
      <c r="AA512" s="2"/>
    </row>
    <row r="513">
      <c r="A513" s="2"/>
      <c r="B513" s="2"/>
      <c r="D513" s="2"/>
      <c r="E513" s="2"/>
      <c r="F513" s="10"/>
      <c r="G513" s="10"/>
      <c r="I513" s="2"/>
      <c r="J513" s="2"/>
      <c r="K513" s="2"/>
      <c r="L513" s="2"/>
      <c r="M513" s="2"/>
      <c r="N513" s="2"/>
      <c r="O513" s="2"/>
      <c r="P513" s="2"/>
      <c r="Q513" s="2"/>
      <c r="R513" s="2"/>
      <c r="S513" s="2"/>
      <c r="T513" s="2"/>
      <c r="U513" s="2"/>
      <c r="V513" s="2"/>
      <c r="W513" s="2"/>
      <c r="X513" s="2"/>
      <c r="Y513" s="2"/>
      <c r="Z513" s="2"/>
      <c r="AA513" s="2"/>
    </row>
    <row r="514">
      <c r="A514" s="2"/>
      <c r="B514" s="2"/>
      <c r="D514" s="2"/>
      <c r="E514" s="2"/>
      <c r="F514" s="10"/>
      <c r="G514" s="10"/>
      <c r="I514" s="2"/>
      <c r="J514" s="2"/>
      <c r="K514" s="2"/>
      <c r="L514" s="2"/>
      <c r="M514" s="2"/>
      <c r="N514" s="2"/>
      <c r="O514" s="2"/>
      <c r="P514" s="2"/>
      <c r="Q514" s="2"/>
      <c r="R514" s="2"/>
      <c r="S514" s="2"/>
      <c r="T514" s="2"/>
      <c r="U514" s="2"/>
      <c r="V514" s="2"/>
      <c r="W514" s="2"/>
      <c r="X514" s="2"/>
      <c r="Y514" s="2"/>
      <c r="Z514" s="2"/>
      <c r="AA514" s="2"/>
    </row>
    <row r="515">
      <c r="A515" s="2"/>
      <c r="B515" s="2"/>
      <c r="D515" s="2"/>
      <c r="E515" s="2"/>
      <c r="F515" s="10"/>
      <c r="G515" s="10"/>
      <c r="I515" s="2"/>
      <c r="J515" s="2"/>
      <c r="K515" s="2"/>
      <c r="L515" s="2"/>
      <c r="M515" s="2"/>
      <c r="N515" s="2"/>
      <c r="O515" s="2"/>
      <c r="P515" s="2"/>
      <c r="Q515" s="2"/>
      <c r="R515" s="2"/>
      <c r="S515" s="2"/>
      <c r="T515" s="2"/>
      <c r="U515" s="2"/>
      <c r="V515" s="2"/>
      <c r="W515" s="2"/>
      <c r="X515" s="2"/>
      <c r="Y515" s="2"/>
      <c r="Z515" s="2"/>
      <c r="AA515" s="2"/>
    </row>
    <row r="516">
      <c r="A516" s="2"/>
      <c r="B516" s="2"/>
      <c r="D516" s="2"/>
      <c r="E516" s="2"/>
      <c r="F516" s="10"/>
      <c r="G516" s="10"/>
      <c r="I516" s="2"/>
      <c r="J516" s="2"/>
      <c r="K516" s="2"/>
      <c r="L516" s="2"/>
      <c r="M516" s="2"/>
      <c r="N516" s="2"/>
      <c r="O516" s="2"/>
      <c r="P516" s="2"/>
      <c r="Q516" s="2"/>
      <c r="R516" s="2"/>
      <c r="S516" s="2"/>
      <c r="T516" s="2"/>
      <c r="U516" s="2"/>
      <c r="V516" s="2"/>
      <c r="W516" s="2"/>
      <c r="X516" s="2"/>
      <c r="Y516" s="2"/>
      <c r="Z516" s="2"/>
      <c r="AA516" s="2"/>
    </row>
    <row r="517">
      <c r="A517" s="2"/>
      <c r="B517" s="2"/>
      <c r="D517" s="2"/>
      <c r="E517" s="2"/>
      <c r="F517" s="10"/>
      <c r="G517" s="10"/>
      <c r="I517" s="2"/>
      <c r="J517" s="2"/>
      <c r="K517" s="2"/>
      <c r="L517" s="2"/>
      <c r="M517" s="2"/>
      <c r="N517" s="2"/>
      <c r="O517" s="2"/>
      <c r="P517" s="2"/>
      <c r="Q517" s="2"/>
      <c r="R517" s="2"/>
      <c r="S517" s="2"/>
      <c r="T517" s="2"/>
      <c r="U517" s="2"/>
      <c r="V517" s="2"/>
      <c r="W517" s="2"/>
      <c r="X517" s="2"/>
      <c r="Y517" s="2"/>
      <c r="Z517" s="2"/>
      <c r="AA517" s="2"/>
    </row>
    <row r="518">
      <c r="A518" s="2"/>
      <c r="B518" s="2"/>
      <c r="D518" s="2"/>
      <c r="E518" s="2"/>
      <c r="F518" s="10"/>
      <c r="G518" s="10"/>
      <c r="I518" s="2"/>
      <c r="J518" s="2"/>
      <c r="K518" s="2"/>
      <c r="L518" s="2"/>
      <c r="M518" s="2"/>
      <c r="N518" s="2"/>
      <c r="O518" s="2"/>
      <c r="P518" s="2"/>
      <c r="Q518" s="2"/>
      <c r="R518" s="2"/>
      <c r="S518" s="2"/>
      <c r="T518" s="2"/>
      <c r="U518" s="2"/>
      <c r="V518" s="2"/>
      <c r="W518" s="2"/>
      <c r="X518" s="2"/>
      <c r="Y518" s="2"/>
      <c r="Z518" s="2"/>
      <c r="AA518" s="2"/>
    </row>
    <row r="519">
      <c r="A519" s="2"/>
      <c r="B519" s="2"/>
      <c r="D519" s="2"/>
      <c r="E519" s="2"/>
      <c r="F519" s="10"/>
      <c r="G519" s="10"/>
      <c r="I519" s="2"/>
      <c r="J519" s="2"/>
      <c r="K519" s="2"/>
      <c r="L519" s="2"/>
      <c r="M519" s="2"/>
      <c r="N519" s="2"/>
      <c r="O519" s="2"/>
      <c r="P519" s="2"/>
      <c r="Q519" s="2"/>
      <c r="R519" s="2"/>
      <c r="S519" s="2"/>
      <c r="T519" s="2"/>
      <c r="U519" s="2"/>
      <c r="V519" s="2"/>
      <c r="W519" s="2"/>
      <c r="X519" s="2"/>
      <c r="Y519" s="2"/>
      <c r="Z519" s="2"/>
      <c r="AA519" s="2"/>
    </row>
    <row r="520">
      <c r="A520" s="2"/>
      <c r="B520" s="2"/>
      <c r="D520" s="2"/>
      <c r="E520" s="2"/>
      <c r="F520" s="10"/>
      <c r="G520" s="10"/>
      <c r="I520" s="2"/>
      <c r="J520" s="2"/>
      <c r="K520" s="2"/>
      <c r="L520" s="2"/>
      <c r="M520" s="2"/>
      <c r="N520" s="2"/>
      <c r="O520" s="2"/>
      <c r="P520" s="2"/>
      <c r="Q520" s="2"/>
      <c r="R520" s="2"/>
      <c r="S520" s="2"/>
      <c r="T520" s="2"/>
      <c r="U520" s="2"/>
      <c r="V520" s="2"/>
      <c r="W520" s="2"/>
      <c r="X520" s="2"/>
      <c r="Y520" s="2"/>
      <c r="Z520" s="2"/>
      <c r="AA520" s="2"/>
    </row>
    <row r="521">
      <c r="A521" s="2"/>
      <c r="B521" s="2"/>
      <c r="D521" s="2"/>
      <c r="E521" s="2"/>
      <c r="F521" s="10"/>
      <c r="G521" s="10"/>
      <c r="I521" s="2"/>
      <c r="J521" s="2"/>
      <c r="K521" s="2"/>
      <c r="L521" s="2"/>
      <c r="M521" s="2"/>
      <c r="N521" s="2"/>
      <c r="O521" s="2"/>
      <c r="P521" s="2"/>
      <c r="Q521" s="2"/>
      <c r="R521" s="2"/>
      <c r="S521" s="2"/>
      <c r="T521" s="2"/>
      <c r="U521" s="2"/>
      <c r="V521" s="2"/>
      <c r="W521" s="2"/>
      <c r="X521" s="2"/>
      <c r="Y521" s="2"/>
      <c r="Z521" s="2"/>
      <c r="AA521" s="2"/>
    </row>
    <row r="522">
      <c r="A522" s="2"/>
      <c r="B522" s="2"/>
      <c r="D522" s="2"/>
      <c r="E522" s="2"/>
      <c r="F522" s="10"/>
      <c r="G522" s="10"/>
      <c r="I522" s="2"/>
      <c r="J522" s="2"/>
      <c r="K522" s="2"/>
      <c r="L522" s="2"/>
      <c r="M522" s="2"/>
      <c r="N522" s="2"/>
      <c r="O522" s="2"/>
      <c r="P522" s="2"/>
      <c r="Q522" s="2"/>
      <c r="R522" s="2"/>
      <c r="S522" s="2"/>
      <c r="T522" s="2"/>
      <c r="U522" s="2"/>
      <c r="V522" s="2"/>
      <c r="W522" s="2"/>
      <c r="X522" s="2"/>
      <c r="Y522" s="2"/>
      <c r="Z522" s="2"/>
      <c r="AA522" s="2"/>
    </row>
    <row r="523">
      <c r="A523" s="2"/>
      <c r="B523" s="2"/>
      <c r="D523" s="2"/>
      <c r="E523" s="2"/>
      <c r="F523" s="10"/>
      <c r="G523" s="10"/>
      <c r="I523" s="2"/>
      <c r="J523" s="2"/>
      <c r="K523" s="2"/>
      <c r="L523" s="2"/>
      <c r="M523" s="2"/>
      <c r="N523" s="2"/>
      <c r="O523" s="2"/>
      <c r="P523" s="2"/>
      <c r="Q523" s="2"/>
      <c r="R523" s="2"/>
      <c r="S523" s="2"/>
      <c r="T523" s="2"/>
      <c r="U523" s="2"/>
      <c r="V523" s="2"/>
      <c r="W523" s="2"/>
      <c r="X523" s="2"/>
      <c r="Y523" s="2"/>
      <c r="Z523" s="2"/>
      <c r="AA523" s="2"/>
    </row>
    <row r="524">
      <c r="A524" s="2"/>
      <c r="B524" s="2"/>
      <c r="D524" s="2"/>
      <c r="E524" s="2"/>
      <c r="F524" s="10"/>
      <c r="G524" s="10"/>
      <c r="I524" s="2"/>
      <c r="J524" s="2"/>
      <c r="K524" s="2"/>
      <c r="L524" s="2"/>
      <c r="M524" s="2"/>
      <c r="N524" s="2"/>
      <c r="O524" s="2"/>
      <c r="P524" s="2"/>
      <c r="Q524" s="2"/>
      <c r="R524" s="2"/>
      <c r="S524" s="2"/>
      <c r="T524" s="2"/>
      <c r="U524" s="2"/>
      <c r="V524" s="2"/>
      <c r="W524" s="2"/>
      <c r="X524" s="2"/>
      <c r="Y524" s="2"/>
      <c r="Z524" s="2"/>
      <c r="AA524" s="2"/>
    </row>
    <row r="525">
      <c r="A525" s="2"/>
      <c r="B525" s="2"/>
      <c r="D525" s="2"/>
      <c r="E525" s="2"/>
      <c r="F525" s="10"/>
      <c r="G525" s="10"/>
      <c r="I525" s="2"/>
      <c r="J525" s="2"/>
      <c r="K525" s="2"/>
      <c r="L525" s="2"/>
      <c r="M525" s="2"/>
      <c r="N525" s="2"/>
      <c r="O525" s="2"/>
      <c r="P525" s="2"/>
      <c r="Q525" s="2"/>
      <c r="R525" s="2"/>
      <c r="S525" s="2"/>
      <c r="T525" s="2"/>
      <c r="U525" s="2"/>
      <c r="V525" s="2"/>
      <c r="W525" s="2"/>
      <c r="X525" s="2"/>
      <c r="Y525" s="2"/>
      <c r="Z525" s="2"/>
      <c r="AA525" s="2"/>
    </row>
    <row r="526">
      <c r="A526" s="2"/>
      <c r="B526" s="2"/>
      <c r="D526" s="2"/>
      <c r="E526" s="2"/>
      <c r="F526" s="10"/>
      <c r="G526" s="10"/>
      <c r="I526" s="2"/>
      <c r="J526" s="2"/>
      <c r="K526" s="2"/>
      <c r="L526" s="2"/>
      <c r="M526" s="2"/>
      <c r="N526" s="2"/>
      <c r="O526" s="2"/>
      <c r="P526" s="2"/>
      <c r="Q526" s="2"/>
      <c r="R526" s="2"/>
      <c r="S526" s="2"/>
      <c r="T526" s="2"/>
      <c r="U526" s="2"/>
      <c r="V526" s="2"/>
      <c r="W526" s="2"/>
      <c r="X526" s="2"/>
      <c r="Y526" s="2"/>
      <c r="Z526" s="2"/>
      <c r="AA526" s="2"/>
    </row>
    <row r="527">
      <c r="A527" s="2"/>
      <c r="B527" s="2"/>
      <c r="D527" s="2"/>
      <c r="E527" s="2"/>
      <c r="F527" s="10"/>
      <c r="G527" s="10"/>
      <c r="I527" s="2"/>
      <c r="J527" s="2"/>
      <c r="K527" s="2"/>
      <c r="L527" s="2"/>
      <c r="M527" s="2"/>
      <c r="N527" s="2"/>
      <c r="O527" s="2"/>
      <c r="P527" s="2"/>
      <c r="Q527" s="2"/>
      <c r="R527" s="2"/>
      <c r="S527" s="2"/>
      <c r="T527" s="2"/>
      <c r="U527" s="2"/>
      <c r="V527" s="2"/>
      <c r="W527" s="2"/>
      <c r="X527" s="2"/>
      <c r="Y527" s="2"/>
      <c r="Z527" s="2"/>
      <c r="AA527" s="2"/>
    </row>
    <row r="528">
      <c r="A528" s="2"/>
      <c r="B528" s="2"/>
      <c r="D528" s="2"/>
      <c r="E528" s="2"/>
      <c r="F528" s="10"/>
      <c r="G528" s="10"/>
      <c r="I528" s="2"/>
      <c r="J528" s="2"/>
      <c r="K528" s="2"/>
      <c r="L528" s="2"/>
      <c r="M528" s="2"/>
      <c r="N528" s="2"/>
      <c r="O528" s="2"/>
      <c r="P528" s="2"/>
      <c r="Q528" s="2"/>
      <c r="R528" s="2"/>
      <c r="S528" s="2"/>
      <c r="T528" s="2"/>
      <c r="U528" s="2"/>
      <c r="V528" s="2"/>
      <c r="W528" s="2"/>
      <c r="X528" s="2"/>
      <c r="Y528" s="2"/>
      <c r="Z528" s="2"/>
      <c r="AA528" s="2"/>
    </row>
    <row r="529">
      <c r="A529" s="2"/>
      <c r="B529" s="2"/>
      <c r="D529" s="2"/>
      <c r="E529" s="2"/>
      <c r="F529" s="10"/>
      <c r="G529" s="10"/>
      <c r="I529" s="2"/>
      <c r="J529" s="2"/>
      <c r="K529" s="2"/>
      <c r="L529" s="2"/>
      <c r="M529" s="2"/>
      <c r="N529" s="2"/>
      <c r="O529" s="2"/>
      <c r="P529" s="2"/>
      <c r="Q529" s="2"/>
      <c r="R529" s="2"/>
      <c r="S529" s="2"/>
      <c r="T529" s="2"/>
      <c r="U529" s="2"/>
      <c r="V529" s="2"/>
      <c r="W529" s="2"/>
      <c r="X529" s="2"/>
      <c r="Y529" s="2"/>
      <c r="Z529" s="2"/>
      <c r="AA529" s="2"/>
    </row>
    <row r="530">
      <c r="A530" s="2"/>
      <c r="B530" s="2"/>
      <c r="D530" s="2"/>
      <c r="E530" s="2"/>
      <c r="F530" s="10"/>
      <c r="G530" s="10"/>
      <c r="I530" s="2"/>
      <c r="J530" s="2"/>
      <c r="K530" s="2"/>
      <c r="L530" s="2"/>
      <c r="M530" s="2"/>
      <c r="N530" s="2"/>
      <c r="O530" s="2"/>
      <c r="P530" s="2"/>
      <c r="Q530" s="2"/>
      <c r="R530" s="2"/>
      <c r="S530" s="2"/>
      <c r="T530" s="2"/>
      <c r="U530" s="2"/>
      <c r="V530" s="2"/>
      <c r="W530" s="2"/>
      <c r="X530" s="2"/>
      <c r="Y530" s="2"/>
      <c r="Z530" s="2"/>
      <c r="AA530" s="2"/>
    </row>
    <row r="531">
      <c r="A531" s="2"/>
      <c r="B531" s="2"/>
      <c r="D531" s="2"/>
      <c r="E531" s="2"/>
      <c r="F531" s="10"/>
      <c r="G531" s="10"/>
      <c r="I531" s="2"/>
      <c r="J531" s="2"/>
      <c r="K531" s="2"/>
      <c r="L531" s="2"/>
      <c r="M531" s="2"/>
      <c r="N531" s="2"/>
      <c r="O531" s="2"/>
      <c r="P531" s="2"/>
      <c r="Q531" s="2"/>
      <c r="R531" s="2"/>
      <c r="S531" s="2"/>
      <c r="T531" s="2"/>
      <c r="U531" s="2"/>
      <c r="V531" s="2"/>
      <c r="W531" s="2"/>
      <c r="X531" s="2"/>
      <c r="Y531" s="2"/>
      <c r="Z531" s="2"/>
      <c r="AA531" s="2"/>
    </row>
    <row r="532">
      <c r="A532" s="2"/>
      <c r="B532" s="2"/>
      <c r="D532" s="2"/>
      <c r="E532" s="2"/>
      <c r="F532" s="10"/>
      <c r="G532" s="10"/>
      <c r="I532" s="2"/>
      <c r="J532" s="2"/>
      <c r="K532" s="2"/>
      <c r="L532" s="2"/>
      <c r="M532" s="2"/>
      <c r="N532" s="2"/>
      <c r="O532" s="2"/>
      <c r="P532" s="2"/>
      <c r="Q532" s="2"/>
      <c r="R532" s="2"/>
      <c r="S532" s="2"/>
      <c r="T532" s="2"/>
      <c r="U532" s="2"/>
      <c r="V532" s="2"/>
      <c r="W532" s="2"/>
      <c r="X532" s="2"/>
      <c r="Y532" s="2"/>
      <c r="Z532" s="2"/>
      <c r="AA532" s="2"/>
    </row>
    <row r="533">
      <c r="A533" s="2"/>
      <c r="B533" s="2"/>
      <c r="D533" s="2"/>
      <c r="E533" s="2"/>
      <c r="F533" s="10"/>
      <c r="G533" s="10"/>
      <c r="I533" s="2"/>
      <c r="J533" s="2"/>
      <c r="K533" s="2"/>
      <c r="L533" s="2"/>
      <c r="M533" s="2"/>
      <c r="N533" s="2"/>
      <c r="O533" s="2"/>
      <c r="P533" s="2"/>
      <c r="Q533" s="2"/>
      <c r="R533" s="2"/>
      <c r="S533" s="2"/>
      <c r="T533" s="2"/>
      <c r="U533" s="2"/>
      <c r="V533" s="2"/>
      <c r="W533" s="2"/>
      <c r="X533" s="2"/>
      <c r="Y533" s="2"/>
      <c r="Z533" s="2"/>
      <c r="AA533" s="2"/>
    </row>
    <row r="534">
      <c r="A534" s="2"/>
      <c r="B534" s="2"/>
      <c r="D534" s="2"/>
      <c r="E534" s="2"/>
      <c r="F534" s="10"/>
      <c r="G534" s="10"/>
      <c r="I534" s="2"/>
      <c r="J534" s="2"/>
      <c r="K534" s="2"/>
      <c r="L534" s="2"/>
      <c r="M534" s="2"/>
      <c r="N534" s="2"/>
      <c r="O534" s="2"/>
      <c r="P534" s="2"/>
      <c r="Q534" s="2"/>
      <c r="R534" s="2"/>
      <c r="S534" s="2"/>
      <c r="T534" s="2"/>
      <c r="U534" s="2"/>
      <c r="V534" s="2"/>
      <c r="W534" s="2"/>
      <c r="X534" s="2"/>
      <c r="Y534" s="2"/>
      <c r="Z534" s="2"/>
      <c r="AA534" s="2"/>
    </row>
    <row r="535">
      <c r="A535" s="2"/>
      <c r="B535" s="2"/>
      <c r="D535" s="2"/>
      <c r="E535" s="2"/>
      <c r="F535" s="10"/>
      <c r="G535" s="10"/>
      <c r="I535" s="2"/>
      <c r="J535" s="2"/>
      <c r="K535" s="2"/>
      <c r="L535" s="2"/>
      <c r="M535" s="2"/>
      <c r="N535" s="2"/>
      <c r="O535" s="2"/>
      <c r="P535" s="2"/>
      <c r="Q535" s="2"/>
      <c r="R535" s="2"/>
      <c r="S535" s="2"/>
      <c r="T535" s="2"/>
      <c r="U535" s="2"/>
      <c r="V535" s="2"/>
      <c r="W535" s="2"/>
      <c r="X535" s="2"/>
      <c r="Y535" s="2"/>
      <c r="Z535" s="2"/>
      <c r="AA535" s="2"/>
    </row>
    <row r="536">
      <c r="A536" s="2"/>
      <c r="B536" s="2"/>
      <c r="D536" s="2"/>
      <c r="E536" s="2"/>
      <c r="F536" s="10"/>
      <c r="G536" s="10"/>
      <c r="I536" s="2"/>
      <c r="J536" s="2"/>
      <c r="K536" s="2"/>
      <c r="L536" s="2"/>
      <c r="M536" s="2"/>
      <c r="N536" s="2"/>
      <c r="O536" s="2"/>
      <c r="P536" s="2"/>
      <c r="Q536" s="2"/>
      <c r="R536" s="2"/>
      <c r="S536" s="2"/>
      <c r="T536" s="2"/>
      <c r="U536" s="2"/>
      <c r="V536" s="2"/>
      <c r="W536" s="2"/>
      <c r="X536" s="2"/>
      <c r="Y536" s="2"/>
      <c r="Z536" s="2"/>
      <c r="AA536" s="2"/>
    </row>
    <row r="537">
      <c r="A537" s="2"/>
      <c r="B537" s="2"/>
      <c r="D537" s="2"/>
      <c r="E537" s="2"/>
      <c r="F537" s="10"/>
      <c r="G537" s="10"/>
      <c r="I537" s="2"/>
      <c r="J537" s="2"/>
      <c r="K537" s="2"/>
      <c r="L537" s="2"/>
      <c r="M537" s="2"/>
      <c r="N537" s="2"/>
      <c r="O537" s="2"/>
      <c r="P537" s="2"/>
      <c r="Q537" s="2"/>
      <c r="R537" s="2"/>
      <c r="S537" s="2"/>
      <c r="T537" s="2"/>
      <c r="U537" s="2"/>
      <c r="V537" s="2"/>
      <c r="W537" s="2"/>
      <c r="X537" s="2"/>
      <c r="Y537" s="2"/>
      <c r="Z537" s="2"/>
      <c r="AA537" s="2"/>
    </row>
    <row r="538">
      <c r="A538" s="2"/>
      <c r="B538" s="2"/>
      <c r="D538" s="2"/>
      <c r="E538" s="2"/>
      <c r="F538" s="10"/>
      <c r="G538" s="10"/>
      <c r="I538" s="2"/>
      <c r="J538" s="2"/>
      <c r="K538" s="2"/>
      <c r="L538" s="2"/>
      <c r="M538" s="2"/>
      <c r="N538" s="2"/>
      <c r="O538" s="2"/>
      <c r="P538" s="2"/>
      <c r="Q538" s="2"/>
      <c r="R538" s="2"/>
      <c r="S538" s="2"/>
      <c r="T538" s="2"/>
      <c r="U538" s="2"/>
      <c r="V538" s="2"/>
      <c r="W538" s="2"/>
      <c r="X538" s="2"/>
      <c r="Y538" s="2"/>
      <c r="Z538" s="2"/>
      <c r="AA538" s="2"/>
    </row>
    <row r="539">
      <c r="A539" s="2"/>
      <c r="B539" s="2"/>
      <c r="D539" s="2"/>
      <c r="E539" s="2"/>
      <c r="F539" s="10"/>
      <c r="G539" s="10"/>
      <c r="I539" s="2"/>
      <c r="J539" s="2"/>
      <c r="K539" s="2"/>
      <c r="L539" s="2"/>
      <c r="M539" s="2"/>
      <c r="N539" s="2"/>
      <c r="O539" s="2"/>
      <c r="P539" s="2"/>
      <c r="Q539" s="2"/>
      <c r="R539" s="2"/>
      <c r="S539" s="2"/>
      <c r="T539" s="2"/>
      <c r="U539" s="2"/>
      <c r="V539" s="2"/>
      <c r="W539" s="2"/>
      <c r="X539" s="2"/>
      <c r="Y539" s="2"/>
      <c r="Z539" s="2"/>
      <c r="AA539" s="2"/>
    </row>
    <row r="540">
      <c r="A540" s="2"/>
      <c r="B540" s="2"/>
      <c r="D540" s="2"/>
      <c r="E540" s="2"/>
      <c r="F540" s="10"/>
      <c r="G540" s="10"/>
      <c r="I540" s="2"/>
      <c r="J540" s="2"/>
      <c r="K540" s="2"/>
      <c r="L540" s="2"/>
      <c r="M540" s="2"/>
      <c r="N540" s="2"/>
      <c r="O540" s="2"/>
      <c r="P540" s="2"/>
      <c r="Q540" s="2"/>
      <c r="R540" s="2"/>
      <c r="S540" s="2"/>
      <c r="T540" s="2"/>
      <c r="U540" s="2"/>
      <c r="V540" s="2"/>
      <c r="W540" s="2"/>
      <c r="X540" s="2"/>
      <c r="Y540" s="2"/>
      <c r="Z540" s="2"/>
      <c r="AA540" s="2"/>
    </row>
    <row r="541">
      <c r="A541" s="2"/>
      <c r="B541" s="2"/>
      <c r="D541" s="2"/>
      <c r="E541" s="2"/>
      <c r="F541" s="10"/>
      <c r="G541" s="10"/>
      <c r="I541" s="2"/>
      <c r="J541" s="2"/>
      <c r="K541" s="2"/>
      <c r="L541" s="2"/>
      <c r="M541" s="2"/>
      <c r="N541" s="2"/>
      <c r="O541" s="2"/>
      <c r="P541" s="2"/>
      <c r="Q541" s="2"/>
      <c r="R541" s="2"/>
      <c r="S541" s="2"/>
      <c r="T541" s="2"/>
      <c r="U541" s="2"/>
      <c r="V541" s="2"/>
      <c r="W541" s="2"/>
      <c r="X541" s="2"/>
      <c r="Y541" s="2"/>
      <c r="Z541" s="2"/>
      <c r="AA541" s="2"/>
    </row>
    <row r="542">
      <c r="A542" s="2"/>
      <c r="B542" s="2"/>
      <c r="D542" s="2"/>
      <c r="E542" s="2"/>
      <c r="F542" s="10"/>
      <c r="G542" s="10"/>
      <c r="I542" s="2"/>
      <c r="J542" s="2"/>
      <c r="K542" s="2"/>
      <c r="L542" s="2"/>
      <c r="M542" s="2"/>
      <c r="N542" s="2"/>
      <c r="O542" s="2"/>
      <c r="P542" s="2"/>
      <c r="Q542" s="2"/>
      <c r="R542" s="2"/>
      <c r="S542" s="2"/>
      <c r="T542" s="2"/>
      <c r="U542" s="2"/>
      <c r="V542" s="2"/>
      <c r="W542" s="2"/>
      <c r="X542" s="2"/>
      <c r="Y542" s="2"/>
      <c r="Z542" s="2"/>
      <c r="AA542" s="2"/>
    </row>
    <row r="543">
      <c r="A543" s="2"/>
      <c r="B543" s="2"/>
      <c r="D543" s="2"/>
      <c r="E543" s="2"/>
      <c r="F543" s="10"/>
      <c r="G543" s="10"/>
      <c r="I543" s="2"/>
      <c r="J543" s="2"/>
      <c r="K543" s="2"/>
      <c r="L543" s="2"/>
      <c r="M543" s="2"/>
      <c r="N543" s="2"/>
      <c r="O543" s="2"/>
      <c r="P543" s="2"/>
      <c r="Q543" s="2"/>
      <c r="R543" s="2"/>
      <c r="S543" s="2"/>
      <c r="T543" s="2"/>
      <c r="U543" s="2"/>
      <c r="V543" s="2"/>
      <c r="W543" s="2"/>
      <c r="X543" s="2"/>
      <c r="Y543" s="2"/>
      <c r="Z543" s="2"/>
      <c r="AA543" s="2"/>
    </row>
    <row r="544">
      <c r="A544" s="2"/>
      <c r="B544" s="2"/>
      <c r="D544" s="2"/>
      <c r="E544" s="2"/>
      <c r="F544" s="10"/>
      <c r="G544" s="10"/>
      <c r="I544" s="2"/>
      <c r="J544" s="2"/>
      <c r="K544" s="2"/>
      <c r="L544" s="2"/>
      <c r="M544" s="2"/>
      <c r="N544" s="2"/>
      <c r="O544" s="2"/>
      <c r="P544" s="2"/>
      <c r="Q544" s="2"/>
      <c r="R544" s="2"/>
      <c r="S544" s="2"/>
      <c r="T544" s="2"/>
      <c r="U544" s="2"/>
      <c r="V544" s="2"/>
      <c r="W544" s="2"/>
      <c r="X544" s="2"/>
      <c r="Y544" s="2"/>
      <c r="Z544" s="2"/>
      <c r="AA544" s="2"/>
    </row>
    <row r="545">
      <c r="A545" s="2"/>
      <c r="B545" s="2"/>
      <c r="D545" s="2"/>
      <c r="E545" s="2"/>
      <c r="F545" s="10"/>
      <c r="G545" s="10"/>
      <c r="I545" s="2"/>
      <c r="J545" s="2"/>
      <c r="K545" s="2"/>
      <c r="L545" s="2"/>
      <c r="M545" s="2"/>
      <c r="N545" s="2"/>
      <c r="O545" s="2"/>
      <c r="P545" s="2"/>
      <c r="Q545" s="2"/>
      <c r="R545" s="2"/>
      <c r="S545" s="2"/>
      <c r="T545" s="2"/>
      <c r="U545" s="2"/>
      <c r="V545" s="2"/>
      <c r="W545" s="2"/>
      <c r="X545" s="2"/>
      <c r="Y545" s="2"/>
      <c r="Z545" s="2"/>
      <c r="AA545" s="2"/>
    </row>
    <row r="546">
      <c r="A546" s="2"/>
      <c r="B546" s="2"/>
      <c r="D546" s="2"/>
      <c r="E546" s="2"/>
      <c r="F546" s="10"/>
      <c r="G546" s="10"/>
      <c r="I546" s="2"/>
      <c r="J546" s="2"/>
      <c r="K546" s="2"/>
      <c r="L546" s="2"/>
      <c r="M546" s="2"/>
      <c r="N546" s="2"/>
      <c r="O546" s="2"/>
      <c r="P546" s="2"/>
      <c r="Q546" s="2"/>
      <c r="R546" s="2"/>
      <c r="S546" s="2"/>
      <c r="T546" s="2"/>
      <c r="U546" s="2"/>
      <c r="V546" s="2"/>
      <c r="W546" s="2"/>
      <c r="X546" s="2"/>
      <c r="Y546" s="2"/>
      <c r="Z546" s="2"/>
      <c r="AA546" s="2"/>
    </row>
    <row r="547">
      <c r="A547" s="2"/>
      <c r="B547" s="2"/>
      <c r="D547" s="2"/>
      <c r="E547" s="2"/>
      <c r="F547" s="10"/>
      <c r="G547" s="10"/>
      <c r="I547" s="2"/>
      <c r="J547" s="2"/>
      <c r="K547" s="2"/>
      <c r="L547" s="2"/>
      <c r="M547" s="2"/>
      <c r="N547" s="2"/>
      <c r="O547" s="2"/>
      <c r="P547" s="2"/>
      <c r="Q547" s="2"/>
      <c r="R547" s="2"/>
      <c r="S547" s="2"/>
      <c r="T547" s="2"/>
      <c r="U547" s="2"/>
      <c r="V547" s="2"/>
      <c r="W547" s="2"/>
      <c r="X547" s="2"/>
      <c r="Y547" s="2"/>
      <c r="Z547" s="2"/>
      <c r="AA547" s="2"/>
    </row>
    <row r="548">
      <c r="A548" s="2"/>
      <c r="B548" s="2"/>
      <c r="D548" s="2"/>
      <c r="E548" s="2"/>
      <c r="F548" s="10"/>
      <c r="G548" s="10"/>
      <c r="I548" s="2"/>
      <c r="J548" s="2"/>
      <c r="K548" s="2"/>
      <c r="L548" s="2"/>
      <c r="M548" s="2"/>
      <c r="N548" s="2"/>
      <c r="O548" s="2"/>
      <c r="P548" s="2"/>
      <c r="Q548" s="2"/>
      <c r="R548" s="2"/>
      <c r="S548" s="2"/>
      <c r="T548" s="2"/>
      <c r="U548" s="2"/>
      <c r="V548" s="2"/>
      <c r="W548" s="2"/>
      <c r="X548" s="2"/>
      <c r="Y548" s="2"/>
      <c r="Z548" s="2"/>
      <c r="AA548" s="2"/>
    </row>
    <row r="549">
      <c r="A549" s="2"/>
      <c r="B549" s="2"/>
      <c r="D549" s="2"/>
      <c r="E549" s="2"/>
      <c r="F549" s="10"/>
      <c r="G549" s="10"/>
      <c r="I549" s="2"/>
      <c r="J549" s="2"/>
      <c r="K549" s="2"/>
      <c r="L549" s="2"/>
      <c r="M549" s="2"/>
      <c r="N549" s="2"/>
      <c r="O549" s="2"/>
      <c r="P549" s="2"/>
      <c r="Q549" s="2"/>
      <c r="R549" s="2"/>
      <c r="S549" s="2"/>
      <c r="T549" s="2"/>
      <c r="U549" s="2"/>
      <c r="V549" s="2"/>
      <c r="W549" s="2"/>
      <c r="X549" s="2"/>
      <c r="Y549" s="2"/>
      <c r="Z549" s="2"/>
      <c r="AA549" s="2"/>
    </row>
    <row r="550">
      <c r="A550" s="2"/>
      <c r="B550" s="2"/>
      <c r="D550" s="2"/>
      <c r="E550" s="2"/>
      <c r="F550" s="10"/>
      <c r="G550" s="10"/>
      <c r="I550" s="2"/>
      <c r="J550" s="2"/>
      <c r="K550" s="2"/>
      <c r="L550" s="2"/>
      <c r="M550" s="2"/>
      <c r="N550" s="2"/>
      <c r="O550" s="2"/>
      <c r="P550" s="2"/>
      <c r="Q550" s="2"/>
      <c r="R550" s="2"/>
      <c r="S550" s="2"/>
      <c r="T550" s="2"/>
      <c r="U550" s="2"/>
      <c r="V550" s="2"/>
      <c r="W550" s="2"/>
      <c r="X550" s="2"/>
      <c r="Y550" s="2"/>
      <c r="Z550" s="2"/>
      <c r="AA550" s="2"/>
    </row>
    <row r="551">
      <c r="A551" s="2"/>
      <c r="B551" s="2"/>
      <c r="D551" s="2"/>
      <c r="E551" s="2"/>
      <c r="F551" s="10"/>
      <c r="G551" s="10"/>
      <c r="I551" s="2"/>
      <c r="J551" s="2"/>
      <c r="K551" s="2"/>
      <c r="L551" s="2"/>
      <c r="M551" s="2"/>
      <c r="N551" s="2"/>
      <c r="O551" s="2"/>
      <c r="P551" s="2"/>
      <c r="Q551" s="2"/>
      <c r="R551" s="2"/>
      <c r="S551" s="2"/>
      <c r="T551" s="2"/>
      <c r="U551" s="2"/>
      <c r="V551" s="2"/>
      <c r="W551" s="2"/>
      <c r="X551" s="2"/>
      <c r="Y551" s="2"/>
      <c r="Z551" s="2"/>
      <c r="AA551" s="2"/>
    </row>
    <row r="552">
      <c r="A552" s="2"/>
      <c r="B552" s="2"/>
      <c r="D552" s="2"/>
      <c r="E552" s="2"/>
      <c r="F552" s="10"/>
      <c r="G552" s="10"/>
      <c r="I552" s="2"/>
      <c r="J552" s="2"/>
      <c r="K552" s="2"/>
      <c r="L552" s="2"/>
      <c r="M552" s="2"/>
      <c r="N552" s="2"/>
      <c r="O552" s="2"/>
      <c r="P552" s="2"/>
      <c r="Q552" s="2"/>
      <c r="R552" s="2"/>
      <c r="S552" s="2"/>
      <c r="T552" s="2"/>
      <c r="U552" s="2"/>
      <c r="V552" s="2"/>
      <c r="W552" s="2"/>
      <c r="X552" s="2"/>
      <c r="Y552" s="2"/>
      <c r="Z552" s="2"/>
      <c r="AA552" s="2"/>
    </row>
    <row r="553">
      <c r="A553" s="2"/>
      <c r="B553" s="2"/>
      <c r="D553" s="2"/>
      <c r="E553" s="2"/>
      <c r="F553" s="10"/>
      <c r="G553" s="10"/>
      <c r="I553" s="2"/>
      <c r="J553" s="2"/>
      <c r="K553" s="2"/>
      <c r="L553" s="2"/>
      <c r="M553" s="2"/>
      <c r="N553" s="2"/>
      <c r="O553" s="2"/>
      <c r="P553" s="2"/>
      <c r="Q553" s="2"/>
      <c r="R553" s="2"/>
      <c r="S553" s="2"/>
      <c r="T553" s="2"/>
      <c r="U553" s="2"/>
      <c r="V553" s="2"/>
      <c r="W553" s="2"/>
      <c r="X553" s="2"/>
      <c r="Y553" s="2"/>
      <c r="Z553" s="2"/>
      <c r="AA553" s="2"/>
    </row>
    <row r="554">
      <c r="A554" s="2"/>
      <c r="B554" s="2"/>
      <c r="D554" s="2"/>
      <c r="E554" s="2"/>
      <c r="F554" s="10"/>
      <c r="G554" s="10"/>
      <c r="I554" s="2"/>
      <c r="J554" s="2"/>
      <c r="K554" s="2"/>
      <c r="L554" s="2"/>
      <c r="M554" s="2"/>
      <c r="N554" s="2"/>
      <c r="O554" s="2"/>
      <c r="P554" s="2"/>
      <c r="Q554" s="2"/>
      <c r="R554" s="2"/>
      <c r="S554" s="2"/>
      <c r="T554" s="2"/>
      <c r="U554" s="2"/>
      <c r="V554" s="2"/>
      <c r="W554" s="2"/>
      <c r="X554" s="2"/>
      <c r="Y554" s="2"/>
      <c r="Z554" s="2"/>
      <c r="AA554" s="2"/>
    </row>
    <row r="555">
      <c r="A555" s="2"/>
      <c r="B555" s="2"/>
      <c r="D555" s="2"/>
      <c r="E555" s="2"/>
      <c r="F555" s="10"/>
      <c r="G555" s="10"/>
      <c r="I555" s="2"/>
      <c r="J555" s="2"/>
      <c r="K555" s="2"/>
      <c r="L555" s="2"/>
      <c r="M555" s="2"/>
      <c r="N555" s="2"/>
      <c r="O555" s="2"/>
      <c r="P555" s="2"/>
      <c r="Q555" s="2"/>
      <c r="R555" s="2"/>
      <c r="S555" s="2"/>
      <c r="T555" s="2"/>
      <c r="U555" s="2"/>
      <c r="V555" s="2"/>
      <c r="W555" s="2"/>
      <c r="X555" s="2"/>
      <c r="Y555" s="2"/>
      <c r="Z555" s="2"/>
      <c r="AA555" s="2"/>
    </row>
    <row r="556">
      <c r="A556" s="2"/>
      <c r="B556" s="2"/>
      <c r="D556" s="2"/>
      <c r="E556" s="2"/>
      <c r="F556" s="10"/>
      <c r="G556" s="10"/>
      <c r="I556" s="2"/>
      <c r="J556" s="2"/>
      <c r="K556" s="2"/>
      <c r="L556" s="2"/>
      <c r="M556" s="2"/>
      <c r="N556" s="2"/>
      <c r="O556" s="2"/>
      <c r="P556" s="2"/>
      <c r="Q556" s="2"/>
      <c r="R556" s="2"/>
      <c r="S556" s="2"/>
      <c r="T556" s="2"/>
      <c r="U556" s="2"/>
      <c r="V556" s="2"/>
      <c r="W556" s="2"/>
      <c r="X556" s="2"/>
      <c r="Y556" s="2"/>
      <c r="Z556" s="2"/>
      <c r="AA556" s="2"/>
    </row>
    <row r="557">
      <c r="A557" s="2"/>
      <c r="B557" s="2"/>
      <c r="D557" s="2"/>
      <c r="E557" s="2"/>
      <c r="F557" s="10"/>
      <c r="G557" s="10"/>
      <c r="I557" s="2"/>
      <c r="J557" s="2"/>
      <c r="K557" s="2"/>
      <c r="L557" s="2"/>
      <c r="M557" s="2"/>
      <c r="N557" s="2"/>
      <c r="O557" s="2"/>
      <c r="P557" s="2"/>
      <c r="Q557" s="2"/>
      <c r="R557" s="2"/>
      <c r="S557" s="2"/>
      <c r="T557" s="2"/>
      <c r="U557" s="2"/>
      <c r="V557" s="2"/>
      <c r="W557" s="2"/>
      <c r="X557" s="2"/>
      <c r="Y557" s="2"/>
      <c r="Z557" s="2"/>
      <c r="AA557" s="2"/>
    </row>
    <row r="558">
      <c r="A558" s="2"/>
      <c r="B558" s="2"/>
      <c r="D558" s="2"/>
      <c r="E558" s="2"/>
      <c r="F558" s="10"/>
      <c r="G558" s="10"/>
      <c r="I558" s="2"/>
      <c r="J558" s="2"/>
      <c r="K558" s="2"/>
      <c r="L558" s="2"/>
      <c r="M558" s="2"/>
      <c r="N558" s="2"/>
      <c r="O558" s="2"/>
      <c r="P558" s="2"/>
      <c r="Q558" s="2"/>
      <c r="R558" s="2"/>
      <c r="S558" s="2"/>
      <c r="T558" s="2"/>
      <c r="U558" s="2"/>
      <c r="V558" s="2"/>
      <c r="W558" s="2"/>
      <c r="X558" s="2"/>
      <c r="Y558" s="2"/>
      <c r="Z558" s="2"/>
      <c r="AA558" s="2"/>
    </row>
    <row r="559">
      <c r="A559" s="2"/>
      <c r="B559" s="2"/>
      <c r="D559" s="2"/>
      <c r="E559" s="2"/>
      <c r="F559" s="10"/>
      <c r="G559" s="10"/>
      <c r="I559" s="2"/>
      <c r="J559" s="2"/>
      <c r="K559" s="2"/>
      <c r="L559" s="2"/>
      <c r="M559" s="2"/>
      <c r="N559" s="2"/>
      <c r="O559" s="2"/>
      <c r="P559" s="2"/>
      <c r="Q559" s="2"/>
      <c r="R559" s="2"/>
      <c r="S559" s="2"/>
      <c r="T559" s="2"/>
      <c r="U559" s="2"/>
      <c r="V559" s="2"/>
      <c r="W559" s="2"/>
      <c r="X559" s="2"/>
      <c r="Y559" s="2"/>
      <c r="Z559" s="2"/>
      <c r="AA559" s="2"/>
    </row>
    <row r="560">
      <c r="A560" s="2"/>
      <c r="B560" s="2"/>
      <c r="D560" s="2"/>
      <c r="E560" s="2"/>
      <c r="F560" s="10"/>
      <c r="G560" s="10"/>
      <c r="I560" s="2"/>
      <c r="J560" s="2"/>
      <c r="K560" s="2"/>
      <c r="L560" s="2"/>
      <c r="M560" s="2"/>
      <c r="N560" s="2"/>
      <c r="O560" s="2"/>
      <c r="P560" s="2"/>
      <c r="Q560" s="2"/>
      <c r="R560" s="2"/>
      <c r="S560" s="2"/>
      <c r="T560" s="2"/>
      <c r="U560" s="2"/>
      <c r="V560" s="2"/>
      <c r="W560" s="2"/>
      <c r="X560" s="2"/>
      <c r="Y560" s="2"/>
      <c r="Z560" s="2"/>
      <c r="AA560" s="2"/>
    </row>
    <row r="561">
      <c r="A561" s="2"/>
      <c r="B561" s="2"/>
      <c r="D561" s="2"/>
      <c r="E561" s="2"/>
      <c r="F561" s="10"/>
      <c r="G561" s="10"/>
      <c r="I561" s="2"/>
      <c r="J561" s="2"/>
      <c r="K561" s="2"/>
      <c r="L561" s="2"/>
      <c r="M561" s="2"/>
      <c r="N561" s="2"/>
      <c r="O561" s="2"/>
      <c r="P561" s="2"/>
      <c r="Q561" s="2"/>
      <c r="R561" s="2"/>
      <c r="S561" s="2"/>
      <c r="T561" s="2"/>
      <c r="U561" s="2"/>
      <c r="V561" s="2"/>
      <c r="W561" s="2"/>
      <c r="X561" s="2"/>
      <c r="Y561" s="2"/>
      <c r="Z561" s="2"/>
      <c r="AA561" s="2"/>
    </row>
    <row r="562">
      <c r="A562" s="2"/>
      <c r="B562" s="2"/>
      <c r="D562" s="2"/>
      <c r="E562" s="2"/>
      <c r="F562" s="10"/>
      <c r="G562" s="10"/>
      <c r="I562" s="2"/>
      <c r="J562" s="2"/>
      <c r="K562" s="2"/>
      <c r="L562" s="2"/>
      <c r="M562" s="2"/>
      <c r="N562" s="2"/>
      <c r="O562" s="2"/>
      <c r="P562" s="2"/>
      <c r="Q562" s="2"/>
      <c r="R562" s="2"/>
      <c r="S562" s="2"/>
      <c r="T562" s="2"/>
      <c r="U562" s="2"/>
      <c r="V562" s="2"/>
      <c r="W562" s="2"/>
      <c r="X562" s="2"/>
      <c r="Y562" s="2"/>
      <c r="Z562" s="2"/>
      <c r="AA562" s="2"/>
    </row>
    <row r="563">
      <c r="A563" s="2"/>
      <c r="B563" s="2"/>
      <c r="D563" s="2"/>
      <c r="E563" s="2"/>
      <c r="F563" s="10"/>
      <c r="G563" s="10"/>
      <c r="I563" s="2"/>
      <c r="J563" s="2"/>
      <c r="K563" s="2"/>
      <c r="L563" s="2"/>
      <c r="M563" s="2"/>
      <c r="N563" s="2"/>
      <c r="O563" s="2"/>
      <c r="P563" s="2"/>
      <c r="Q563" s="2"/>
      <c r="R563" s="2"/>
      <c r="S563" s="2"/>
      <c r="T563" s="2"/>
      <c r="U563" s="2"/>
      <c r="V563" s="2"/>
      <c r="W563" s="2"/>
      <c r="X563" s="2"/>
      <c r="Y563" s="2"/>
      <c r="Z563" s="2"/>
      <c r="AA563" s="2"/>
    </row>
    <row r="564">
      <c r="A564" s="2"/>
      <c r="B564" s="2"/>
      <c r="D564" s="2"/>
      <c r="E564" s="2"/>
      <c r="F564" s="10"/>
      <c r="G564" s="10"/>
      <c r="I564" s="2"/>
      <c r="J564" s="2"/>
      <c r="K564" s="2"/>
      <c r="L564" s="2"/>
      <c r="M564" s="2"/>
      <c r="N564" s="2"/>
      <c r="O564" s="2"/>
      <c r="P564" s="2"/>
      <c r="Q564" s="2"/>
      <c r="R564" s="2"/>
      <c r="S564" s="2"/>
      <c r="T564" s="2"/>
      <c r="U564" s="2"/>
      <c r="V564" s="2"/>
      <c r="W564" s="2"/>
      <c r="X564" s="2"/>
      <c r="Y564" s="2"/>
      <c r="Z564" s="2"/>
      <c r="AA564" s="2"/>
    </row>
    <row r="565">
      <c r="A565" s="2"/>
      <c r="B565" s="2"/>
      <c r="D565" s="2"/>
      <c r="E565" s="2"/>
      <c r="F565" s="10"/>
      <c r="G565" s="10"/>
      <c r="I565" s="2"/>
      <c r="J565" s="2"/>
      <c r="K565" s="2"/>
      <c r="L565" s="2"/>
      <c r="M565" s="2"/>
      <c r="N565" s="2"/>
      <c r="O565" s="2"/>
      <c r="P565" s="2"/>
      <c r="Q565" s="2"/>
      <c r="R565" s="2"/>
      <c r="S565" s="2"/>
      <c r="T565" s="2"/>
      <c r="U565" s="2"/>
      <c r="V565" s="2"/>
      <c r="W565" s="2"/>
      <c r="X565" s="2"/>
      <c r="Y565" s="2"/>
      <c r="Z565" s="2"/>
      <c r="AA565" s="2"/>
    </row>
    <row r="566">
      <c r="A566" s="2"/>
      <c r="B566" s="2"/>
      <c r="D566" s="2"/>
      <c r="E566" s="2"/>
      <c r="F566" s="10"/>
      <c r="G566" s="10"/>
      <c r="I566" s="2"/>
      <c r="J566" s="2"/>
      <c r="K566" s="2"/>
      <c r="L566" s="2"/>
      <c r="M566" s="2"/>
      <c r="N566" s="2"/>
      <c r="O566" s="2"/>
      <c r="P566" s="2"/>
      <c r="Q566" s="2"/>
      <c r="R566" s="2"/>
      <c r="S566" s="2"/>
      <c r="T566" s="2"/>
      <c r="U566" s="2"/>
      <c r="V566" s="2"/>
      <c r="W566" s="2"/>
      <c r="X566" s="2"/>
      <c r="Y566" s="2"/>
      <c r="Z566" s="2"/>
      <c r="AA566" s="2"/>
    </row>
    <row r="567">
      <c r="A567" s="2"/>
      <c r="B567" s="2"/>
      <c r="D567" s="2"/>
      <c r="E567" s="2"/>
      <c r="F567" s="10"/>
      <c r="G567" s="10"/>
      <c r="I567" s="2"/>
      <c r="J567" s="2"/>
      <c r="K567" s="2"/>
      <c r="L567" s="2"/>
      <c r="M567" s="2"/>
      <c r="N567" s="2"/>
      <c r="O567" s="2"/>
      <c r="P567" s="2"/>
      <c r="Q567" s="2"/>
      <c r="R567" s="2"/>
      <c r="S567" s="2"/>
      <c r="T567" s="2"/>
      <c r="U567" s="2"/>
      <c r="V567" s="2"/>
      <c r="W567" s="2"/>
      <c r="X567" s="2"/>
      <c r="Y567" s="2"/>
      <c r="Z567" s="2"/>
      <c r="AA567" s="2"/>
    </row>
    <row r="568">
      <c r="A568" s="2"/>
      <c r="B568" s="2"/>
      <c r="D568" s="2"/>
      <c r="E568" s="2"/>
      <c r="F568" s="10"/>
      <c r="G568" s="10"/>
      <c r="I568" s="2"/>
      <c r="J568" s="2"/>
      <c r="K568" s="2"/>
      <c r="L568" s="2"/>
      <c r="M568" s="2"/>
      <c r="N568" s="2"/>
      <c r="O568" s="2"/>
      <c r="P568" s="2"/>
      <c r="Q568" s="2"/>
      <c r="R568" s="2"/>
      <c r="S568" s="2"/>
      <c r="T568" s="2"/>
      <c r="U568" s="2"/>
      <c r="V568" s="2"/>
      <c r="W568" s="2"/>
      <c r="X568" s="2"/>
      <c r="Y568" s="2"/>
      <c r="Z568" s="2"/>
      <c r="AA568" s="2"/>
    </row>
    <row r="569">
      <c r="A569" s="2"/>
      <c r="B569" s="2"/>
      <c r="D569" s="2"/>
      <c r="E569" s="2"/>
      <c r="F569" s="10"/>
      <c r="G569" s="10"/>
      <c r="I569" s="2"/>
      <c r="J569" s="2"/>
      <c r="K569" s="2"/>
      <c r="L569" s="2"/>
      <c r="M569" s="2"/>
      <c r="N569" s="2"/>
      <c r="O569" s="2"/>
      <c r="P569" s="2"/>
      <c r="Q569" s="2"/>
      <c r="R569" s="2"/>
      <c r="S569" s="2"/>
      <c r="T569" s="2"/>
      <c r="U569" s="2"/>
      <c r="V569" s="2"/>
      <c r="W569" s="2"/>
      <c r="X569" s="2"/>
      <c r="Y569" s="2"/>
      <c r="Z569" s="2"/>
      <c r="AA569" s="2"/>
    </row>
    <row r="570">
      <c r="A570" s="2"/>
      <c r="B570" s="2"/>
      <c r="D570" s="2"/>
      <c r="E570" s="2"/>
      <c r="F570" s="10"/>
      <c r="G570" s="10"/>
      <c r="I570" s="2"/>
      <c r="J570" s="2"/>
      <c r="K570" s="2"/>
      <c r="L570" s="2"/>
      <c r="M570" s="2"/>
      <c r="N570" s="2"/>
      <c r="O570" s="2"/>
      <c r="P570" s="2"/>
      <c r="Q570" s="2"/>
      <c r="R570" s="2"/>
      <c r="S570" s="2"/>
      <c r="T570" s="2"/>
      <c r="U570" s="2"/>
      <c r="V570" s="2"/>
      <c r="W570" s="2"/>
      <c r="X570" s="2"/>
      <c r="Y570" s="2"/>
      <c r="Z570" s="2"/>
      <c r="AA570" s="2"/>
    </row>
    <row r="571">
      <c r="A571" s="2"/>
      <c r="B571" s="2"/>
      <c r="D571" s="2"/>
      <c r="E571" s="2"/>
      <c r="F571" s="10"/>
      <c r="G571" s="10"/>
      <c r="I571" s="2"/>
      <c r="J571" s="2"/>
      <c r="K571" s="2"/>
      <c r="L571" s="2"/>
      <c r="M571" s="2"/>
      <c r="N571" s="2"/>
      <c r="O571" s="2"/>
      <c r="P571" s="2"/>
      <c r="Q571" s="2"/>
      <c r="R571" s="2"/>
      <c r="S571" s="2"/>
      <c r="T571" s="2"/>
      <c r="U571" s="2"/>
      <c r="V571" s="2"/>
      <c r="W571" s="2"/>
      <c r="X571" s="2"/>
      <c r="Y571" s="2"/>
      <c r="Z571" s="2"/>
      <c r="AA571" s="2"/>
    </row>
    <row r="572">
      <c r="A572" s="2"/>
      <c r="B572" s="2"/>
      <c r="D572" s="2"/>
      <c r="E572" s="2"/>
      <c r="F572" s="10"/>
      <c r="G572" s="10"/>
      <c r="I572" s="2"/>
      <c r="J572" s="2"/>
      <c r="K572" s="2"/>
      <c r="L572" s="2"/>
      <c r="M572" s="2"/>
      <c r="N572" s="2"/>
      <c r="O572" s="2"/>
      <c r="P572" s="2"/>
      <c r="Q572" s="2"/>
      <c r="R572" s="2"/>
      <c r="S572" s="2"/>
      <c r="T572" s="2"/>
      <c r="U572" s="2"/>
      <c r="V572" s="2"/>
      <c r="W572" s="2"/>
      <c r="X572" s="2"/>
      <c r="Y572" s="2"/>
      <c r="Z572" s="2"/>
      <c r="AA572" s="2"/>
    </row>
    <row r="573">
      <c r="A573" s="2"/>
      <c r="B573" s="2"/>
      <c r="D573" s="2"/>
      <c r="E573" s="2"/>
      <c r="F573" s="10"/>
      <c r="G573" s="10"/>
      <c r="I573" s="2"/>
      <c r="J573" s="2"/>
      <c r="K573" s="2"/>
      <c r="L573" s="2"/>
      <c r="M573" s="2"/>
      <c r="N573" s="2"/>
      <c r="O573" s="2"/>
      <c r="P573" s="2"/>
      <c r="Q573" s="2"/>
      <c r="R573" s="2"/>
      <c r="S573" s="2"/>
      <c r="T573" s="2"/>
      <c r="U573" s="2"/>
      <c r="V573" s="2"/>
      <c r="W573" s="2"/>
      <c r="X573" s="2"/>
      <c r="Y573" s="2"/>
      <c r="Z573" s="2"/>
      <c r="AA573" s="2"/>
    </row>
    <row r="574">
      <c r="A574" s="2"/>
      <c r="B574" s="2"/>
      <c r="D574" s="2"/>
      <c r="E574" s="2"/>
      <c r="F574" s="10"/>
      <c r="G574" s="10"/>
      <c r="I574" s="2"/>
      <c r="J574" s="2"/>
      <c r="K574" s="2"/>
      <c r="L574" s="2"/>
      <c r="M574" s="2"/>
      <c r="N574" s="2"/>
      <c r="O574" s="2"/>
      <c r="P574" s="2"/>
      <c r="Q574" s="2"/>
      <c r="R574" s="2"/>
      <c r="S574" s="2"/>
      <c r="T574" s="2"/>
      <c r="U574" s="2"/>
      <c r="V574" s="2"/>
      <c r="W574" s="2"/>
      <c r="X574" s="2"/>
      <c r="Y574" s="2"/>
      <c r="Z574" s="2"/>
      <c r="AA574" s="2"/>
    </row>
    <row r="575">
      <c r="A575" s="2"/>
      <c r="B575" s="2"/>
      <c r="D575" s="2"/>
      <c r="E575" s="2"/>
      <c r="F575" s="10"/>
      <c r="G575" s="10"/>
      <c r="I575" s="2"/>
      <c r="J575" s="2"/>
      <c r="K575" s="2"/>
      <c r="L575" s="2"/>
      <c r="M575" s="2"/>
      <c r="N575" s="2"/>
      <c r="O575" s="2"/>
      <c r="P575" s="2"/>
      <c r="Q575" s="2"/>
      <c r="R575" s="2"/>
      <c r="S575" s="2"/>
      <c r="T575" s="2"/>
      <c r="U575" s="2"/>
      <c r="V575" s="2"/>
      <c r="W575" s="2"/>
      <c r="X575" s="2"/>
      <c r="Y575" s="2"/>
      <c r="Z575" s="2"/>
      <c r="AA575" s="2"/>
    </row>
    <row r="576">
      <c r="A576" s="2"/>
      <c r="B576" s="2"/>
      <c r="D576" s="2"/>
      <c r="E576" s="2"/>
      <c r="F576" s="10"/>
      <c r="G576" s="10"/>
      <c r="I576" s="2"/>
      <c r="J576" s="2"/>
      <c r="K576" s="2"/>
      <c r="L576" s="2"/>
      <c r="M576" s="2"/>
      <c r="N576" s="2"/>
      <c r="O576" s="2"/>
      <c r="P576" s="2"/>
      <c r="Q576" s="2"/>
      <c r="R576" s="2"/>
      <c r="S576" s="2"/>
      <c r="T576" s="2"/>
      <c r="U576" s="2"/>
      <c r="V576" s="2"/>
      <c r="W576" s="2"/>
      <c r="X576" s="2"/>
      <c r="Y576" s="2"/>
      <c r="Z576" s="2"/>
      <c r="AA576" s="2"/>
    </row>
    <row r="577">
      <c r="A577" s="2"/>
      <c r="B577" s="2"/>
      <c r="D577" s="2"/>
      <c r="E577" s="2"/>
      <c r="F577" s="10"/>
      <c r="G577" s="10"/>
      <c r="I577" s="2"/>
      <c r="J577" s="2"/>
      <c r="K577" s="2"/>
      <c r="L577" s="2"/>
      <c r="M577" s="2"/>
      <c r="N577" s="2"/>
      <c r="O577" s="2"/>
      <c r="P577" s="2"/>
      <c r="Q577" s="2"/>
      <c r="R577" s="2"/>
      <c r="S577" s="2"/>
      <c r="T577" s="2"/>
      <c r="U577" s="2"/>
      <c r="V577" s="2"/>
      <c r="W577" s="2"/>
      <c r="X577" s="2"/>
      <c r="Y577" s="2"/>
      <c r="Z577" s="2"/>
      <c r="AA577" s="2"/>
    </row>
    <row r="578">
      <c r="A578" s="2"/>
      <c r="B578" s="2"/>
      <c r="D578" s="2"/>
      <c r="E578" s="2"/>
      <c r="F578" s="10"/>
      <c r="G578" s="10"/>
      <c r="I578" s="2"/>
      <c r="J578" s="2"/>
      <c r="K578" s="2"/>
      <c r="L578" s="2"/>
      <c r="M578" s="2"/>
      <c r="N578" s="2"/>
      <c r="O578" s="2"/>
      <c r="P578" s="2"/>
      <c r="Q578" s="2"/>
      <c r="R578" s="2"/>
      <c r="S578" s="2"/>
      <c r="T578" s="2"/>
      <c r="U578" s="2"/>
      <c r="V578" s="2"/>
      <c r="W578" s="2"/>
      <c r="X578" s="2"/>
      <c r="Y578" s="2"/>
      <c r="Z578" s="2"/>
      <c r="AA578" s="2"/>
    </row>
    <row r="579">
      <c r="A579" s="2"/>
      <c r="B579" s="2"/>
      <c r="D579" s="2"/>
      <c r="E579" s="2"/>
      <c r="F579" s="10"/>
      <c r="G579" s="10"/>
      <c r="I579" s="2"/>
      <c r="J579" s="2"/>
      <c r="K579" s="2"/>
      <c r="L579" s="2"/>
      <c r="M579" s="2"/>
      <c r="N579" s="2"/>
      <c r="O579" s="2"/>
      <c r="P579" s="2"/>
      <c r="Q579" s="2"/>
      <c r="R579" s="2"/>
      <c r="S579" s="2"/>
      <c r="T579" s="2"/>
      <c r="U579" s="2"/>
      <c r="V579" s="2"/>
      <c r="W579" s="2"/>
      <c r="X579" s="2"/>
      <c r="Y579" s="2"/>
      <c r="Z579" s="2"/>
      <c r="AA579" s="2"/>
    </row>
    <row r="580">
      <c r="A580" s="2"/>
      <c r="B580" s="2"/>
      <c r="D580" s="2"/>
      <c r="E580" s="2"/>
      <c r="F580" s="10"/>
      <c r="G580" s="10"/>
      <c r="I580" s="2"/>
      <c r="J580" s="2"/>
      <c r="K580" s="2"/>
      <c r="L580" s="2"/>
      <c r="M580" s="2"/>
      <c r="N580" s="2"/>
      <c r="O580" s="2"/>
      <c r="P580" s="2"/>
      <c r="Q580" s="2"/>
      <c r="R580" s="2"/>
      <c r="S580" s="2"/>
      <c r="T580" s="2"/>
      <c r="U580" s="2"/>
      <c r="V580" s="2"/>
      <c r="W580" s="2"/>
      <c r="X580" s="2"/>
      <c r="Y580" s="2"/>
      <c r="Z580" s="2"/>
      <c r="AA580" s="2"/>
    </row>
    <row r="581">
      <c r="A581" s="2"/>
      <c r="B581" s="2"/>
      <c r="D581" s="2"/>
      <c r="E581" s="2"/>
      <c r="F581" s="10"/>
      <c r="G581" s="10"/>
      <c r="I581" s="2"/>
      <c r="J581" s="2"/>
      <c r="K581" s="2"/>
      <c r="L581" s="2"/>
      <c r="M581" s="2"/>
      <c r="N581" s="2"/>
      <c r="O581" s="2"/>
      <c r="P581" s="2"/>
      <c r="Q581" s="2"/>
      <c r="R581" s="2"/>
      <c r="S581" s="2"/>
      <c r="T581" s="2"/>
      <c r="U581" s="2"/>
      <c r="V581" s="2"/>
      <c r="W581" s="2"/>
      <c r="X581" s="2"/>
      <c r="Y581" s="2"/>
      <c r="Z581" s="2"/>
      <c r="AA581" s="2"/>
    </row>
    <row r="582">
      <c r="A582" s="2"/>
      <c r="B582" s="2"/>
      <c r="D582" s="2"/>
      <c r="E582" s="2"/>
      <c r="F582" s="10"/>
      <c r="G582" s="10"/>
      <c r="I582" s="2"/>
      <c r="J582" s="2"/>
      <c r="K582" s="2"/>
      <c r="L582" s="2"/>
      <c r="M582" s="2"/>
      <c r="N582" s="2"/>
      <c r="O582" s="2"/>
      <c r="P582" s="2"/>
      <c r="Q582" s="2"/>
      <c r="R582" s="2"/>
      <c r="S582" s="2"/>
      <c r="T582" s="2"/>
      <c r="U582" s="2"/>
      <c r="V582" s="2"/>
      <c r="W582" s="2"/>
      <c r="X582" s="2"/>
      <c r="Y582" s="2"/>
      <c r="Z582" s="2"/>
      <c r="AA582" s="2"/>
    </row>
    <row r="583">
      <c r="A583" s="2"/>
      <c r="B583" s="2"/>
      <c r="D583" s="2"/>
      <c r="E583" s="2"/>
      <c r="F583" s="10"/>
      <c r="G583" s="10"/>
      <c r="I583" s="2"/>
      <c r="J583" s="2"/>
      <c r="K583" s="2"/>
      <c r="L583" s="2"/>
      <c r="M583" s="2"/>
      <c r="N583" s="2"/>
      <c r="O583" s="2"/>
      <c r="P583" s="2"/>
      <c r="Q583" s="2"/>
      <c r="R583" s="2"/>
      <c r="S583" s="2"/>
      <c r="T583" s="2"/>
      <c r="U583" s="2"/>
      <c r="V583" s="2"/>
      <c r="W583" s="2"/>
      <c r="X583" s="2"/>
      <c r="Y583" s="2"/>
      <c r="Z583" s="2"/>
      <c r="AA583" s="2"/>
    </row>
    <row r="584">
      <c r="A584" s="2"/>
      <c r="B584" s="2"/>
      <c r="D584" s="2"/>
      <c r="E584" s="2"/>
      <c r="F584" s="10"/>
      <c r="G584" s="10"/>
      <c r="I584" s="2"/>
      <c r="J584" s="2"/>
      <c r="K584" s="2"/>
      <c r="L584" s="2"/>
      <c r="M584" s="2"/>
      <c r="N584" s="2"/>
      <c r="O584" s="2"/>
      <c r="P584" s="2"/>
      <c r="Q584" s="2"/>
      <c r="R584" s="2"/>
      <c r="S584" s="2"/>
      <c r="T584" s="2"/>
      <c r="U584" s="2"/>
      <c r="V584" s="2"/>
      <c r="W584" s="2"/>
      <c r="X584" s="2"/>
      <c r="Y584" s="2"/>
      <c r="Z584" s="2"/>
      <c r="AA584" s="2"/>
    </row>
    <row r="585">
      <c r="A585" s="2"/>
      <c r="B585" s="2"/>
      <c r="D585" s="2"/>
      <c r="E585" s="2"/>
      <c r="F585" s="10"/>
      <c r="G585" s="10"/>
      <c r="I585" s="2"/>
      <c r="J585" s="2"/>
      <c r="K585" s="2"/>
      <c r="L585" s="2"/>
      <c r="M585" s="2"/>
      <c r="N585" s="2"/>
      <c r="O585" s="2"/>
      <c r="P585" s="2"/>
      <c r="Q585" s="2"/>
      <c r="R585" s="2"/>
      <c r="S585" s="2"/>
      <c r="T585" s="2"/>
      <c r="U585" s="2"/>
      <c r="V585" s="2"/>
      <c r="W585" s="2"/>
      <c r="X585" s="2"/>
      <c r="Y585" s="2"/>
      <c r="Z585" s="2"/>
      <c r="AA585" s="2"/>
    </row>
    <row r="586">
      <c r="A586" s="2"/>
      <c r="B586" s="2"/>
      <c r="D586" s="2"/>
      <c r="E586" s="2"/>
      <c r="F586" s="10"/>
      <c r="G586" s="10"/>
      <c r="I586" s="2"/>
      <c r="J586" s="2"/>
      <c r="K586" s="2"/>
      <c r="L586" s="2"/>
      <c r="M586" s="2"/>
      <c r="N586" s="2"/>
      <c r="O586" s="2"/>
      <c r="P586" s="2"/>
      <c r="Q586" s="2"/>
      <c r="R586" s="2"/>
      <c r="S586" s="2"/>
      <c r="T586" s="2"/>
      <c r="U586" s="2"/>
      <c r="V586" s="2"/>
      <c r="W586" s="2"/>
      <c r="X586" s="2"/>
      <c r="Y586" s="2"/>
      <c r="Z586" s="2"/>
      <c r="AA586" s="2"/>
    </row>
    <row r="587">
      <c r="A587" s="2"/>
      <c r="B587" s="2"/>
      <c r="D587" s="2"/>
      <c r="E587" s="2"/>
      <c r="F587" s="10"/>
      <c r="G587" s="10"/>
      <c r="I587" s="2"/>
      <c r="J587" s="2"/>
      <c r="K587" s="2"/>
      <c r="L587" s="2"/>
      <c r="M587" s="2"/>
      <c r="N587" s="2"/>
      <c r="O587" s="2"/>
      <c r="P587" s="2"/>
      <c r="Q587" s="2"/>
      <c r="R587" s="2"/>
      <c r="S587" s="2"/>
      <c r="T587" s="2"/>
      <c r="U587" s="2"/>
      <c r="V587" s="2"/>
      <c r="W587" s="2"/>
      <c r="X587" s="2"/>
      <c r="Y587" s="2"/>
      <c r="Z587" s="2"/>
      <c r="AA587" s="2"/>
    </row>
    <row r="588">
      <c r="A588" s="2"/>
      <c r="B588" s="2"/>
      <c r="D588" s="2"/>
      <c r="E588" s="2"/>
      <c r="F588" s="10"/>
      <c r="G588" s="10"/>
      <c r="I588" s="2"/>
      <c r="J588" s="2"/>
      <c r="K588" s="2"/>
      <c r="L588" s="2"/>
      <c r="M588" s="2"/>
      <c r="N588" s="2"/>
      <c r="O588" s="2"/>
      <c r="P588" s="2"/>
      <c r="Q588" s="2"/>
      <c r="R588" s="2"/>
      <c r="S588" s="2"/>
      <c r="T588" s="2"/>
      <c r="U588" s="2"/>
      <c r="V588" s="2"/>
      <c r="W588" s="2"/>
      <c r="X588" s="2"/>
      <c r="Y588" s="2"/>
      <c r="Z588" s="2"/>
      <c r="AA588" s="2"/>
    </row>
    <row r="589">
      <c r="A589" s="2"/>
      <c r="B589" s="2"/>
      <c r="D589" s="2"/>
      <c r="E589" s="2"/>
      <c r="F589" s="10"/>
      <c r="G589" s="10"/>
      <c r="I589" s="2"/>
      <c r="J589" s="2"/>
      <c r="K589" s="2"/>
      <c r="L589" s="2"/>
      <c r="M589" s="2"/>
      <c r="N589" s="2"/>
      <c r="O589" s="2"/>
      <c r="P589" s="2"/>
      <c r="Q589" s="2"/>
      <c r="R589" s="2"/>
      <c r="S589" s="2"/>
      <c r="T589" s="2"/>
      <c r="U589" s="2"/>
      <c r="V589" s="2"/>
      <c r="W589" s="2"/>
      <c r="X589" s="2"/>
      <c r="Y589" s="2"/>
      <c r="Z589" s="2"/>
      <c r="AA589" s="2"/>
    </row>
    <row r="590">
      <c r="A590" s="2"/>
      <c r="B590" s="2"/>
      <c r="D590" s="2"/>
      <c r="E590" s="2"/>
      <c r="F590" s="10"/>
      <c r="G590" s="10"/>
      <c r="I590" s="2"/>
      <c r="J590" s="2"/>
      <c r="K590" s="2"/>
      <c r="L590" s="2"/>
      <c r="M590" s="2"/>
      <c r="N590" s="2"/>
      <c r="O590" s="2"/>
      <c r="P590" s="2"/>
      <c r="Q590" s="2"/>
      <c r="R590" s="2"/>
      <c r="S590" s="2"/>
      <c r="T590" s="2"/>
      <c r="U590" s="2"/>
      <c r="V590" s="2"/>
      <c r="W590" s="2"/>
      <c r="X590" s="2"/>
      <c r="Y590" s="2"/>
      <c r="Z590" s="2"/>
      <c r="AA590" s="2"/>
    </row>
    <row r="591">
      <c r="A591" s="2"/>
      <c r="B591" s="2"/>
      <c r="D591" s="2"/>
      <c r="E591" s="2"/>
      <c r="F591" s="10"/>
      <c r="G591" s="10"/>
      <c r="I591" s="2"/>
      <c r="J591" s="2"/>
      <c r="K591" s="2"/>
      <c r="L591" s="2"/>
      <c r="M591" s="2"/>
      <c r="N591" s="2"/>
      <c r="O591" s="2"/>
      <c r="P591" s="2"/>
      <c r="Q591" s="2"/>
      <c r="R591" s="2"/>
      <c r="S591" s="2"/>
      <c r="T591" s="2"/>
      <c r="U591" s="2"/>
      <c r="V591" s="2"/>
      <c r="W591" s="2"/>
      <c r="X591" s="2"/>
      <c r="Y591" s="2"/>
      <c r="Z591" s="2"/>
      <c r="AA591" s="2"/>
    </row>
    <row r="592">
      <c r="A592" s="2"/>
      <c r="B592" s="2"/>
      <c r="D592" s="2"/>
      <c r="E592" s="2"/>
      <c r="F592" s="10"/>
      <c r="G592" s="10"/>
      <c r="I592" s="2"/>
      <c r="J592" s="2"/>
      <c r="K592" s="2"/>
      <c r="L592" s="2"/>
      <c r="M592" s="2"/>
      <c r="N592" s="2"/>
      <c r="O592" s="2"/>
      <c r="P592" s="2"/>
      <c r="Q592" s="2"/>
      <c r="R592" s="2"/>
      <c r="S592" s="2"/>
      <c r="T592" s="2"/>
      <c r="U592" s="2"/>
      <c r="V592" s="2"/>
      <c r="W592" s="2"/>
      <c r="X592" s="2"/>
      <c r="Y592" s="2"/>
      <c r="Z592" s="2"/>
      <c r="AA592" s="2"/>
    </row>
    <row r="593">
      <c r="A593" s="2"/>
      <c r="B593" s="2"/>
      <c r="D593" s="2"/>
      <c r="E593" s="2"/>
      <c r="F593" s="10"/>
      <c r="G593" s="10"/>
      <c r="I593" s="2"/>
      <c r="J593" s="2"/>
      <c r="K593" s="2"/>
      <c r="L593" s="2"/>
      <c r="M593" s="2"/>
      <c r="N593" s="2"/>
      <c r="O593" s="2"/>
      <c r="P593" s="2"/>
      <c r="Q593" s="2"/>
      <c r="R593" s="2"/>
      <c r="S593" s="2"/>
      <c r="T593" s="2"/>
      <c r="U593" s="2"/>
      <c r="V593" s="2"/>
      <c r="W593" s="2"/>
      <c r="X593" s="2"/>
      <c r="Y593" s="2"/>
      <c r="Z593" s="2"/>
      <c r="AA593" s="2"/>
    </row>
    <row r="594">
      <c r="A594" s="2"/>
      <c r="B594" s="2"/>
      <c r="D594" s="2"/>
      <c r="E594" s="2"/>
      <c r="F594" s="10"/>
      <c r="G594" s="10"/>
      <c r="I594" s="2"/>
      <c r="J594" s="2"/>
      <c r="K594" s="2"/>
      <c r="L594" s="2"/>
      <c r="M594" s="2"/>
      <c r="N594" s="2"/>
      <c r="O594" s="2"/>
      <c r="P594" s="2"/>
      <c r="Q594" s="2"/>
      <c r="R594" s="2"/>
      <c r="S594" s="2"/>
      <c r="T594" s="2"/>
      <c r="U594" s="2"/>
      <c r="V594" s="2"/>
      <c r="W594" s="2"/>
      <c r="X594" s="2"/>
      <c r="Y594" s="2"/>
      <c r="Z594" s="2"/>
      <c r="AA594" s="2"/>
    </row>
    <row r="595">
      <c r="A595" s="2"/>
      <c r="B595" s="2"/>
      <c r="D595" s="2"/>
      <c r="E595" s="2"/>
      <c r="F595" s="10"/>
      <c r="G595" s="10"/>
      <c r="I595" s="2"/>
      <c r="J595" s="2"/>
      <c r="K595" s="2"/>
      <c r="L595" s="2"/>
      <c r="M595" s="2"/>
      <c r="N595" s="2"/>
      <c r="O595" s="2"/>
      <c r="P595" s="2"/>
      <c r="Q595" s="2"/>
      <c r="R595" s="2"/>
      <c r="S595" s="2"/>
      <c r="T595" s="2"/>
      <c r="U595" s="2"/>
      <c r="V595" s="2"/>
      <c r="W595" s="2"/>
      <c r="X595" s="2"/>
      <c r="Y595" s="2"/>
      <c r="Z595" s="2"/>
      <c r="AA595" s="2"/>
    </row>
    <row r="596">
      <c r="A596" s="2"/>
      <c r="B596" s="2"/>
      <c r="D596" s="2"/>
      <c r="E596" s="2"/>
      <c r="F596" s="10"/>
      <c r="G596" s="10"/>
      <c r="I596" s="2"/>
      <c r="J596" s="2"/>
      <c r="K596" s="2"/>
      <c r="L596" s="2"/>
      <c r="M596" s="2"/>
      <c r="N596" s="2"/>
      <c r="O596" s="2"/>
      <c r="P596" s="2"/>
      <c r="Q596" s="2"/>
      <c r="R596" s="2"/>
      <c r="S596" s="2"/>
      <c r="T596" s="2"/>
      <c r="U596" s="2"/>
      <c r="V596" s="2"/>
      <c r="W596" s="2"/>
      <c r="X596" s="2"/>
      <c r="Y596" s="2"/>
      <c r="Z596" s="2"/>
      <c r="AA596" s="2"/>
    </row>
    <row r="597">
      <c r="A597" s="2"/>
      <c r="B597" s="2"/>
      <c r="D597" s="2"/>
      <c r="E597" s="2"/>
      <c r="F597" s="10"/>
      <c r="G597" s="10"/>
      <c r="I597" s="2"/>
      <c r="J597" s="2"/>
      <c r="K597" s="2"/>
      <c r="L597" s="2"/>
      <c r="M597" s="2"/>
      <c r="N597" s="2"/>
      <c r="O597" s="2"/>
      <c r="P597" s="2"/>
      <c r="Q597" s="2"/>
      <c r="R597" s="2"/>
      <c r="S597" s="2"/>
      <c r="T597" s="2"/>
      <c r="U597" s="2"/>
      <c r="V597" s="2"/>
      <c r="W597" s="2"/>
      <c r="X597" s="2"/>
      <c r="Y597" s="2"/>
      <c r="Z597" s="2"/>
      <c r="AA597" s="2"/>
    </row>
    <row r="598">
      <c r="A598" s="2"/>
      <c r="B598" s="2"/>
      <c r="D598" s="2"/>
      <c r="E598" s="2"/>
      <c r="F598" s="10"/>
      <c r="G598" s="10"/>
      <c r="I598" s="2"/>
      <c r="J598" s="2"/>
      <c r="K598" s="2"/>
      <c r="L598" s="2"/>
      <c r="M598" s="2"/>
      <c r="N598" s="2"/>
      <c r="O598" s="2"/>
      <c r="P598" s="2"/>
      <c r="Q598" s="2"/>
      <c r="R598" s="2"/>
      <c r="S598" s="2"/>
      <c r="T598" s="2"/>
      <c r="U598" s="2"/>
      <c r="V598" s="2"/>
      <c r="W598" s="2"/>
      <c r="X598" s="2"/>
      <c r="Y598" s="2"/>
      <c r="Z598" s="2"/>
      <c r="AA598" s="2"/>
    </row>
    <row r="599">
      <c r="A599" s="2"/>
      <c r="B599" s="2"/>
      <c r="D599" s="2"/>
      <c r="E599" s="2"/>
      <c r="F599" s="10"/>
      <c r="G599" s="10"/>
      <c r="I599" s="2"/>
      <c r="J599" s="2"/>
      <c r="K599" s="2"/>
      <c r="L599" s="2"/>
      <c r="M599" s="2"/>
      <c r="N599" s="2"/>
      <c r="O599" s="2"/>
      <c r="P599" s="2"/>
      <c r="Q599" s="2"/>
      <c r="R599" s="2"/>
      <c r="S599" s="2"/>
      <c r="T599" s="2"/>
      <c r="U599" s="2"/>
      <c r="V599" s="2"/>
      <c r="W599" s="2"/>
      <c r="X599" s="2"/>
      <c r="Y599" s="2"/>
      <c r="Z599" s="2"/>
      <c r="AA599" s="2"/>
    </row>
    <row r="600">
      <c r="A600" s="2"/>
      <c r="B600" s="2"/>
      <c r="D600" s="2"/>
      <c r="E600" s="2"/>
      <c r="F600" s="10"/>
      <c r="G600" s="10"/>
      <c r="I600" s="2"/>
      <c r="J600" s="2"/>
      <c r="K600" s="2"/>
      <c r="L600" s="2"/>
      <c r="M600" s="2"/>
      <c r="N600" s="2"/>
      <c r="O600" s="2"/>
      <c r="P600" s="2"/>
      <c r="Q600" s="2"/>
      <c r="R600" s="2"/>
      <c r="S600" s="2"/>
      <c r="T600" s="2"/>
      <c r="U600" s="2"/>
      <c r="V600" s="2"/>
      <c r="W600" s="2"/>
      <c r="X600" s="2"/>
      <c r="Y600" s="2"/>
      <c r="Z600" s="2"/>
      <c r="AA600" s="2"/>
    </row>
    <row r="601">
      <c r="A601" s="2"/>
      <c r="B601" s="2"/>
      <c r="D601" s="2"/>
      <c r="E601" s="2"/>
      <c r="F601" s="10"/>
      <c r="G601" s="10"/>
      <c r="I601" s="2"/>
      <c r="J601" s="2"/>
      <c r="K601" s="2"/>
      <c r="L601" s="2"/>
      <c r="M601" s="2"/>
      <c r="N601" s="2"/>
      <c r="O601" s="2"/>
      <c r="P601" s="2"/>
      <c r="Q601" s="2"/>
      <c r="R601" s="2"/>
      <c r="S601" s="2"/>
      <c r="T601" s="2"/>
      <c r="U601" s="2"/>
      <c r="V601" s="2"/>
      <c r="W601" s="2"/>
      <c r="X601" s="2"/>
      <c r="Y601" s="2"/>
      <c r="Z601" s="2"/>
      <c r="AA601" s="2"/>
    </row>
    <row r="602">
      <c r="A602" s="2"/>
      <c r="B602" s="2"/>
      <c r="D602" s="2"/>
      <c r="E602" s="2"/>
      <c r="F602" s="10"/>
      <c r="G602" s="10"/>
      <c r="I602" s="2"/>
      <c r="J602" s="2"/>
      <c r="K602" s="2"/>
      <c r="L602" s="2"/>
      <c r="M602" s="2"/>
      <c r="N602" s="2"/>
      <c r="O602" s="2"/>
      <c r="P602" s="2"/>
      <c r="Q602" s="2"/>
      <c r="R602" s="2"/>
      <c r="S602" s="2"/>
      <c r="T602" s="2"/>
      <c r="U602" s="2"/>
      <c r="V602" s="2"/>
      <c r="W602" s="2"/>
      <c r="X602" s="2"/>
      <c r="Y602" s="2"/>
      <c r="Z602" s="2"/>
      <c r="AA602" s="2"/>
    </row>
    <row r="603">
      <c r="A603" s="2"/>
      <c r="B603" s="2"/>
      <c r="D603" s="2"/>
      <c r="E603" s="2"/>
      <c r="F603" s="10"/>
      <c r="G603" s="10"/>
      <c r="I603" s="2"/>
      <c r="J603" s="2"/>
      <c r="K603" s="2"/>
      <c r="L603" s="2"/>
      <c r="M603" s="2"/>
      <c r="N603" s="2"/>
      <c r="O603" s="2"/>
      <c r="P603" s="2"/>
      <c r="Q603" s="2"/>
      <c r="R603" s="2"/>
      <c r="S603" s="2"/>
      <c r="T603" s="2"/>
      <c r="U603" s="2"/>
      <c r="V603" s="2"/>
      <c r="W603" s="2"/>
      <c r="X603" s="2"/>
      <c r="Y603" s="2"/>
      <c r="Z603" s="2"/>
      <c r="AA603" s="2"/>
    </row>
    <row r="604">
      <c r="A604" s="2"/>
      <c r="B604" s="2"/>
      <c r="D604" s="2"/>
      <c r="E604" s="2"/>
      <c r="F604" s="10"/>
      <c r="G604" s="10"/>
      <c r="I604" s="2"/>
      <c r="J604" s="2"/>
      <c r="K604" s="2"/>
      <c r="L604" s="2"/>
      <c r="M604" s="2"/>
      <c r="N604" s="2"/>
      <c r="O604" s="2"/>
      <c r="P604" s="2"/>
      <c r="Q604" s="2"/>
      <c r="R604" s="2"/>
      <c r="S604" s="2"/>
      <c r="T604" s="2"/>
      <c r="U604" s="2"/>
      <c r="V604" s="2"/>
      <c r="W604" s="2"/>
      <c r="X604" s="2"/>
      <c r="Y604" s="2"/>
      <c r="Z604" s="2"/>
      <c r="AA604" s="2"/>
    </row>
    <row r="605">
      <c r="A605" s="2"/>
      <c r="B605" s="2"/>
      <c r="D605" s="2"/>
      <c r="E605" s="2"/>
      <c r="F605" s="10"/>
      <c r="G605" s="10"/>
      <c r="I605" s="2"/>
      <c r="J605" s="2"/>
      <c r="K605" s="2"/>
      <c r="L605" s="2"/>
      <c r="M605" s="2"/>
      <c r="N605" s="2"/>
      <c r="O605" s="2"/>
      <c r="P605" s="2"/>
      <c r="Q605" s="2"/>
      <c r="R605" s="2"/>
      <c r="S605" s="2"/>
      <c r="T605" s="2"/>
      <c r="U605" s="2"/>
      <c r="V605" s="2"/>
      <c r="W605" s="2"/>
      <c r="X605" s="2"/>
      <c r="Y605" s="2"/>
      <c r="Z605" s="2"/>
      <c r="AA605" s="2"/>
    </row>
    <row r="606">
      <c r="A606" s="2"/>
      <c r="B606" s="2"/>
      <c r="D606" s="2"/>
      <c r="E606" s="2"/>
      <c r="F606" s="10"/>
      <c r="G606" s="10"/>
      <c r="I606" s="2"/>
      <c r="J606" s="2"/>
      <c r="K606" s="2"/>
      <c r="L606" s="2"/>
      <c r="M606" s="2"/>
      <c r="N606" s="2"/>
      <c r="O606" s="2"/>
      <c r="P606" s="2"/>
      <c r="Q606" s="2"/>
      <c r="R606" s="2"/>
      <c r="S606" s="2"/>
      <c r="T606" s="2"/>
      <c r="U606" s="2"/>
      <c r="V606" s="2"/>
      <c r="W606" s="2"/>
      <c r="X606" s="2"/>
      <c r="Y606" s="2"/>
      <c r="Z606" s="2"/>
      <c r="AA606" s="2"/>
    </row>
    <row r="607">
      <c r="A607" s="2"/>
      <c r="B607" s="2"/>
      <c r="D607" s="2"/>
      <c r="E607" s="2"/>
      <c r="F607" s="10"/>
      <c r="G607" s="10"/>
      <c r="I607" s="2"/>
      <c r="J607" s="2"/>
      <c r="K607" s="2"/>
      <c r="L607" s="2"/>
      <c r="M607" s="2"/>
      <c r="N607" s="2"/>
      <c r="O607" s="2"/>
      <c r="P607" s="2"/>
      <c r="Q607" s="2"/>
      <c r="R607" s="2"/>
      <c r="S607" s="2"/>
      <c r="T607" s="2"/>
      <c r="U607" s="2"/>
      <c r="V607" s="2"/>
      <c r="W607" s="2"/>
      <c r="X607" s="2"/>
      <c r="Y607" s="2"/>
      <c r="Z607" s="2"/>
      <c r="AA607" s="2"/>
    </row>
    <row r="608">
      <c r="A608" s="2"/>
      <c r="B608" s="2"/>
      <c r="D608" s="2"/>
      <c r="E608" s="2"/>
      <c r="F608" s="10"/>
      <c r="G608" s="10"/>
      <c r="I608" s="2"/>
      <c r="J608" s="2"/>
      <c r="K608" s="2"/>
      <c r="L608" s="2"/>
      <c r="M608" s="2"/>
      <c r="N608" s="2"/>
      <c r="O608" s="2"/>
      <c r="P608" s="2"/>
      <c r="Q608" s="2"/>
      <c r="R608" s="2"/>
      <c r="S608" s="2"/>
      <c r="T608" s="2"/>
      <c r="U608" s="2"/>
      <c r="V608" s="2"/>
      <c r="W608" s="2"/>
      <c r="X608" s="2"/>
      <c r="Y608" s="2"/>
      <c r="Z608" s="2"/>
      <c r="AA608" s="2"/>
    </row>
    <row r="609">
      <c r="A609" s="2"/>
      <c r="B609" s="2"/>
      <c r="D609" s="2"/>
      <c r="E609" s="2"/>
      <c r="F609" s="10"/>
      <c r="G609" s="10"/>
      <c r="I609" s="2"/>
      <c r="J609" s="2"/>
      <c r="K609" s="2"/>
      <c r="L609" s="2"/>
      <c r="M609" s="2"/>
      <c r="N609" s="2"/>
      <c r="O609" s="2"/>
      <c r="P609" s="2"/>
      <c r="Q609" s="2"/>
      <c r="R609" s="2"/>
      <c r="S609" s="2"/>
      <c r="T609" s="2"/>
      <c r="U609" s="2"/>
      <c r="V609" s="2"/>
      <c r="W609" s="2"/>
      <c r="X609" s="2"/>
      <c r="Y609" s="2"/>
      <c r="Z609" s="2"/>
      <c r="AA609" s="2"/>
    </row>
    <row r="610">
      <c r="A610" s="2"/>
      <c r="B610" s="2"/>
      <c r="D610" s="2"/>
      <c r="E610" s="2"/>
      <c r="F610" s="10"/>
      <c r="G610" s="10"/>
      <c r="I610" s="2"/>
      <c r="J610" s="2"/>
      <c r="K610" s="2"/>
      <c r="L610" s="2"/>
      <c r="M610" s="2"/>
      <c r="N610" s="2"/>
      <c r="O610" s="2"/>
      <c r="P610" s="2"/>
      <c r="Q610" s="2"/>
      <c r="R610" s="2"/>
      <c r="S610" s="2"/>
      <c r="T610" s="2"/>
      <c r="U610" s="2"/>
      <c r="V610" s="2"/>
      <c r="W610" s="2"/>
      <c r="X610" s="2"/>
      <c r="Y610" s="2"/>
      <c r="Z610" s="2"/>
      <c r="AA610" s="2"/>
    </row>
    <row r="611">
      <c r="A611" s="2"/>
      <c r="B611" s="2"/>
      <c r="D611" s="2"/>
      <c r="E611" s="2"/>
      <c r="F611" s="10"/>
      <c r="G611" s="10"/>
      <c r="I611" s="2"/>
      <c r="J611" s="2"/>
      <c r="K611" s="2"/>
      <c r="L611" s="2"/>
      <c r="M611" s="2"/>
      <c r="N611" s="2"/>
      <c r="O611" s="2"/>
      <c r="P611" s="2"/>
      <c r="Q611" s="2"/>
      <c r="R611" s="2"/>
      <c r="S611" s="2"/>
      <c r="T611" s="2"/>
      <c r="U611" s="2"/>
      <c r="V611" s="2"/>
      <c r="W611" s="2"/>
      <c r="X611" s="2"/>
      <c r="Y611" s="2"/>
      <c r="Z611" s="2"/>
      <c r="AA611" s="2"/>
    </row>
    <row r="612">
      <c r="A612" s="2"/>
      <c r="B612" s="2"/>
      <c r="D612" s="2"/>
      <c r="E612" s="2"/>
      <c r="F612" s="10"/>
      <c r="G612" s="10"/>
      <c r="I612" s="2"/>
      <c r="J612" s="2"/>
      <c r="K612" s="2"/>
      <c r="L612" s="2"/>
      <c r="M612" s="2"/>
      <c r="N612" s="2"/>
      <c r="O612" s="2"/>
      <c r="P612" s="2"/>
      <c r="Q612" s="2"/>
      <c r="R612" s="2"/>
      <c r="S612" s="2"/>
      <c r="T612" s="2"/>
      <c r="U612" s="2"/>
      <c r="V612" s="2"/>
      <c r="W612" s="2"/>
      <c r="X612" s="2"/>
      <c r="Y612" s="2"/>
      <c r="Z612" s="2"/>
      <c r="AA612" s="2"/>
    </row>
    <row r="613">
      <c r="A613" s="2"/>
      <c r="B613" s="2"/>
      <c r="D613" s="2"/>
      <c r="E613" s="2"/>
      <c r="F613" s="10"/>
      <c r="G613" s="10"/>
      <c r="I613" s="2"/>
      <c r="J613" s="2"/>
      <c r="K613" s="2"/>
      <c r="L613" s="2"/>
      <c r="M613" s="2"/>
      <c r="N613" s="2"/>
      <c r="O613" s="2"/>
      <c r="P613" s="2"/>
      <c r="Q613" s="2"/>
      <c r="R613" s="2"/>
      <c r="S613" s="2"/>
      <c r="T613" s="2"/>
      <c r="U613" s="2"/>
      <c r="V613" s="2"/>
      <c r="W613" s="2"/>
      <c r="X613" s="2"/>
      <c r="Y613" s="2"/>
      <c r="Z613" s="2"/>
      <c r="AA613" s="2"/>
    </row>
    <row r="614">
      <c r="A614" s="2"/>
      <c r="B614" s="2"/>
      <c r="D614" s="2"/>
      <c r="E614" s="2"/>
      <c r="F614" s="10"/>
      <c r="G614" s="10"/>
      <c r="I614" s="2"/>
      <c r="J614" s="2"/>
      <c r="K614" s="2"/>
      <c r="L614" s="2"/>
      <c r="M614" s="2"/>
      <c r="N614" s="2"/>
      <c r="O614" s="2"/>
      <c r="P614" s="2"/>
      <c r="Q614" s="2"/>
      <c r="R614" s="2"/>
      <c r="S614" s="2"/>
      <c r="T614" s="2"/>
      <c r="U614" s="2"/>
      <c r="V614" s="2"/>
      <c r="W614" s="2"/>
      <c r="X614" s="2"/>
      <c r="Y614" s="2"/>
      <c r="Z614" s="2"/>
      <c r="AA614" s="2"/>
    </row>
    <row r="615">
      <c r="A615" s="2"/>
      <c r="B615" s="2"/>
      <c r="D615" s="2"/>
      <c r="E615" s="2"/>
      <c r="F615" s="10"/>
      <c r="G615" s="10"/>
      <c r="I615" s="2"/>
      <c r="J615" s="2"/>
      <c r="K615" s="2"/>
      <c r="L615" s="2"/>
      <c r="M615" s="2"/>
      <c r="N615" s="2"/>
      <c r="O615" s="2"/>
      <c r="P615" s="2"/>
      <c r="Q615" s="2"/>
      <c r="R615" s="2"/>
      <c r="S615" s="2"/>
      <c r="T615" s="2"/>
      <c r="U615" s="2"/>
      <c r="V615" s="2"/>
      <c r="W615" s="2"/>
      <c r="X615" s="2"/>
      <c r="Y615" s="2"/>
      <c r="Z615" s="2"/>
      <c r="AA615" s="2"/>
    </row>
    <row r="616">
      <c r="A616" s="2"/>
      <c r="B616" s="2"/>
      <c r="D616" s="2"/>
      <c r="E616" s="2"/>
      <c r="F616" s="10"/>
      <c r="G616" s="10"/>
      <c r="I616" s="2"/>
      <c r="J616" s="2"/>
      <c r="K616" s="2"/>
      <c r="L616" s="2"/>
      <c r="M616" s="2"/>
      <c r="N616" s="2"/>
      <c r="O616" s="2"/>
      <c r="P616" s="2"/>
      <c r="Q616" s="2"/>
      <c r="R616" s="2"/>
      <c r="S616" s="2"/>
      <c r="T616" s="2"/>
      <c r="U616" s="2"/>
      <c r="V616" s="2"/>
      <c r="W616" s="2"/>
      <c r="X616" s="2"/>
      <c r="Y616" s="2"/>
      <c r="Z616" s="2"/>
      <c r="AA616" s="2"/>
    </row>
    <row r="617">
      <c r="A617" s="2"/>
      <c r="B617" s="2"/>
      <c r="D617" s="2"/>
      <c r="E617" s="2"/>
      <c r="F617" s="10"/>
      <c r="G617" s="10"/>
      <c r="I617" s="2"/>
      <c r="J617" s="2"/>
      <c r="K617" s="2"/>
      <c r="L617" s="2"/>
      <c r="M617" s="2"/>
      <c r="N617" s="2"/>
      <c r="O617" s="2"/>
      <c r="P617" s="2"/>
      <c r="Q617" s="2"/>
      <c r="R617" s="2"/>
      <c r="S617" s="2"/>
      <c r="T617" s="2"/>
      <c r="U617" s="2"/>
      <c r="V617" s="2"/>
      <c r="W617" s="2"/>
      <c r="X617" s="2"/>
      <c r="Y617" s="2"/>
      <c r="Z617" s="2"/>
      <c r="AA617" s="2"/>
    </row>
    <row r="618">
      <c r="A618" s="2"/>
      <c r="B618" s="2"/>
      <c r="D618" s="2"/>
      <c r="E618" s="2"/>
      <c r="F618" s="10"/>
      <c r="G618" s="10"/>
      <c r="I618" s="2"/>
      <c r="J618" s="2"/>
      <c r="K618" s="2"/>
      <c r="L618" s="2"/>
      <c r="M618" s="2"/>
      <c r="N618" s="2"/>
      <c r="O618" s="2"/>
      <c r="P618" s="2"/>
      <c r="Q618" s="2"/>
      <c r="R618" s="2"/>
      <c r="S618" s="2"/>
      <c r="T618" s="2"/>
      <c r="U618" s="2"/>
      <c r="V618" s="2"/>
      <c r="W618" s="2"/>
      <c r="X618" s="2"/>
      <c r="Y618" s="2"/>
      <c r="Z618" s="2"/>
      <c r="AA618" s="2"/>
    </row>
    <row r="619">
      <c r="A619" s="2"/>
      <c r="B619" s="2"/>
      <c r="D619" s="2"/>
      <c r="E619" s="2"/>
      <c r="F619" s="10"/>
      <c r="G619" s="10"/>
      <c r="I619" s="2"/>
      <c r="J619" s="2"/>
      <c r="K619" s="2"/>
      <c r="L619" s="2"/>
      <c r="M619" s="2"/>
      <c r="N619" s="2"/>
      <c r="O619" s="2"/>
      <c r="P619" s="2"/>
      <c r="Q619" s="2"/>
      <c r="R619" s="2"/>
      <c r="S619" s="2"/>
      <c r="T619" s="2"/>
      <c r="U619" s="2"/>
      <c r="V619" s="2"/>
      <c r="W619" s="2"/>
      <c r="X619" s="2"/>
      <c r="Y619" s="2"/>
      <c r="Z619" s="2"/>
      <c r="AA619" s="2"/>
    </row>
    <row r="620">
      <c r="A620" s="2"/>
      <c r="B620" s="2"/>
      <c r="D620" s="2"/>
      <c r="E620" s="2"/>
      <c r="F620" s="10"/>
      <c r="G620" s="10"/>
      <c r="I620" s="2"/>
      <c r="J620" s="2"/>
      <c r="K620" s="2"/>
      <c r="L620" s="2"/>
      <c r="M620" s="2"/>
      <c r="N620" s="2"/>
      <c r="O620" s="2"/>
      <c r="P620" s="2"/>
      <c r="Q620" s="2"/>
      <c r="R620" s="2"/>
      <c r="S620" s="2"/>
      <c r="T620" s="2"/>
      <c r="U620" s="2"/>
      <c r="V620" s="2"/>
      <c r="W620" s="2"/>
      <c r="X620" s="2"/>
      <c r="Y620" s="2"/>
      <c r="Z620" s="2"/>
      <c r="AA620" s="2"/>
    </row>
    <row r="621">
      <c r="A621" s="2"/>
      <c r="B621" s="2"/>
      <c r="D621" s="2"/>
      <c r="E621" s="2"/>
      <c r="F621" s="10"/>
      <c r="G621" s="10"/>
      <c r="I621" s="2"/>
      <c r="J621" s="2"/>
      <c r="K621" s="2"/>
      <c r="L621" s="2"/>
      <c r="M621" s="2"/>
      <c r="N621" s="2"/>
      <c r="O621" s="2"/>
      <c r="P621" s="2"/>
      <c r="Q621" s="2"/>
      <c r="R621" s="2"/>
      <c r="S621" s="2"/>
      <c r="T621" s="2"/>
      <c r="U621" s="2"/>
      <c r="V621" s="2"/>
      <c r="W621" s="2"/>
      <c r="X621" s="2"/>
      <c r="Y621" s="2"/>
      <c r="Z621" s="2"/>
      <c r="AA621" s="2"/>
    </row>
    <row r="622">
      <c r="A622" s="2"/>
      <c r="B622" s="2"/>
      <c r="D622" s="2"/>
      <c r="E622" s="2"/>
      <c r="F622" s="10"/>
      <c r="G622" s="10"/>
      <c r="I622" s="2"/>
      <c r="J622" s="2"/>
      <c r="K622" s="2"/>
      <c r="L622" s="2"/>
      <c r="M622" s="2"/>
      <c r="N622" s="2"/>
      <c r="O622" s="2"/>
      <c r="P622" s="2"/>
      <c r="Q622" s="2"/>
      <c r="R622" s="2"/>
      <c r="S622" s="2"/>
      <c r="T622" s="2"/>
      <c r="U622" s="2"/>
      <c r="V622" s="2"/>
      <c r="W622" s="2"/>
      <c r="X622" s="2"/>
      <c r="Y622" s="2"/>
      <c r="Z622" s="2"/>
      <c r="AA622" s="2"/>
    </row>
    <row r="623">
      <c r="A623" s="2"/>
      <c r="B623" s="2"/>
      <c r="D623" s="2"/>
      <c r="E623" s="2"/>
      <c r="F623" s="10"/>
      <c r="G623" s="10"/>
      <c r="I623" s="2"/>
      <c r="J623" s="2"/>
      <c r="K623" s="2"/>
      <c r="L623" s="2"/>
      <c r="M623" s="2"/>
      <c r="N623" s="2"/>
      <c r="O623" s="2"/>
      <c r="P623" s="2"/>
      <c r="Q623" s="2"/>
      <c r="R623" s="2"/>
      <c r="S623" s="2"/>
      <c r="T623" s="2"/>
      <c r="U623" s="2"/>
      <c r="V623" s="2"/>
      <c r="W623" s="2"/>
      <c r="X623" s="2"/>
      <c r="Y623" s="2"/>
      <c r="Z623" s="2"/>
      <c r="AA623" s="2"/>
    </row>
    <row r="624">
      <c r="A624" s="2"/>
      <c r="B624" s="2"/>
      <c r="D624" s="2"/>
      <c r="E624" s="2"/>
      <c r="F624" s="10"/>
      <c r="G624" s="10"/>
      <c r="I624" s="2"/>
      <c r="J624" s="2"/>
      <c r="K624" s="2"/>
      <c r="L624" s="2"/>
      <c r="M624" s="2"/>
      <c r="N624" s="2"/>
      <c r="O624" s="2"/>
      <c r="P624" s="2"/>
      <c r="Q624" s="2"/>
      <c r="R624" s="2"/>
      <c r="S624" s="2"/>
      <c r="T624" s="2"/>
      <c r="U624" s="2"/>
      <c r="V624" s="2"/>
      <c r="W624" s="2"/>
      <c r="X624" s="2"/>
      <c r="Y624" s="2"/>
      <c r="Z624" s="2"/>
      <c r="AA624" s="2"/>
    </row>
    <row r="625">
      <c r="A625" s="2"/>
      <c r="B625" s="2"/>
      <c r="D625" s="2"/>
      <c r="E625" s="2"/>
      <c r="F625" s="10"/>
      <c r="G625" s="10"/>
      <c r="I625" s="2"/>
      <c r="J625" s="2"/>
      <c r="K625" s="2"/>
      <c r="L625" s="2"/>
      <c r="M625" s="2"/>
      <c r="N625" s="2"/>
      <c r="O625" s="2"/>
      <c r="P625" s="2"/>
      <c r="Q625" s="2"/>
      <c r="R625" s="2"/>
      <c r="S625" s="2"/>
      <c r="T625" s="2"/>
      <c r="U625" s="2"/>
      <c r="V625" s="2"/>
      <c r="W625" s="2"/>
      <c r="X625" s="2"/>
      <c r="Y625" s="2"/>
      <c r="Z625" s="2"/>
      <c r="AA625" s="2"/>
    </row>
    <row r="626">
      <c r="A626" s="2"/>
      <c r="B626" s="2"/>
      <c r="D626" s="2"/>
      <c r="E626" s="2"/>
      <c r="F626" s="10"/>
      <c r="G626" s="10"/>
      <c r="I626" s="2"/>
      <c r="J626" s="2"/>
      <c r="K626" s="2"/>
      <c r="L626" s="2"/>
      <c r="M626" s="2"/>
      <c r="N626" s="2"/>
      <c r="O626" s="2"/>
      <c r="P626" s="2"/>
      <c r="Q626" s="2"/>
      <c r="R626" s="2"/>
      <c r="S626" s="2"/>
      <c r="T626" s="2"/>
      <c r="U626" s="2"/>
      <c r="V626" s="2"/>
      <c r="W626" s="2"/>
      <c r="X626" s="2"/>
      <c r="Y626" s="2"/>
      <c r="Z626" s="2"/>
      <c r="AA626" s="2"/>
    </row>
    <row r="627">
      <c r="A627" s="2"/>
      <c r="B627" s="2"/>
      <c r="D627" s="2"/>
      <c r="E627" s="2"/>
      <c r="F627" s="10"/>
      <c r="G627" s="10"/>
      <c r="I627" s="2"/>
      <c r="J627" s="2"/>
      <c r="K627" s="2"/>
      <c r="L627" s="2"/>
      <c r="M627" s="2"/>
      <c r="N627" s="2"/>
      <c r="O627" s="2"/>
      <c r="P627" s="2"/>
      <c r="Q627" s="2"/>
      <c r="R627" s="2"/>
      <c r="S627" s="2"/>
      <c r="T627" s="2"/>
      <c r="U627" s="2"/>
      <c r="V627" s="2"/>
      <c r="W627" s="2"/>
      <c r="X627" s="2"/>
      <c r="Y627" s="2"/>
      <c r="Z627" s="2"/>
      <c r="AA627" s="2"/>
    </row>
    <row r="628">
      <c r="A628" s="2"/>
      <c r="B628" s="2"/>
      <c r="D628" s="2"/>
      <c r="E628" s="2"/>
      <c r="F628" s="10"/>
      <c r="G628" s="10"/>
      <c r="I628" s="2"/>
      <c r="J628" s="2"/>
      <c r="K628" s="2"/>
      <c r="L628" s="2"/>
      <c r="M628" s="2"/>
      <c r="N628" s="2"/>
      <c r="O628" s="2"/>
      <c r="P628" s="2"/>
      <c r="Q628" s="2"/>
      <c r="R628" s="2"/>
      <c r="S628" s="2"/>
      <c r="T628" s="2"/>
      <c r="U628" s="2"/>
      <c r="V628" s="2"/>
      <c r="W628" s="2"/>
      <c r="X628" s="2"/>
      <c r="Y628" s="2"/>
      <c r="Z628" s="2"/>
      <c r="AA628" s="2"/>
    </row>
    <row r="629">
      <c r="A629" s="2"/>
      <c r="B629" s="2"/>
      <c r="D629" s="2"/>
      <c r="E629" s="2"/>
      <c r="F629" s="10"/>
      <c r="G629" s="10"/>
      <c r="I629" s="2"/>
      <c r="J629" s="2"/>
      <c r="K629" s="2"/>
      <c r="L629" s="2"/>
      <c r="M629" s="2"/>
      <c r="N629" s="2"/>
      <c r="O629" s="2"/>
      <c r="P629" s="2"/>
      <c r="Q629" s="2"/>
      <c r="R629" s="2"/>
      <c r="S629" s="2"/>
      <c r="T629" s="2"/>
      <c r="U629" s="2"/>
      <c r="V629" s="2"/>
      <c r="W629" s="2"/>
      <c r="X629" s="2"/>
      <c r="Y629" s="2"/>
      <c r="Z629" s="2"/>
      <c r="AA629" s="2"/>
    </row>
    <row r="630">
      <c r="A630" s="2"/>
      <c r="B630" s="2"/>
      <c r="D630" s="2"/>
      <c r="E630" s="2"/>
      <c r="F630" s="10"/>
      <c r="G630" s="10"/>
      <c r="I630" s="2"/>
      <c r="J630" s="2"/>
      <c r="K630" s="2"/>
      <c r="L630" s="2"/>
      <c r="M630" s="2"/>
      <c r="N630" s="2"/>
      <c r="O630" s="2"/>
      <c r="P630" s="2"/>
      <c r="Q630" s="2"/>
      <c r="R630" s="2"/>
      <c r="S630" s="2"/>
      <c r="T630" s="2"/>
      <c r="U630" s="2"/>
      <c r="V630" s="2"/>
      <c r="W630" s="2"/>
      <c r="X630" s="2"/>
      <c r="Y630" s="2"/>
      <c r="Z630" s="2"/>
      <c r="AA630" s="2"/>
    </row>
    <row r="631">
      <c r="A631" s="2"/>
      <c r="B631" s="2"/>
      <c r="D631" s="2"/>
      <c r="E631" s="2"/>
      <c r="F631" s="10"/>
      <c r="G631" s="10"/>
      <c r="I631" s="2"/>
      <c r="J631" s="2"/>
      <c r="K631" s="2"/>
      <c r="L631" s="2"/>
      <c r="M631" s="2"/>
      <c r="N631" s="2"/>
      <c r="O631" s="2"/>
      <c r="P631" s="2"/>
      <c r="Q631" s="2"/>
      <c r="R631" s="2"/>
      <c r="S631" s="2"/>
      <c r="T631" s="2"/>
      <c r="U631" s="2"/>
      <c r="V631" s="2"/>
      <c r="W631" s="2"/>
      <c r="X631" s="2"/>
      <c r="Y631" s="2"/>
      <c r="Z631" s="2"/>
      <c r="AA631" s="2"/>
    </row>
    <row r="632">
      <c r="A632" s="2"/>
      <c r="B632" s="2"/>
      <c r="D632" s="2"/>
      <c r="E632" s="2"/>
      <c r="F632" s="10"/>
      <c r="G632" s="10"/>
      <c r="I632" s="2"/>
      <c r="J632" s="2"/>
      <c r="K632" s="2"/>
      <c r="L632" s="2"/>
      <c r="M632" s="2"/>
      <c r="N632" s="2"/>
      <c r="O632" s="2"/>
      <c r="P632" s="2"/>
      <c r="Q632" s="2"/>
      <c r="R632" s="2"/>
      <c r="S632" s="2"/>
      <c r="T632" s="2"/>
      <c r="U632" s="2"/>
      <c r="V632" s="2"/>
      <c r="W632" s="2"/>
      <c r="X632" s="2"/>
      <c r="Y632" s="2"/>
      <c r="Z632" s="2"/>
      <c r="AA632" s="2"/>
    </row>
    <row r="633">
      <c r="A633" s="2"/>
      <c r="B633" s="2"/>
      <c r="D633" s="2"/>
      <c r="E633" s="2"/>
      <c r="F633" s="10"/>
      <c r="G633" s="10"/>
      <c r="I633" s="2"/>
      <c r="J633" s="2"/>
      <c r="K633" s="2"/>
      <c r="L633" s="2"/>
      <c r="M633" s="2"/>
      <c r="N633" s="2"/>
      <c r="O633" s="2"/>
      <c r="P633" s="2"/>
      <c r="Q633" s="2"/>
      <c r="R633" s="2"/>
      <c r="S633" s="2"/>
      <c r="T633" s="2"/>
      <c r="U633" s="2"/>
      <c r="V633" s="2"/>
      <c r="W633" s="2"/>
      <c r="X633" s="2"/>
      <c r="Y633" s="2"/>
      <c r="Z633" s="2"/>
      <c r="AA633" s="2"/>
    </row>
    <row r="634">
      <c r="A634" s="2"/>
      <c r="B634" s="2"/>
      <c r="D634" s="2"/>
      <c r="E634" s="2"/>
      <c r="F634" s="10"/>
      <c r="G634" s="10"/>
      <c r="I634" s="2"/>
      <c r="J634" s="2"/>
      <c r="K634" s="2"/>
      <c r="L634" s="2"/>
      <c r="M634" s="2"/>
      <c r="N634" s="2"/>
      <c r="O634" s="2"/>
      <c r="P634" s="2"/>
      <c r="Q634" s="2"/>
      <c r="R634" s="2"/>
      <c r="S634" s="2"/>
      <c r="T634" s="2"/>
      <c r="U634" s="2"/>
      <c r="V634" s="2"/>
      <c r="W634" s="2"/>
      <c r="X634" s="2"/>
      <c r="Y634" s="2"/>
      <c r="Z634" s="2"/>
      <c r="AA634" s="2"/>
    </row>
    <row r="635">
      <c r="A635" s="2"/>
      <c r="B635" s="2"/>
      <c r="D635" s="2"/>
      <c r="E635" s="2"/>
      <c r="F635" s="10"/>
      <c r="G635" s="10"/>
      <c r="I635" s="2"/>
      <c r="J635" s="2"/>
      <c r="K635" s="2"/>
      <c r="L635" s="2"/>
      <c r="M635" s="2"/>
      <c r="N635" s="2"/>
      <c r="O635" s="2"/>
      <c r="P635" s="2"/>
      <c r="Q635" s="2"/>
      <c r="R635" s="2"/>
      <c r="S635" s="2"/>
      <c r="T635" s="2"/>
      <c r="U635" s="2"/>
      <c r="V635" s="2"/>
      <c r="W635" s="2"/>
      <c r="X635" s="2"/>
      <c r="Y635" s="2"/>
      <c r="Z635" s="2"/>
      <c r="AA635" s="2"/>
    </row>
    <row r="636">
      <c r="A636" s="2"/>
      <c r="B636" s="2"/>
      <c r="D636" s="2"/>
      <c r="E636" s="2"/>
      <c r="F636" s="10"/>
      <c r="G636" s="10"/>
      <c r="I636" s="2"/>
      <c r="J636" s="2"/>
      <c r="K636" s="2"/>
      <c r="L636" s="2"/>
      <c r="M636" s="2"/>
      <c r="N636" s="2"/>
      <c r="O636" s="2"/>
      <c r="P636" s="2"/>
      <c r="Q636" s="2"/>
      <c r="R636" s="2"/>
      <c r="S636" s="2"/>
      <c r="T636" s="2"/>
      <c r="U636" s="2"/>
      <c r="V636" s="2"/>
      <c r="W636" s="2"/>
      <c r="X636" s="2"/>
      <c r="Y636" s="2"/>
      <c r="Z636" s="2"/>
      <c r="AA636" s="2"/>
    </row>
    <row r="637">
      <c r="A637" s="2"/>
      <c r="B637" s="2"/>
      <c r="D637" s="2"/>
      <c r="E637" s="2"/>
      <c r="F637" s="10"/>
      <c r="G637" s="10"/>
      <c r="I637" s="2"/>
      <c r="J637" s="2"/>
      <c r="K637" s="2"/>
      <c r="L637" s="2"/>
      <c r="M637" s="2"/>
      <c r="N637" s="2"/>
      <c r="O637" s="2"/>
      <c r="P637" s="2"/>
      <c r="Q637" s="2"/>
      <c r="R637" s="2"/>
      <c r="S637" s="2"/>
      <c r="T637" s="2"/>
      <c r="U637" s="2"/>
      <c r="V637" s="2"/>
      <c r="W637" s="2"/>
      <c r="X637" s="2"/>
      <c r="Y637" s="2"/>
      <c r="Z637" s="2"/>
      <c r="AA637" s="2"/>
    </row>
    <row r="638">
      <c r="A638" s="2"/>
      <c r="B638" s="2"/>
      <c r="D638" s="2"/>
      <c r="E638" s="2"/>
      <c r="F638" s="10"/>
      <c r="G638" s="10"/>
      <c r="I638" s="2"/>
      <c r="J638" s="2"/>
      <c r="K638" s="2"/>
      <c r="L638" s="2"/>
      <c r="M638" s="2"/>
      <c r="N638" s="2"/>
      <c r="O638" s="2"/>
      <c r="P638" s="2"/>
      <c r="Q638" s="2"/>
      <c r="R638" s="2"/>
      <c r="S638" s="2"/>
      <c r="T638" s="2"/>
      <c r="U638" s="2"/>
      <c r="V638" s="2"/>
      <c r="W638" s="2"/>
      <c r="X638" s="2"/>
      <c r="Y638" s="2"/>
      <c r="Z638" s="2"/>
      <c r="AA638" s="2"/>
    </row>
    <row r="639">
      <c r="A639" s="2"/>
      <c r="B639" s="2"/>
      <c r="D639" s="2"/>
      <c r="E639" s="2"/>
      <c r="F639" s="10"/>
      <c r="G639" s="10"/>
      <c r="I639" s="2"/>
      <c r="J639" s="2"/>
      <c r="K639" s="2"/>
      <c r="L639" s="2"/>
      <c r="M639" s="2"/>
      <c r="N639" s="2"/>
      <c r="O639" s="2"/>
      <c r="P639" s="2"/>
      <c r="Q639" s="2"/>
      <c r="R639" s="2"/>
      <c r="S639" s="2"/>
      <c r="T639" s="2"/>
      <c r="U639" s="2"/>
      <c r="V639" s="2"/>
      <c r="W639" s="2"/>
      <c r="X639" s="2"/>
      <c r="Y639" s="2"/>
      <c r="Z639" s="2"/>
      <c r="AA639" s="2"/>
    </row>
    <row r="640">
      <c r="A640" s="2"/>
      <c r="B640" s="2"/>
      <c r="D640" s="2"/>
      <c r="E640" s="2"/>
      <c r="F640" s="10"/>
      <c r="G640" s="10"/>
      <c r="I640" s="2"/>
      <c r="J640" s="2"/>
      <c r="K640" s="2"/>
      <c r="L640" s="2"/>
      <c r="M640" s="2"/>
      <c r="N640" s="2"/>
      <c r="O640" s="2"/>
      <c r="P640" s="2"/>
      <c r="Q640" s="2"/>
      <c r="R640" s="2"/>
      <c r="S640" s="2"/>
      <c r="T640" s="2"/>
      <c r="U640" s="2"/>
      <c r="V640" s="2"/>
      <c r="W640" s="2"/>
      <c r="X640" s="2"/>
      <c r="Y640" s="2"/>
      <c r="Z640" s="2"/>
      <c r="AA640" s="2"/>
    </row>
    <row r="641">
      <c r="A641" s="2"/>
      <c r="B641" s="2"/>
      <c r="D641" s="2"/>
      <c r="E641" s="2"/>
      <c r="F641" s="10"/>
      <c r="G641" s="10"/>
      <c r="I641" s="2"/>
      <c r="J641" s="2"/>
      <c r="K641" s="2"/>
      <c r="L641" s="2"/>
      <c r="M641" s="2"/>
      <c r="N641" s="2"/>
      <c r="O641" s="2"/>
      <c r="P641" s="2"/>
      <c r="Q641" s="2"/>
      <c r="R641" s="2"/>
      <c r="S641" s="2"/>
      <c r="T641" s="2"/>
      <c r="U641" s="2"/>
      <c r="V641" s="2"/>
      <c r="W641" s="2"/>
      <c r="X641" s="2"/>
      <c r="Y641" s="2"/>
      <c r="Z641" s="2"/>
      <c r="AA641" s="2"/>
    </row>
    <row r="642">
      <c r="A642" s="2"/>
      <c r="B642" s="2"/>
      <c r="D642" s="2"/>
      <c r="E642" s="2"/>
      <c r="F642" s="10"/>
      <c r="G642" s="10"/>
      <c r="I642" s="2"/>
      <c r="J642" s="2"/>
      <c r="K642" s="2"/>
      <c r="L642" s="2"/>
      <c r="M642" s="2"/>
      <c r="N642" s="2"/>
      <c r="O642" s="2"/>
      <c r="P642" s="2"/>
      <c r="Q642" s="2"/>
      <c r="R642" s="2"/>
      <c r="S642" s="2"/>
      <c r="T642" s="2"/>
      <c r="U642" s="2"/>
      <c r="V642" s="2"/>
      <c r="W642" s="2"/>
      <c r="X642" s="2"/>
      <c r="Y642" s="2"/>
      <c r="Z642" s="2"/>
      <c r="AA642" s="2"/>
    </row>
    <row r="643">
      <c r="A643" s="2"/>
      <c r="B643" s="2"/>
      <c r="D643" s="2"/>
      <c r="E643" s="2"/>
      <c r="F643" s="10"/>
      <c r="G643" s="10"/>
      <c r="I643" s="2"/>
      <c r="J643" s="2"/>
      <c r="K643" s="2"/>
      <c r="L643" s="2"/>
      <c r="M643" s="2"/>
      <c r="N643" s="2"/>
      <c r="O643" s="2"/>
      <c r="P643" s="2"/>
      <c r="Q643" s="2"/>
      <c r="R643" s="2"/>
      <c r="S643" s="2"/>
      <c r="T643" s="2"/>
      <c r="U643" s="2"/>
      <c r="V643" s="2"/>
      <c r="W643" s="2"/>
      <c r="X643" s="2"/>
      <c r="Y643" s="2"/>
      <c r="Z643" s="2"/>
      <c r="AA643" s="2"/>
    </row>
    <row r="644">
      <c r="A644" s="2"/>
      <c r="B644" s="2"/>
      <c r="D644" s="2"/>
      <c r="E644" s="2"/>
      <c r="F644" s="10"/>
      <c r="G644" s="10"/>
      <c r="I644" s="2"/>
      <c r="J644" s="2"/>
      <c r="K644" s="2"/>
      <c r="L644" s="2"/>
      <c r="M644" s="2"/>
      <c r="N644" s="2"/>
      <c r="O644" s="2"/>
      <c r="P644" s="2"/>
      <c r="Q644" s="2"/>
      <c r="R644" s="2"/>
      <c r="S644" s="2"/>
      <c r="T644" s="2"/>
      <c r="U644" s="2"/>
      <c r="V644" s="2"/>
      <c r="W644" s="2"/>
      <c r="X644" s="2"/>
      <c r="Y644" s="2"/>
      <c r="Z644" s="2"/>
      <c r="AA644" s="2"/>
    </row>
    <row r="645">
      <c r="A645" s="2"/>
      <c r="B645" s="2"/>
      <c r="D645" s="2"/>
      <c r="E645" s="2"/>
      <c r="F645" s="10"/>
      <c r="G645" s="10"/>
      <c r="I645" s="2"/>
      <c r="J645" s="2"/>
      <c r="K645" s="2"/>
      <c r="L645" s="2"/>
      <c r="M645" s="2"/>
      <c r="N645" s="2"/>
      <c r="O645" s="2"/>
      <c r="P645" s="2"/>
      <c r="Q645" s="2"/>
      <c r="R645" s="2"/>
      <c r="S645" s="2"/>
      <c r="T645" s="2"/>
      <c r="U645" s="2"/>
      <c r="V645" s="2"/>
      <c r="W645" s="2"/>
      <c r="X645" s="2"/>
      <c r="Y645" s="2"/>
      <c r="Z645" s="2"/>
      <c r="AA645" s="2"/>
    </row>
    <row r="646">
      <c r="A646" s="2"/>
      <c r="B646" s="2"/>
      <c r="D646" s="2"/>
      <c r="E646" s="2"/>
      <c r="F646" s="10"/>
      <c r="G646" s="10"/>
      <c r="I646" s="2"/>
      <c r="J646" s="2"/>
      <c r="K646" s="2"/>
      <c r="L646" s="2"/>
      <c r="M646" s="2"/>
      <c r="N646" s="2"/>
      <c r="O646" s="2"/>
      <c r="P646" s="2"/>
      <c r="Q646" s="2"/>
      <c r="R646" s="2"/>
      <c r="S646" s="2"/>
      <c r="T646" s="2"/>
      <c r="U646" s="2"/>
      <c r="V646" s="2"/>
      <c r="W646" s="2"/>
      <c r="X646" s="2"/>
      <c r="Y646" s="2"/>
      <c r="Z646" s="2"/>
      <c r="AA646" s="2"/>
    </row>
    <row r="647">
      <c r="A647" s="2"/>
      <c r="B647" s="2"/>
      <c r="D647" s="2"/>
      <c r="E647" s="2"/>
      <c r="F647" s="10"/>
      <c r="G647" s="10"/>
      <c r="I647" s="2"/>
      <c r="J647" s="2"/>
      <c r="K647" s="2"/>
      <c r="L647" s="2"/>
      <c r="M647" s="2"/>
      <c r="N647" s="2"/>
      <c r="O647" s="2"/>
      <c r="P647" s="2"/>
      <c r="Q647" s="2"/>
      <c r="R647" s="2"/>
      <c r="S647" s="2"/>
      <c r="T647" s="2"/>
      <c r="U647" s="2"/>
      <c r="V647" s="2"/>
      <c r="W647" s="2"/>
      <c r="X647" s="2"/>
      <c r="Y647" s="2"/>
      <c r="Z647" s="2"/>
      <c r="AA647" s="2"/>
    </row>
    <row r="648">
      <c r="A648" s="2"/>
      <c r="B648" s="2"/>
      <c r="D648" s="2"/>
      <c r="E648" s="2"/>
      <c r="F648" s="10"/>
      <c r="G648" s="10"/>
      <c r="I648" s="2"/>
      <c r="J648" s="2"/>
      <c r="K648" s="2"/>
      <c r="L648" s="2"/>
      <c r="M648" s="2"/>
      <c r="N648" s="2"/>
      <c r="O648" s="2"/>
      <c r="P648" s="2"/>
      <c r="Q648" s="2"/>
      <c r="R648" s="2"/>
      <c r="S648" s="2"/>
      <c r="T648" s="2"/>
      <c r="U648" s="2"/>
      <c r="V648" s="2"/>
      <c r="W648" s="2"/>
      <c r="X648" s="2"/>
      <c r="Y648" s="2"/>
      <c r="Z648" s="2"/>
      <c r="AA648" s="2"/>
    </row>
    <row r="649">
      <c r="A649" s="2"/>
      <c r="B649" s="2"/>
      <c r="D649" s="2"/>
      <c r="E649" s="2"/>
      <c r="F649" s="10"/>
      <c r="G649" s="10"/>
      <c r="I649" s="2"/>
      <c r="J649" s="2"/>
      <c r="K649" s="2"/>
      <c r="L649" s="2"/>
      <c r="M649" s="2"/>
      <c r="N649" s="2"/>
      <c r="O649" s="2"/>
      <c r="P649" s="2"/>
      <c r="Q649" s="2"/>
      <c r="R649" s="2"/>
      <c r="S649" s="2"/>
      <c r="T649" s="2"/>
      <c r="U649" s="2"/>
      <c r="V649" s="2"/>
      <c r="W649" s="2"/>
      <c r="X649" s="2"/>
      <c r="Y649" s="2"/>
      <c r="Z649" s="2"/>
      <c r="AA649" s="2"/>
    </row>
    <row r="650">
      <c r="A650" s="2"/>
      <c r="B650" s="2"/>
      <c r="D650" s="2"/>
      <c r="E650" s="2"/>
      <c r="F650" s="10"/>
      <c r="G650" s="10"/>
      <c r="I650" s="2"/>
      <c r="J650" s="2"/>
      <c r="K650" s="2"/>
      <c r="L650" s="2"/>
      <c r="M650" s="2"/>
      <c r="N650" s="2"/>
      <c r="O650" s="2"/>
      <c r="P650" s="2"/>
      <c r="Q650" s="2"/>
      <c r="R650" s="2"/>
      <c r="S650" s="2"/>
      <c r="T650" s="2"/>
      <c r="U650" s="2"/>
      <c r="V650" s="2"/>
      <c r="W650" s="2"/>
      <c r="X650" s="2"/>
      <c r="Y650" s="2"/>
      <c r="Z650" s="2"/>
      <c r="AA650" s="2"/>
    </row>
    <row r="651">
      <c r="A651" s="2"/>
      <c r="B651" s="2"/>
      <c r="D651" s="2"/>
      <c r="E651" s="2"/>
      <c r="F651" s="10"/>
      <c r="G651" s="10"/>
      <c r="I651" s="2"/>
      <c r="J651" s="2"/>
      <c r="K651" s="2"/>
      <c r="L651" s="2"/>
      <c r="M651" s="2"/>
      <c r="N651" s="2"/>
      <c r="O651" s="2"/>
      <c r="P651" s="2"/>
      <c r="Q651" s="2"/>
      <c r="R651" s="2"/>
      <c r="S651" s="2"/>
      <c r="T651" s="2"/>
      <c r="U651" s="2"/>
      <c r="V651" s="2"/>
      <c r="W651" s="2"/>
      <c r="X651" s="2"/>
      <c r="Y651" s="2"/>
      <c r="Z651" s="2"/>
      <c r="AA651" s="2"/>
    </row>
    <row r="652">
      <c r="A652" s="2"/>
      <c r="B652" s="2"/>
      <c r="D652" s="2"/>
      <c r="E652" s="2"/>
      <c r="F652" s="10"/>
      <c r="G652" s="10"/>
      <c r="I652" s="2"/>
      <c r="J652" s="2"/>
      <c r="K652" s="2"/>
      <c r="L652" s="2"/>
      <c r="M652" s="2"/>
      <c r="N652" s="2"/>
      <c r="O652" s="2"/>
      <c r="P652" s="2"/>
      <c r="Q652" s="2"/>
      <c r="R652" s="2"/>
      <c r="S652" s="2"/>
      <c r="T652" s="2"/>
      <c r="U652" s="2"/>
      <c r="V652" s="2"/>
      <c r="W652" s="2"/>
      <c r="X652" s="2"/>
      <c r="Y652" s="2"/>
      <c r="Z652" s="2"/>
      <c r="AA652" s="2"/>
    </row>
    <row r="653">
      <c r="A653" s="2"/>
      <c r="B653" s="2"/>
      <c r="D653" s="2"/>
      <c r="E653" s="2"/>
      <c r="F653" s="10"/>
      <c r="G653" s="10"/>
      <c r="I653" s="2"/>
      <c r="J653" s="2"/>
      <c r="K653" s="2"/>
      <c r="L653" s="2"/>
      <c r="M653" s="2"/>
      <c r="N653" s="2"/>
      <c r="O653" s="2"/>
      <c r="P653" s="2"/>
      <c r="Q653" s="2"/>
      <c r="R653" s="2"/>
      <c r="S653" s="2"/>
      <c r="T653" s="2"/>
      <c r="U653" s="2"/>
      <c r="V653" s="2"/>
      <c r="W653" s="2"/>
      <c r="X653" s="2"/>
      <c r="Y653" s="2"/>
      <c r="Z653" s="2"/>
      <c r="AA653" s="2"/>
    </row>
    <row r="654">
      <c r="A654" s="2"/>
      <c r="B654" s="2"/>
      <c r="D654" s="2"/>
      <c r="E654" s="2"/>
      <c r="F654" s="10"/>
      <c r="G654" s="10"/>
      <c r="I654" s="2"/>
      <c r="J654" s="2"/>
      <c r="K654" s="2"/>
      <c r="L654" s="2"/>
      <c r="M654" s="2"/>
      <c r="N654" s="2"/>
      <c r="O654" s="2"/>
      <c r="P654" s="2"/>
      <c r="Q654" s="2"/>
      <c r="R654" s="2"/>
      <c r="S654" s="2"/>
      <c r="T654" s="2"/>
      <c r="U654" s="2"/>
      <c r="V654" s="2"/>
      <c r="W654" s="2"/>
      <c r="X654" s="2"/>
      <c r="Y654" s="2"/>
      <c r="Z654" s="2"/>
      <c r="AA654" s="2"/>
    </row>
    <row r="655">
      <c r="A655" s="2"/>
      <c r="B655" s="2"/>
      <c r="D655" s="2"/>
      <c r="E655" s="2"/>
      <c r="F655" s="10"/>
      <c r="G655" s="10"/>
      <c r="I655" s="2"/>
      <c r="J655" s="2"/>
      <c r="K655" s="2"/>
      <c r="L655" s="2"/>
      <c r="M655" s="2"/>
      <c r="N655" s="2"/>
      <c r="O655" s="2"/>
      <c r="P655" s="2"/>
      <c r="Q655" s="2"/>
      <c r="R655" s="2"/>
      <c r="S655" s="2"/>
      <c r="T655" s="2"/>
      <c r="U655" s="2"/>
      <c r="V655" s="2"/>
      <c r="W655" s="2"/>
      <c r="X655" s="2"/>
      <c r="Y655" s="2"/>
      <c r="Z655" s="2"/>
      <c r="AA655" s="2"/>
    </row>
    <row r="656">
      <c r="A656" s="2"/>
      <c r="B656" s="2"/>
      <c r="D656" s="2"/>
      <c r="E656" s="2"/>
      <c r="F656" s="10"/>
      <c r="G656" s="10"/>
      <c r="I656" s="2"/>
      <c r="J656" s="2"/>
      <c r="K656" s="2"/>
      <c r="L656" s="2"/>
      <c r="M656" s="2"/>
      <c r="N656" s="2"/>
      <c r="O656" s="2"/>
      <c r="P656" s="2"/>
      <c r="Q656" s="2"/>
      <c r="R656" s="2"/>
      <c r="S656" s="2"/>
      <c r="T656" s="2"/>
      <c r="U656" s="2"/>
      <c r="V656" s="2"/>
      <c r="W656" s="2"/>
      <c r="X656" s="2"/>
      <c r="Y656" s="2"/>
      <c r="Z656" s="2"/>
      <c r="AA656" s="2"/>
    </row>
    <row r="657">
      <c r="A657" s="2"/>
      <c r="B657" s="2"/>
      <c r="D657" s="2"/>
      <c r="E657" s="2"/>
      <c r="F657" s="10"/>
      <c r="G657" s="10"/>
      <c r="I657" s="2"/>
      <c r="J657" s="2"/>
      <c r="K657" s="2"/>
      <c r="L657" s="2"/>
      <c r="M657" s="2"/>
      <c r="N657" s="2"/>
      <c r="O657" s="2"/>
      <c r="P657" s="2"/>
      <c r="Q657" s="2"/>
      <c r="R657" s="2"/>
      <c r="S657" s="2"/>
      <c r="T657" s="2"/>
      <c r="U657" s="2"/>
      <c r="V657" s="2"/>
      <c r="W657" s="2"/>
      <c r="X657" s="2"/>
      <c r="Y657" s="2"/>
      <c r="Z657" s="2"/>
      <c r="AA657" s="2"/>
    </row>
    <row r="658">
      <c r="A658" s="2"/>
      <c r="B658" s="2"/>
      <c r="D658" s="2"/>
      <c r="E658" s="2"/>
      <c r="F658" s="10"/>
      <c r="G658" s="10"/>
      <c r="I658" s="2"/>
      <c r="J658" s="2"/>
      <c r="K658" s="2"/>
      <c r="L658" s="2"/>
      <c r="M658" s="2"/>
      <c r="N658" s="2"/>
      <c r="O658" s="2"/>
      <c r="P658" s="2"/>
      <c r="Q658" s="2"/>
      <c r="R658" s="2"/>
      <c r="S658" s="2"/>
      <c r="T658" s="2"/>
      <c r="U658" s="2"/>
      <c r="V658" s="2"/>
      <c r="W658" s="2"/>
      <c r="X658" s="2"/>
      <c r="Y658" s="2"/>
      <c r="Z658" s="2"/>
      <c r="AA658" s="2"/>
    </row>
    <row r="659">
      <c r="A659" s="2"/>
      <c r="B659" s="2"/>
      <c r="D659" s="2"/>
      <c r="E659" s="2"/>
      <c r="F659" s="10"/>
      <c r="G659" s="10"/>
      <c r="I659" s="2"/>
      <c r="J659" s="2"/>
      <c r="K659" s="2"/>
      <c r="L659" s="2"/>
      <c r="M659" s="2"/>
      <c r="N659" s="2"/>
      <c r="O659" s="2"/>
      <c r="P659" s="2"/>
      <c r="Q659" s="2"/>
      <c r="R659" s="2"/>
      <c r="S659" s="2"/>
      <c r="T659" s="2"/>
      <c r="U659" s="2"/>
      <c r="V659" s="2"/>
      <c r="W659" s="2"/>
      <c r="X659" s="2"/>
      <c r="Y659" s="2"/>
      <c r="Z659" s="2"/>
      <c r="AA659" s="2"/>
    </row>
    <row r="660">
      <c r="A660" s="2"/>
      <c r="B660" s="2"/>
      <c r="D660" s="2"/>
      <c r="E660" s="2"/>
      <c r="F660" s="10"/>
      <c r="G660" s="10"/>
      <c r="I660" s="2"/>
      <c r="J660" s="2"/>
      <c r="K660" s="2"/>
      <c r="L660" s="2"/>
      <c r="M660" s="2"/>
      <c r="N660" s="2"/>
      <c r="O660" s="2"/>
      <c r="P660" s="2"/>
      <c r="Q660" s="2"/>
      <c r="R660" s="2"/>
      <c r="S660" s="2"/>
      <c r="T660" s="2"/>
      <c r="U660" s="2"/>
      <c r="V660" s="2"/>
      <c r="W660" s="2"/>
      <c r="X660" s="2"/>
      <c r="Y660" s="2"/>
      <c r="Z660" s="2"/>
      <c r="AA660" s="2"/>
    </row>
    <row r="661">
      <c r="A661" s="2"/>
      <c r="B661" s="2"/>
      <c r="D661" s="2"/>
      <c r="E661" s="2"/>
      <c r="F661" s="10"/>
      <c r="G661" s="10"/>
      <c r="I661" s="2"/>
      <c r="J661" s="2"/>
      <c r="K661" s="2"/>
      <c r="L661" s="2"/>
      <c r="M661" s="2"/>
      <c r="N661" s="2"/>
      <c r="O661" s="2"/>
      <c r="P661" s="2"/>
      <c r="Q661" s="2"/>
      <c r="R661" s="2"/>
      <c r="S661" s="2"/>
      <c r="T661" s="2"/>
      <c r="U661" s="2"/>
      <c r="V661" s="2"/>
      <c r="W661" s="2"/>
      <c r="X661" s="2"/>
      <c r="Y661" s="2"/>
      <c r="Z661" s="2"/>
      <c r="AA661" s="2"/>
    </row>
    <row r="662">
      <c r="A662" s="2"/>
      <c r="B662" s="2"/>
      <c r="D662" s="2"/>
      <c r="E662" s="2"/>
      <c r="F662" s="10"/>
      <c r="G662" s="10"/>
      <c r="I662" s="2"/>
      <c r="J662" s="2"/>
      <c r="K662" s="2"/>
      <c r="L662" s="2"/>
      <c r="M662" s="2"/>
      <c r="N662" s="2"/>
      <c r="O662" s="2"/>
      <c r="P662" s="2"/>
      <c r="Q662" s="2"/>
      <c r="R662" s="2"/>
      <c r="S662" s="2"/>
      <c r="T662" s="2"/>
      <c r="U662" s="2"/>
      <c r="V662" s="2"/>
      <c r="W662" s="2"/>
      <c r="X662" s="2"/>
      <c r="Y662" s="2"/>
      <c r="Z662" s="2"/>
      <c r="AA662" s="2"/>
    </row>
    <row r="663">
      <c r="A663" s="2"/>
      <c r="B663" s="2"/>
      <c r="D663" s="2"/>
      <c r="E663" s="2"/>
      <c r="F663" s="10"/>
      <c r="G663" s="10"/>
      <c r="I663" s="2"/>
      <c r="J663" s="2"/>
      <c r="K663" s="2"/>
      <c r="L663" s="2"/>
      <c r="M663" s="2"/>
      <c r="N663" s="2"/>
      <c r="O663" s="2"/>
      <c r="P663" s="2"/>
      <c r="Q663" s="2"/>
      <c r="R663" s="2"/>
      <c r="S663" s="2"/>
      <c r="T663" s="2"/>
      <c r="U663" s="2"/>
      <c r="V663" s="2"/>
      <c r="W663" s="2"/>
      <c r="X663" s="2"/>
      <c r="Y663" s="2"/>
      <c r="Z663" s="2"/>
      <c r="AA663" s="2"/>
    </row>
    <row r="664">
      <c r="A664" s="2"/>
      <c r="B664" s="2"/>
      <c r="D664" s="2"/>
      <c r="E664" s="2"/>
      <c r="F664" s="10"/>
      <c r="G664" s="10"/>
      <c r="I664" s="2"/>
      <c r="J664" s="2"/>
      <c r="K664" s="2"/>
      <c r="L664" s="2"/>
      <c r="M664" s="2"/>
      <c r="N664" s="2"/>
      <c r="O664" s="2"/>
      <c r="P664" s="2"/>
      <c r="Q664" s="2"/>
      <c r="R664" s="2"/>
      <c r="S664" s="2"/>
      <c r="T664" s="2"/>
      <c r="U664" s="2"/>
      <c r="V664" s="2"/>
      <c r="W664" s="2"/>
      <c r="X664" s="2"/>
      <c r="Y664" s="2"/>
      <c r="Z664" s="2"/>
      <c r="AA664" s="2"/>
    </row>
    <row r="665">
      <c r="A665" s="2"/>
      <c r="B665" s="2"/>
      <c r="D665" s="2"/>
      <c r="E665" s="2"/>
      <c r="F665" s="10"/>
      <c r="G665" s="10"/>
      <c r="I665" s="2"/>
      <c r="J665" s="2"/>
      <c r="K665" s="2"/>
      <c r="L665" s="2"/>
      <c r="M665" s="2"/>
      <c r="N665" s="2"/>
      <c r="O665" s="2"/>
      <c r="P665" s="2"/>
      <c r="Q665" s="2"/>
      <c r="R665" s="2"/>
      <c r="S665" s="2"/>
      <c r="T665" s="2"/>
      <c r="U665" s="2"/>
      <c r="V665" s="2"/>
      <c r="W665" s="2"/>
      <c r="X665" s="2"/>
      <c r="Y665" s="2"/>
      <c r="Z665" s="2"/>
      <c r="AA665" s="2"/>
    </row>
    <row r="666">
      <c r="A666" s="2"/>
      <c r="B666" s="2"/>
      <c r="D666" s="2"/>
      <c r="E666" s="2"/>
      <c r="F666" s="10"/>
      <c r="G666" s="10"/>
      <c r="I666" s="2"/>
      <c r="J666" s="2"/>
      <c r="K666" s="2"/>
      <c r="L666" s="2"/>
      <c r="M666" s="2"/>
      <c r="N666" s="2"/>
      <c r="O666" s="2"/>
      <c r="P666" s="2"/>
      <c r="Q666" s="2"/>
      <c r="R666" s="2"/>
      <c r="S666" s="2"/>
      <c r="T666" s="2"/>
      <c r="U666" s="2"/>
      <c r="V666" s="2"/>
      <c r="W666" s="2"/>
      <c r="X666" s="2"/>
      <c r="Y666" s="2"/>
      <c r="Z666" s="2"/>
      <c r="AA666" s="2"/>
    </row>
    <row r="667">
      <c r="A667" s="2"/>
      <c r="B667" s="2"/>
      <c r="D667" s="2"/>
      <c r="E667" s="2"/>
      <c r="F667" s="10"/>
      <c r="G667" s="10"/>
      <c r="I667" s="2"/>
      <c r="J667" s="2"/>
      <c r="K667" s="2"/>
      <c r="L667" s="2"/>
      <c r="M667" s="2"/>
      <c r="N667" s="2"/>
      <c r="O667" s="2"/>
      <c r="P667" s="2"/>
      <c r="Q667" s="2"/>
      <c r="R667" s="2"/>
      <c r="S667" s="2"/>
      <c r="T667" s="2"/>
      <c r="U667" s="2"/>
      <c r="V667" s="2"/>
      <c r="W667" s="2"/>
      <c r="X667" s="2"/>
      <c r="Y667" s="2"/>
      <c r="Z667" s="2"/>
      <c r="AA667" s="2"/>
    </row>
    <row r="668">
      <c r="A668" s="2"/>
      <c r="B668" s="2"/>
      <c r="D668" s="2"/>
      <c r="E668" s="2"/>
      <c r="F668" s="10"/>
      <c r="G668" s="10"/>
      <c r="I668" s="2"/>
      <c r="J668" s="2"/>
      <c r="K668" s="2"/>
      <c r="L668" s="2"/>
      <c r="M668" s="2"/>
      <c r="N668" s="2"/>
      <c r="O668" s="2"/>
      <c r="P668" s="2"/>
      <c r="Q668" s="2"/>
      <c r="R668" s="2"/>
      <c r="S668" s="2"/>
      <c r="T668" s="2"/>
      <c r="U668" s="2"/>
      <c r="V668" s="2"/>
      <c r="W668" s="2"/>
      <c r="X668" s="2"/>
      <c r="Y668" s="2"/>
      <c r="Z668" s="2"/>
      <c r="AA668" s="2"/>
    </row>
    <row r="669">
      <c r="A669" s="2"/>
      <c r="B669" s="2"/>
      <c r="D669" s="2"/>
      <c r="E669" s="2"/>
      <c r="F669" s="10"/>
      <c r="G669" s="10"/>
      <c r="I669" s="2"/>
      <c r="J669" s="2"/>
      <c r="K669" s="2"/>
      <c r="L669" s="2"/>
      <c r="M669" s="2"/>
      <c r="N669" s="2"/>
      <c r="O669" s="2"/>
      <c r="P669" s="2"/>
      <c r="Q669" s="2"/>
      <c r="R669" s="2"/>
      <c r="S669" s="2"/>
      <c r="T669" s="2"/>
      <c r="U669" s="2"/>
      <c r="V669" s="2"/>
      <c r="W669" s="2"/>
      <c r="X669" s="2"/>
      <c r="Y669" s="2"/>
      <c r="Z669" s="2"/>
      <c r="AA669" s="2"/>
    </row>
    <row r="670">
      <c r="A670" s="2"/>
      <c r="B670" s="2"/>
      <c r="D670" s="2"/>
      <c r="E670" s="2"/>
      <c r="F670" s="10"/>
      <c r="G670" s="10"/>
      <c r="I670" s="2"/>
      <c r="J670" s="2"/>
      <c r="K670" s="2"/>
      <c r="L670" s="2"/>
      <c r="M670" s="2"/>
      <c r="N670" s="2"/>
      <c r="O670" s="2"/>
      <c r="P670" s="2"/>
      <c r="Q670" s="2"/>
      <c r="R670" s="2"/>
      <c r="S670" s="2"/>
      <c r="T670" s="2"/>
      <c r="U670" s="2"/>
      <c r="V670" s="2"/>
      <c r="W670" s="2"/>
      <c r="X670" s="2"/>
      <c r="Y670" s="2"/>
      <c r="Z670" s="2"/>
      <c r="AA670" s="2"/>
    </row>
    <row r="671">
      <c r="A671" s="2"/>
      <c r="B671" s="2"/>
      <c r="D671" s="2"/>
      <c r="E671" s="2"/>
      <c r="F671" s="10"/>
      <c r="G671" s="10"/>
      <c r="I671" s="2"/>
      <c r="J671" s="2"/>
      <c r="K671" s="2"/>
      <c r="L671" s="2"/>
      <c r="M671" s="2"/>
      <c r="N671" s="2"/>
      <c r="O671" s="2"/>
      <c r="P671" s="2"/>
      <c r="Q671" s="2"/>
      <c r="R671" s="2"/>
      <c r="S671" s="2"/>
      <c r="T671" s="2"/>
      <c r="U671" s="2"/>
      <c r="V671" s="2"/>
      <c r="W671" s="2"/>
      <c r="X671" s="2"/>
      <c r="Y671" s="2"/>
      <c r="Z671" s="2"/>
      <c r="AA671" s="2"/>
    </row>
    <row r="672">
      <c r="A672" s="2"/>
      <c r="B672" s="2"/>
      <c r="D672" s="2"/>
      <c r="E672" s="2"/>
      <c r="F672" s="10"/>
      <c r="G672" s="10"/>
      <c r="I672" s="2"/>
      <c r="J672" s="2"/>
      <c r="K672" s="2"/>
      <c r="L672" s="2"/>
      <c r="M672" s="2"/>
      <c r="N672" s="2"/>
      <c r="O672" s="2"/>
      <c r="P672" s="2"/>
      <c r="Q672" s="2"/>
      <c r="R672" s="2"/>
      <c r="S672" s="2"/>
      <c r="T672" s="2"/>
      <c r="U672" s="2"/>
      <c r="V672" s="2"/>
      <c r="W672" s="2"/>
      <c r="X672" s="2"/>
      <c r="Y672" s="2"/>
      <c r="Z672" s="2"/>
      <c r="AA672" s="2"/>
    </row>
    <row r="673">
      <c r="A673" s="2"/>
      <c r="B673" s="2"/>
      <c r="D673" s="2"/>
      <c r="E673" s="2"/>
      <c r="F673" s="10"/>
      <c r="G673" s="10"/>
      <c r="I673" s="2"/>
      <c r="J673" s="2"/>
      <c r="K673" s="2"/>
      <c r="L673" s="2"/>
      <c r="M673" s="2"/>
      <c r="N673" s="2"/>
      <c r="O673" s="2"/>
      <c r="P673" s="2"/>
      <c r="Q673" s="2"/>
      <c r="R673" s="2"/>
      <c r="S673" s="2"/>
      <c r="T673" s="2"/>
      <c r="U673" s="2"/>
      <c r="V673" s="2"/>
      <c r="W673" s="2"/>
      <c r="X673" s="2"/>
      <c r="Y673" s="2"/>
      <c r="Z673" s="2"/>
      <c r="AA673" s="2"/>
    </row>
    <row r="674">
      <c r="A674" s="2"/>
      <c r="B674" s="2"/>
      <c r="D674" s="2"/>
      <c r="E674" s="2"/>
      <c r="F674" s="10"/>
      <c r="G674" s="10"/>
      <c r="I674" s="2"/>
      <c r="J674" s="2"/>
      <c r="K674" s="2"/>
      <c r="L674" s="2"/>
      <c r="M674" s="2"/>
      <c r="N674" s="2"/>
      <c r="O674" s="2"/>
      <c r="P674" s="2"/>
      <c r="Q674" s="2"/>
      <c r="R674" s="2"/>
      <c r="S674" s="2"/>
      <c r="T674" s="2"/>
      <c r="U674" s="2"/>
      <c r="V674" s="2"/>
      <c r="W674" s="2"/>
      <c r="X674" s="2"/>
      <c r="Y674" s="2"/>
      <c r="Z674" s="2"/>
      <c r="AA674" s="2"/>
    </row>
    <row r="675">
      <c r="A675" s="2"/>
      <c r="B675" s="2"/>
      <c r="D675" s="2"/>
      <c r="E675" s="2"/>
      <c r="F675" s="10"/>
      <c r="G675" s="10"/>
      <c r="I675" s="2"/>
      <c r="J675" s="2"/>
      <c r="K675" s="2"/>
      <c r="L675" s="2"/>
      <c r="M675" s="2"/>
      <c r="N675" s="2"/>
      <c r="O675" s="2"/>
      <c r="P675" s="2"/>
      <c r="Q675" s="2"/>
      <c r="R675" s="2"/>
      <c r="S675" s="2"/>
      <c r="T675" s="2"/>
      <c r="U675" s="2"/>
      <c r="V675" s="2"/>
      <c r="W675" s="2"/>
      <c r="X675" s="2"/>
      <c r="Y675" s="2"/>
      <c r="Z675" s="2"/>
      <c r="AA675" s="2"/>
    </row>
    <row r="676">
      <c r="A676" s="2"/>
      <c r="B676" s="2"/>
      <c r="D676" s="2"/>
      <c r="E676" s="2"/>
      <c r="F676" s="10"/>
      <c r="G676" s="10"/>
      <c r="I676" s="2"/>
      <c r="J676" s="2"/>
      <c r="K676" s="2"/>
      <c r="L676" s="2"/>
      <c r="M676" s="2"/>
      <c r="N676" s="2"/>
      <c r="O676" s="2"/>
      <c r="P676" s="2"/>
      <c r="Q676" s="2"/>
      <c r="R676" s="2"/>
      <c r="S676" s="2"/>
      <c r="T676" s="2"/>
      <c r="U676" s="2"/>
      <c r="V676" s="2"/>
      <c r="W676" s="2"/>
      <c r="X676" s="2"/>
      <c r="Y676" s="2"/>
      <c r="Z676" s="2"/>
      <c r="AA676" s="2"/>
    </row>
    <row r="677">
      <c r="A677" s="2"/>
      <c r="B677" s="2"/>
      <c r="D677" s="2"/>
      <c r="E677" s="2"/>
      <c r="F677" s="10"/>
      <c r="G677" s="10"/>
      <c r="I677" s="2"/>
      <c r="J677" s="2"/>
      <c r="K677" s="2"/>
      <c r="L677" s="2"/>
      <c r="M677" s="2"/>
      <c r="N677" s="2"/>
      <c r="O677" s="2"/>
      <c r="P677" s="2"/>
      <c r="Q677" s="2"/>
      <c r="R677" s="2"/>
      <c r="S677" s="2"/>
      <c r="T677" s="2"/>
      <c r="U677" s="2"/>
      <c r="V677" s="2"/>
      <c r="W677" s="2"/>
      <c r="X677" s="2"/>
      <c r="Y677" s="2"/>
      <c r="Z677" s="2"/>
      <c r="AA677" s="2"/>
    </row>
    <row r="678">
      <c r="A678" s="2"/>
      <c r="B678" s="2"/>
      <c r="D678" s="2"/>
      <c r="E678" s="2"/>
      <c r="F678" s="10"/>
      <c r="G678" s="10"/>
      <c r="I678" s="2"/>
      <c r="J678" s="2"/>
      <c r="K678" s="2"/>
      <c r="L678" s="2"/>
      <c r="M678" s="2"/>
      <c r="N678" s="2"/>
      <c r="O678" s="2"/>
      <c r="P678" s="2"/>
      <c r="Q678" s="2"/>
      <c r="R678" s="2"/>
      <c r="S678" s="2"/>
      <c r="T678" s="2"/>
      <c r="U678" s="2"/>
      <c r="V678" s="2"/>
      <c r="W678" s="2"/>
      <c r="X678" s="2"/>
      <c r="Y678" s="2"/>
      <c r="Z678" s="2"/>
      <c r="AA678" s="2"/>
    </row>
    <row r="679">
      <c r="A679" s="2"/>
      <c r="B679" s="2"/>
      <c r="D679" s="2"/>
      <c r="E679" s="2"/>
      <c r="F679" s="10"/>
      <c r="G679" s="10"/>
      <c r="I679" s="2"/>
      <c r="J679" s="2"/>
      <c r="K679" s="2"/>
      <c r="L679" s="2"/>
      <c r="M679" s="2"/>
      <c r="N679" s="2"/>
      <c r="O679" s="2"/>
      <c r="P679" s="2"/>
      <c r="Q679" s="2"/>
      <c r="R679" s="2"/>
      <c r="S679" s="2"/>
      <c r="T679" s="2"/>
      <c r="U679" s="2"/>
      <c r="V679" s="2"/>
      <c r="W679" s="2"/>
      <c r="X679" s="2"/>
      <c r="Y679" s="2"/>
      <c r="Z679" s="2"/>
      <c r="AA679" s="2"/>
    </row>
    <row r="680">
      <c r="A680" s="2"/>
      <c r="B680" s="2"/>
      <c r="D680" s="2"/>
      <c r="E680" s="2"/>
      <c r="F680" s="10"/>
      <c r="G680" s="10"/>
      <c r="I680" s="2"/>
      <c r="J680" s="2"/>
      <c r="K680" s="2"/>
      <c r="L680" s="2"/>
      <c r="M680" s="2"/>
      <c r="N680" s="2"/>
      <c r="O680" s="2"/>
      <c r="P680" s="2"/>
      <c r="Q680" s="2"/>
      <c r="R680" s="2"/>
      <c r="S680" s="2"/>
      <c r="T680" s="2"/>
      <c r="U680" s="2"/>
      <c r="V680" s="2"/>
      <c r="W680" s="2"/>
      <c r="X680" s="2"/>
      <c r="Y680" s="2"/>
      <c r="Z680" s="2"/>
      <c r="AA680" s="2"/>
    </row>
    <row r="681">
      <c r="A681" s="2"/>
      <c r="B681" s="2"/>
      <c r="D681" s="2"/>
      <c r="E681" s="2"/>
      <c r="F681" s="10"/>
      <c r="G681" s="10"/>
      <c r="I681" s="2"/>
      <c r="J681" s="2"/>
      <c r="K681" s="2"/>
      <c r="L681" s="2"/>
      <c r="M681" s="2"/>
      <c r="N681" s="2"/>
      <c r="O681" s="2"/>
      <c r="P681" s="2"/>
      <c r="Q681" s="2"/>
      <c r="R681" s="2"/>
      <c r="S681" s="2"/>
      <c r="T681" s="2"/>
      <c r="U681" s="2"/>
      <c r="V681" s="2"/>
      <c r="W681" s="2"/>
      <c r="X681" s="2"/>
      <c r="Y681" s="2"/>
      <c r="Z681" s="2"/>
      <c r="AA681" s="2"/>
    </row>
    <row r="682">
      <c r="A682" s="2"/>
      <c r="B682" s="2"/>
      <c r="D682" s="2"/>
      <c r="E682" s="2"/>
      <c r="F682" s="10"/>
      <c r="G682" s="10"/>
      <c r="I682" s="2"/>
      <c r="J682" s="2"/>
      <c r="K682" s="2"/>
      <c r="L682" s="2"/>
      <c r="M682" s="2"/>
      <c r="N682" s="2"/>
      <c r="O682" s="2"/>
      <c r="P682" s="2"/>
      <c r="Q682" s="2"/>
      <c r="R682" s="2"/>
      <c r="S682" s="2"/>
      <c r="T682" s="2"/>
      <c r="U682" s="2"/>
      <c r="V682" s="2"/>
      <c r="W682" s="2"/>
      <c r="X682" s="2"/>
      <c r="Y682" s="2"/>
      <c r="Z682" s="2"/>
      <c r="AA682" s="2"/>
    </row>
    <row r="683">
      <c r="A683" s="2"/>
      <c r="B683" s="2"/>
      <c r="D683" s="2"/>
      <c r="E683" s="2"/>
      <c r="F683" s="10"/>
      <c r="G683" s="10"/>
      <c r="I683" s="2"/>
      <c r="J683" s="2"/>
      <c r="K683" s="2"/>
      <c r="L683" s="2"/>
      <c r="M683" s="2"/>
      <c r="N683" s="2"/>
      <c r="O683" s="2"/>
      <c r="P683" s="2"/>
      <c r="Q683" s="2"/>
      <c r="R683" s="2"/>
      <c r="S683" s="2"/>
      <c r="T683" s="2"/>
      <c r="U683" s="2"/>
      <c r="V683" s="2"/>
      <c r="W683" s="2"/>
      <c r="X683" s="2"/>
      <c r="Y683" s="2"/>
      <c r="Z683" s="2"/>
      <c r="AA683" s="2"/>
    </row>
    <row r="684">
      <c r="A684" s="2"/>
      <c r="B684" s="2"/>
      <c r="D684" s="2"/>
      <c r="E684" s="2"/>
      <c r="F684" s="10"/>
      <c r="G684" s="10"/>
      <c r="I684" s="2"/>
      <c r="J684" s="2"/>
      <c r="K684" s="2"/>
      <c r="L684" s="2"/>
      <c r="M684" s="2"/>
      <c r="N684" s="2"/>
      <c r="O684" s="2"/>
      <c r="P684" s="2"/>
      <c r="Q684" s="2"/>
      <c r="R684" s="2"/>
      <c r="S684" s="2"/>
      <c r="T684" s="2"/>
      <c r="U684" s="2"/>
      <c r="V684" s="2"/>
      <c r="W684" s="2"/>
      <c r="X684" s="2"/>
      <c r="Y684" s="2"/>
      <c r="Z684" s="2"/>
      <c r="AA684" s="2"/>
    </row>
    <row r="685">
      <c r="A685" s="2"/>
      <c r="B685" s="2"/>
      <c r="D685" s="2"/>
      <c r="E685" s="2"/>
      <c r="F685" s="10"/>
      <c r="G685" s="10"/>
      <c r="I685" s="2"/>
      <c r="J685" s="2"/>
      <c r="K685" s="2"/>
      <c r="L685" s="2"/>
      <c r="M685" s="2"/>
      <c r="N685" s="2"/>
      <c r="O685" s="2"/>
      <c r="P685" s="2"/>
      <c r="Q685" s="2"/>
      <c r="R685" s="2"/>
      <c r="S685" s="2"/>
      <c r="T685" s="2"/>
      <c r="U685" s="2"/>
      <c r="V685" s="2"/>
      <c r="W685" s="2"/>
      <c r="X685" s="2"/>
      <c r="Y685" s="2"/>
      <c r="Z685" s="2"/>
      <c r="AA685" s="2"/>
    </row>
    <row r="686">
      <c r="A686" s="2"/>
      <c r="B686" s="2"/>
      <c r="D686" s="2"/>
      <c r="E686" s="2"/>
      <c r="F686" s="10"/>
      <c r="G686" s="10"/>
      <c r="I686" s="2"/>
      <c r="J686" s="2"/>
      <c r="K686" s="2"/>
      <c r="L686" s="2"/>
      <c r="M686" s="2"/>
      <c r="N686" s="2"/>
      <c r="O686" s="2"/>
      <c r="P686" s="2"/>
      <c r="Q686" s="2"/>
      <c r="R686" s="2"/>
      <c r="S686" s="2"/>
      <c r="T686" s="2"/>
      <c r="U686" s="2"/>
      <c r="V686" s="2"/>
      <c r="W686" s="2"/>
      <c r="X686" s="2"/>
      <c r="Y686" s="2"/>
      <c r="Z686" s="2"/>
      <c r="AA686" s="2"/>
    </row>
    <row r="687">
      <c r="A687" s="2"/>
      <c r="B687" s="2"/>
      <c r="D687" s="2"/>
      <c r="E687" s="2"/>
      <c r="F687" s="10"/>
      <c r="G687" s="10"/>
      <c r="I687" s="2"/>
      <c r="J687" s="2"/>
      <c r="K687" s="2"/>
      <c r="L687" s="2"/>
      <c r="M687" s="2"/>
      <c r="N687" s="2"/>
      <c r="O687" s="2"/>
      <c r="P687" s="2"/>
      <c r="Q687" s="2"/>
      <c r="R687" s="2"/>
      <c r="S687" s="2"/>
      <c r="T687" s="2"/>
      <c r="U687" s="2"/>
      <c r="V687" s="2"/>
      <c r="W687" s="2"/>
      <c r="X687" s="2"/>
      <c r="Y687" s="2"/>
      <c r="Z687" s="2"/>
      <c r="AA687" s="2"/>
    </row>
    <row r="688">
      <c r="A688" s="2"/>
      <c r="B688" s="2"/>
      <c r="D688" s="2"/>
      <c r="E688" s="2"/>
      <c r="F688" s="10"/>
      <c r="G688" s="10"/>
      <c r="I688" s="2"/>
      <c r="J688" s="2"/>
      <c r="K688" s="2"/>
      <c r="L688" s="2"/>
      <c r="M688" s="2"/>
      <c r="N688" s="2"/>
      <c r="O688" s="2"/>
      <c r="P688" s="2"/>
      <c r="Q688" s="2"/>
      <c r="R688" s="2"/>
      <c r="S688" s="2"/>
      <c r="T688" s="2"/>
      <c r="U688" s="2"/>
      <c r="V688" s="2"/>
      <c r="W688" s="2"/>
      <c r="X688" s="2"/>
      <c r="Y688" s="2"/>
      <c r="Z688" s="2"/>
      <c r="AA688" s="2"/>
    </row>
    <row r="689">
      <c r="A689" s="2"/>
      <c r="B689" s="2"/>
      <c r="D689" s="2"/>
      <c r="E689" s="2"/>
      <c r="F689" s="10"/>
      <c r="G689" s="10"/>
      <c r="I689" s="2"/>
      <c r="J689" s="2"/>
      <c r="K689" s="2"/>
      <c r="L689" s="2"/>
      <c r="M689" s="2"/>
      <c r="N689" s="2"/>
      <c r="O689" s="2"/>
      <c r="P689" s="2"/>
      <c r="Q689" s="2"/>
      <c r="R689" s="2"/>
      <c r="S689" s="2"/>
      <c r="T689" s="2"/>
      <c r="U689" s="2"/>
      <c r="V689" s="2"/>
      <c r="W689" s="2"/>
      <c r="X689" s="2"/>
      <c r="Y689" s="2"/>
      <c r="Z689" s="2"/>
      <c r="AA689" s="2"/>
    </row>
    <row r="690">
      <c r="A690" s="2"/>
      <c r="B690" s="2"/>
      <c r="D690" s="2"/>
      <c r="E690" s="2"/>
      <c r="F690" s="10"/>
      <c r="G690" s="10"/>
      <c r="I690" s="2"/>
      <c r="J690" s="2"/>
      <c r="K690" s="2"/>
      <c r="L690" s="2"/>
      <c r="M690" s="2"/>
      <c r="N690" s="2"/>
      <c r="O690" s="2"/>
      <c r="P690" s="2"/>
      <c r="Q690" s="2"/>
      <c r="R690" s="2"/>
      <c r="S690" s="2"/>
      <c r="T690" s="2"/>
      <c r="U690" s="2"/>
      <c r="V690" s="2"/>
      <c r="W690" s="2"/>
      <c r="X690" s="2"/>
      <c r="Y690" s="2"/>
      <c r="Z690" s="2"/>
      <c r="AA690" s="2"/>
    </row>
    <row r="691">
      <c r="A691" s="2"/>
      <c r="B691" s="2"/>
      <c r="D691" s="2"/>
      <c r="E691" s="2"/>
      <c r="F691" s="10"/>
      <c r="G691" s="10"/>
      <c r="I691" s="2"/>
      <c r="J691" s="2"/>
      <c r="K691" s="2"/>
      <c r="L691" s="2"/>
      <c r="M691" s="2"/>
      <c r="N691" s="2"/>
      <c r="O691" s="2"/>
      <c r="P691" s="2"/>
      <c r="Q691" s="2"/>
      <c r="R691" s="2"/>
      <c r="S691" s="2"/>
      <c r="T691" s="2"/>
      <c r="U691" s="2"/>
      <c r="V691" s="2"/>
      <c r="W691" s="2"/>
      <c r="X691" s="2"/>
      <c r="Y691" s="2"/>
      <c r="Z691" s="2"/>
      <c r="AA691" s="2"/>
    </row>
    <row r="692">
      <c r="A692" s="2"/>
      <c r="B692" s="2"/>
      <c r="D692" s="2"/>
      <c r="E692" s="2"/>
      <c r="F692" s="10"/>
      <c r="G692" s="10"/>
      <c r="I692" s="2"/>
      <c r="J692" s="2"/>
      <c r="K692" s="2"/>
      <c r="L692" s="2"/>
      <c r="M692" s="2"/>
      <c r="N692" s="2"/>
      <c r="O692" s="2"/>
      <c r="P692" s="2"/>
      <c r="Q692" s="2"/>
      <c r="R692" s="2"/>
      <c r="S692" s="2"/>
      <c r="T692" s="2"/>
      <c r="U692" s="2"/>
      <c r="V692" s="2"/>
      <c r="W692" s="2"/>
      <c r="X692" s="2"/>
      <c r="Y692" s="2"/>
      <c r="Z692" s="2"/>
      <c r="AA692" s="2"/>
    </row>
    <row r="693">
      <c r="A693" s="2"/>
      <c r="B693" s="2"/>
      <c r="D693" s="2"/>
      <c r="E693" s="2"/>
      <c r="F693" s="10"/>
      <c r="G693" s="10"/>
      <c r="I693" s="2"/>
      <c r="J693" s="2"/>
      <c r="K693" s="2"/>
      <c r="L693" s="2"/>
      <c r="M693" s="2"/>
      <c r="N693" s="2"/>
      <c r="O693" s="2"/>
      <c r="P693" s="2"/>
      <c r="Q693" s="2"/>
      <c r="R693" s="2"/>
      <c r="S693" s="2"/>
      <c r="T693" s="2"/>
      <c r="U693" s="2"/>
      <c r="V693" s="2"/>
      <c r="W693" s="2"/>
      <c r="X693" s="2"/>
      <c r="Y693" s="2"/>
      <c r="Z693" s="2"/>
      <c r="AA693" s="2"/>
    </row>
    <row r="694">
      <c r="A694" s="2"/>
      <c r="B694" s="2"/>
      <c r="D694" s="2"/>
      <c r="E694" s="2"/>
      <c r="F694" s="10"/>
      <c r="G694" s="10"/>
      <c r="I694" s="2"/>
      <c r="J694" s="2"/>
      <c r="K694" s="2"/>
      <c r="L694" s="2"/>
      <c r="M694" s="2"/>
      <c r="N694" s="2"/>
      <c r="O694" s="2"/>
      <c r="P694" s="2"/>
      <c r="Q694" s="2"/>
      <c r="R694" s="2"/>
      <c r="S694" s="2"/>
      <c r="T694" s="2"/>
      <c r="U694" s="2"/>
      <c r="V694" s="2"/>
      <c r="W694" s="2"/>
      <c r="X694" s="2"/>
      <c r="Y694" s="2"/>
      <c r="Z694" s="2"/>
      <c r="AA694" s="2"/>
    </row>
    <row r="695">
      <c r="A695" s="2"/>
      <c r="B695" s="2"/>
      <c r="D695" s="2"/>
      <c r="E695" s="2"/>
      <c r="F695" s="10"/>
      <c r="G695" s="10"/>
      <c r="I695" s="2"/>
      <c r="J695" s="2"/>
      <c r="K695" s="2"/>
      <c r="L695" s="2"/>
      <c r="M695" s="2"/>
      <c r="N695" s="2"/>
      <c r="O695" s="2"/>
      <c r="P695" s="2"/>
      <c r="Q695" s="2"/>
      <c r="R695" s="2"/>
      <c r="S695" s="2"/>
      <c r="T695" s="2"/>
      <c r="U695" s="2"/>
      <c r="V695" s="2"/>
      <c r="W695" s="2"/>
      <c r="X695" s="2"/>
      <c r="Y695" s="2"/>
      <c r="Z695" s="2"/>
      <c r="AA695" s="2"/>
    </row>
    <row r="696">
      <c r="A696" s="2"/>
      <c r="B696" s="2"/>
      <c r="D696" s="2"/>
      <c r="E696" s="2"/>
      <c r="F696" s="10"/>
      <c r="G696" s="10"/>
      <c r="I696" s="2"/>
      <c r="J696" s="2"/>
      <c r="K696" s="2"/>
      <c r="L696" s="2"/>
      <c r="M696" s="2"/>
      <c r="N696" s="2"/>
      <c r="O696" s="2"/>
      <c r="P696" s="2"/>
      <c r="Q696" s="2"/>
      <c r="R696" s="2"/>
      <c r="S696" s="2"/>
      <c r="T696" s="2"/>
      <c r="U696" s="2"/>
      <c r="V696" s="2"/>
      <c r="W696" s="2"/>
      <c r="X696" s="2"/>
      <c r="Y696" s="2"/>
      <c r="Z696" s="2"/>
      <c r="AA696" s="2"/>
    </row>
    <row r="697">
      <c r="A697" s="2"/>
      <c r="B697" s="2"/>
      <c r="D697" s="2"/>
      <c r="E697" s="2"/>
      <c r="F697" s="10"/>
      <c r="G697" s="10"/>
      <c r="I697" s="2"/>
      <c r="J697" s="2"/>
      <c r="K697" s="2"/>
      <c r="L697" s="2"/>
      <c r="M697" s="2"/>
      <c r="N697" s="2"/>
      <c r="O697" s="2"/>
      <c r="P697" s="2"/>
      <c r="Q697" s="2"/>
      <c r="R697" s="2"/>
      <c r="S697" s="2"/>
      <c r="T697" s="2"/>
      <c r="U697" s="2"/>
      <c r="V697" s="2"/>
      <c r="W697" s="2"/>
      <c r="X697" s="2"/>
      <c r="Y697" s="2"/>
      <c r="Z697" s="2"/>
      <c r="AA697" s="2"/>
    </row>
    <row r="698">
      <c r="A698" s="2"/>
      <c r="B698" s="2"/>
      <c r="D698" s="2"/>
      <c r="E698" s="2"/>
      <c r="F698" s="10"/>
      <c r="G698" s="10"/>
      <c r="I698" s="2"/>
      <c r="J698" s="2"/>
      <c r="K698" s="2"/>
      <c r="L698" s="2"/>
      <c r="M698" s="2"/>
      <c r="N698" s="2"/>
      <c r="O698" s="2"/>
      <c r="P698" s="2"/>
      <c r="Q698" s="2"/>
      <c r="R698" s="2"/>
      <c r="S698" s="2"/>
      <c r="T698" s="2"/>
      <c r="U698" s="2"/>
      <c r="V698" s="2"/>
      <c r="W698" s="2"/>
      <c r="X698" s="2"/>
      <c r="Y698" s="2"/>
      <c r="Z698" s="2"/>
      <c r="AA698" s="2"/>
    </row>
    <row r="699">
      <c r="A699" s="2"/>
      <c r="B699" s="2"/>
      <c r="D699" s="2"/>
      <c r="E699" s="2"/>
      <c r="F699" s="10"/>
      <c r="G699" s="10"/>
      <c r="I699" s="2"/>
      <c r="J699" s="2"/>
      <c r="K699" s="2"/>
      <c r="L699" s="2"/>
      <c r="M699" s="2"/>
      <c r="N699" s="2"/>
      <c r="O699" s="2"/>
      <c r="P699" s="2"/>
      <c r="Q699" s="2"/>
      <c r="R699" s="2"/>
      <c r="S699" s="2"/>
      <c r="T699" s="2"/>
      <c r="U699" s="2"/>
      <c r="V699" s="2"/>
      <c r="W699" s="2"/>
      <c r="X699" s="2"/>
      <c r="Y699" s="2"/>
      <c r="Z699" s="2"/>
      <c r="AA699" s="2"/>
    </row>
    <row r="700">
      <c r="A700" s="2"/>
      <c r="B700" s="2"/>
      <c r="D700" s="2"/>
      <c r="E700" s="2"/>
      <c r="F700" s="10"/>
      <c r="G700" s="10"/>
      <c r="I700" s="2"/>
      <c r="J700" s="2"/>
      <c r="K700" s="2"/>
      <c r="L700" s="2"/>
      <c r="M700" s="2"/>
      <c r="N700" s="2"/>
      <c r="O700" s="2"/>
      <c r="P700" s="2"/>
      <c r="Q700" s="2"/>
      <c r="R700" s="2"/>
      <c r="S700" s="2"/>
      <c r="T700" s="2"/>
      <c r="U700" s="2"/>
      <c r="V700" s="2"/>
      <c r="W700" s="2"/>
      <c r="X700" s="2"/>
      <c r="Y700" s="2"/>
      <c r="Z700" s="2"/>
      <c r="AA700" s="2"/>
    </row>
    <row r="701">
      <c r="A701" s="2"/>
      <c r="B701" s="2"/>
      <c r="D701" s="2"/>
      <c r="E701" s="2"/>
      <c r="F701" s="10"/>
      <c r="G701" s="10"/>
      <c r="I701" s="2"/>
      <c r="J701" s="2"/>
      <c r="K701" s="2"/>
      <c r="L701" s="2"/>
      <c r="M701" s="2"/>
      <c r="N701" s="2"/>
      <c r="O701" s="2"/>
      <c r="P701" s="2"/>
      <c r="Q701" s="2"/>
      <c r="R701" s="2"/>
      <c r="S701" s="2"/>
      <c r="T701" s="2"/>
      <c r="U701" s="2"/>
      <c r="V701" s="2"/>
      <c r="W701" s="2"/>
      <c r="X701" s="2"/>
      <c r="Y701" s="2"/>
      <c r="Z701" s="2"/>
      <c r="AA701" s="2"/>
    </row>
    <row r="702">
      <c r="A702" s="2"/>
      <c r="B702" s="2"/>
      <c r="D702" s="2"/>
      <c r="E702" s="2"/>
      <c r="F702" s="10"/>
      <c r="G702" s="10"/>
      <c r="I702" s="2"/>
      <c r="J702" s="2"/>
      <c r="K702" s="2"/>
      <c r="L702" s="2"/>
      <c r="M702" s="2"/>
      <c r="N702" s="2"/>
      <c r="O702" s="2"/>
      <c r="P702" s="2"/>
      <c r="Q702" s="2"/>
      <c r="R702" s="2"/>
      <c r="S702" s="2"/>
      <c r="T702" s="2"/>
      <c r="U702" s="2"/>
      <c r="V702" s="2"/>
      <c r="W702" s="2"/>
      <c r="X702" s="2"/>
      <c r="Y702" s="2"/>
      <c r="Z702" s="2"/>
      <c r="AA702" s="2"/>
    </row>
    <row r="703">
      <c r="A703" s="2"/>
      <c r="B703" s="2"/>
      <c r="D703" s="2"/>
      <c r="E703" s="2"/>
      <c r="F703" s="10"/>
      <c r="G703" s="10"/>
      <c r="I703" s="2"/>
      <c r="J703" s="2"/>
      <c r="K703" s="2"/>
      <c r="L703" s="2"/>
      <c r="M703" s="2"/>
      <c r="N703" s="2"/>
      <c r="O703" s="2"/>
      <c r="P703" s="2"/>
      <c r="Q703" s="2"/>
      <c r="R703" s="2"/>
      <c r="S703" s="2"/>
      <c r="T703" s="2"/>
      <c r="U703" s="2"/>
      <c r="V703" s="2"/>
      <c r="W703" s="2"/>
      <c r="X703" s="2"/>
      <c r="Y703" s="2"/>
      <c r="Z703" s="2"/>
      <c r="AA703" s="2"/>
    </row>
    <row r="704">
      <c r="A704" s="2"/>
      <c r="B704" s="2"/>
      <c r="D704" s="2"/>
      <c r="E704" s="2"/>
      <c r="F704" s="10"/>
      <c r="G704" s="10"/>
      <c r="I704" s="2"/>
      <c r="J704" s="2"/>
      <c r="K704" s="2"/>
      <c r="L704" s="2"/>
      <c r="M704" s="2"/>
      <c r="N704" s="2"/>
      <c r="O704" s="2"/>
      <c r="P704" s="2"/>
      <c r="Q704" s="2"/>
      <c r="R704" s="2"/>
      <c r="S704" s="2"/>
      <c r="T704" s="2"/>
      <c r="U704" s="2"/>
      <c r="V704" s="2"/>
      <c r="W704" s="2"/>
      <c r="X704" s="2"/>
      <c r="Y704" s="2"/>
      <c r="Z704" s="2"/>
      <c r="AA704" s="2"/>
    </row>
    <row r="705">
      <c r="A705" s="2"/>
      <c r="B705" s="2"/>
      <c r="D705" s="2"/>
      <c r="E705" s="2"/>
      <c r="F705" s="10"/>
      <c r="G705" s="10"/>
      <c r="I705" s="2"/>
      <c r="J705" s="2"/>
      <c r="K705" s="2"/>
      <c r="L705" s="2"/>
      <c r="M705" s="2"/>
      <c r="N705" s="2"/>
      <c r="O705" s="2"/>
      <c r="P705" s="2"/>
      <c r="Q705" s="2"/>
      <c r="R705" s="2"/>
      <c r="S705" s="2"/>
      <c r="T705" s="2"/>
      <c r="U705" s="2"/>
      <c r="V705" s="2"/>
      <c r="W705" s="2"/>
      <c r="X705" s="2"/>
      <c r="Y705" s="2"/>
      <c r="Z705" s="2"/>
      <c r="AA705" s="2"/>
    </row>
    <row r="706">
      <c r="A706" s="2"/>
      <c r="B706" s="2"/>
      <c r="D706" s="2"/>
      <c r="E706" s="2"/>
      <c r="F706" s="10"/>
      <c r="G706" s="10"/>
      <c r="I706" s="2"/>
      <c r="J706" s="2"/>
      <c r="K706" s="2"/>
      <c r="L706" s="2"/>
      <c r="M706" s="2"/>
      <c r="N706" s="2"/>
      <c r="O706" s="2"/>
      <c r="P706" s="2"/>
      <c r="Q706" s="2"/>
      <c r="R706" s="2"/>
      <c r="S706" s="2"/>
      <c r="T706" s="2"/>
      <c r="U706" s="2"/>
      <c r="V706" s="2"/>
      <c r="W706" s="2"/>
      <c r="X706" s="2"/>
      <c r="Y706" s="2"/>
      <c r="Z706" s="2"/>
      <c r="AA706" s="2"/>
    </row>
    <row r="707">
      <c r="A707" s="2"/>
      <c r="B707" s="2"/>
      <c r="D707" s="2"/>
      <c r="E707" s="2"/>
      <c r="F707" s="10"/>
      <c r="G707" s="10"/>
      <c r="I707" s="2"/>
      <c r="J707" s="2"/>
      <c r="K707" s="2"/>
      <c r="L707" s="2"/>
      <c r="M707" s="2"/>
      <c r="N707" s="2"/>
      <c r="O707" s="2"/>
      <c r="P707" s="2"/>
      <c r="Q707" s="2"/>
      <c r="R707" s="2"/>
      <c r="S707" s="2"/>
      <c r="T707" s="2"/>
      <c r="U707" s="2"/>
      <c r="V707" s="2"/>
      <c r="W707" s="2"/>
      <c r="X707" s="2"/>
      <c r="Y707" s="2"/>
      <c r="Z707" s="2"/>
      <c r="AA707" s="2"/>
    </row>
    <row r="708">
      <c r="A708" s="2"/>
      <c r="B708" s="2"/>
      <c r="D708" s="2"/>
      <c r="E708" s="2"/>
      <c r="F708" s="10"/>
      <c r="G708" s="10"/>
      <c r="I708" s="2"/>
      <c r="J708" s="2"/>
      <c r="K708" s="2"/>
      <c r="L708" s="2"/>
      <c r="M708" s="2"/>
      <c r="N708" s="2"/>
      <c r="O708" s="2"/>
      <c r="P708" s="2"/>
      <c r="Q708" s="2"/>
      <c r="R708" s="2"/>
      <c r="S708" s="2"/>
      <c r="T708" s="2"/>
      <c r="U708" s="2"/>
      <c r="V708" s="2"/>
      <c r="W708" s="2"/>
      <c r="X708" s="2"/>
      <c r="Y708" s="2"/>
      <c r="Z708" s="2"/>
      <c r="AA708" s="2"/>
    </row>
    <row r="709">
      <c r="A709" s="2"/>
      <c r="B709" s="2"/>
      <c r="D709" s="2"/>
      <c r="E709" s="2"/>
      <c r="F709" s="10"/>
      <c r="G709" s="10"/>
      <c r="I709" s="2"/>
      <c r="J709" s="2"/>
      <c r="K709" s="2"/>
      <c r="L709" s="2"/>
      <c r="M709" s="2"/>
      <c r="N709" s="2"/>
      <c r="O709" s="2"/>
      <c r="P709" s="2"/>
      <c r="Q709" s="2"/>
      <c r="R709" s="2"/>
      <c r="S709" s="2"/>
      <c r="T709" s="2"/>
      <c r="U709" s="2"/>
      <c r="V709" s="2"/>
      <c r="W709" s="2"/>
      <c r="X709" s="2"/>
      <c r="Y709" s="2"/>
      <c r="Z709" s="2"/>
      <c r="AA709" s="2"/>
    </row>
    <row r="710">
      <c r="A710" s="2"/>
      <c r="B710" s="2"/>
      <c r="D710" s="2"/>
      <c r="E710" s="2"/>
      <c r="F710" s="10"/>
      <c r="G710" s="10"/>
      <c r="I710" s="2"/>
      <c r="J710" s="2"/>
      <c r="K710" s="2"/>
      <c r="L710" s="2"/>
      <c r="M710" s="2"/>
      <c r="N710" s="2"/>
      <c r="O710" s="2"/>
      <c r="P710" s="2"/>
      <c r="Q710" s="2"/>
      <c r="R710" s="2"/>
      <c r="S710" s="2"/>
      <c r="T710" s="2"/>
      <c r="U710" s="2"/>
      <c r="V710" s="2"/>
      <c r="W710" s="2"/>
      <c r="X710" s="2"/>
      <c r="Y710" s="2"/>
      <c r="Z710" s="2"/>
      <c r="AA710" s="2"/>
    </row>
    <row r="711">
      <c r="A711" s="2"/>
      <c r="B711" s="2"/>
      <c r="D711" s="2"/>
      <c r="E711" s="2"/>
      <c r="F711" s="10"/>
      <c r="G711" s="10"/>
      <c r="I711" s="2"/>
      <c r="J711" s="2"/>
      <c r="K711" s="2"/>
      <c r="L711" s="2"/>
      <c r="M711" s="2"/>
      <c r="N711" s="2"/>
      <c r="O711" s="2"/>
      <c r="P711" s="2"/>
      <c r="Q711" s="2"/>
      <c r="R711" s="2"/>
      <c r="S711" s="2"/>
      <c r="T711" s="2"/>
      <c r="U711" s="2"/>
      <c r="V711" s="2"/>
      <c r="W711" s="2"/>
      <c r="X711" s="2"/>
      <c r="Y711" s="2"/>
      <c r="Z711" s="2"/>
      <c r="AA711" s="2"/>
    </row>
    <row r="712">
      <c r="A712" s="2"/>
      <c r="B712" s="2"/>
      <c r="D712" s="2"/>
      <c r="E712" s="2"/>
      <c r="F712" s="10"/>
      <c r="G712" s="10"/>
      <c r="I712" s="2"/>
      <c r="J712" s="2"/>
      <c r="K712" s="2"/>
      <c r="L712" s="2"/>
      <c r="M712" s="2"/>
      <c r="N712" s="2"/>
      <c r="O712" s="2"/>
      <c r="P712" s="2"/>
      <c r="Q712" s="2"/>
      <c r="R712" s="2"/>
      <c r="S712" s="2"/>
      <c r="T712" s="2"/>
      <c r="U712" s="2"/>
      <c r="V712" s="2"/>
      <c r="W712" s="2"/>
      <c r="X712" s="2"/>
      <c r="Y712" s="2"/>
      <c r="Z712" s="2"/>
      <c r="AA712" s="2"/>
    </row>
    <row r="713">
      <c r="A713" s="2"/>
      <c r="B713" s="2"/>
      <c r="D713" s="2"/>
      <c r="E713" s="2"/>
      <c r="F713" s="10"/>
      <c r="G713" s="10"/>
      <c r="I713" s="2"/>
      <c r="J713" s="2"/>
      <c r="K713" s="2"/>
      <c r="L713" s="2"/>
      <c r="M713" s="2"/>
      <c r="N713" s="2"/>
      <c r="O713" s="2"/>
      <c r="P713" s="2"/>
      <c r="Q713" s="2"/>
      <c r="R713" s="2"/>
      <c r="S713" s="2"/>
      <c r="T713" s="2"/>
      <c r="U713" s="2"/>
      <c r="V713" s="2"/>
      <c r="W713" s="2"/>
      <c r="X713" s="2"/>
      <c r="Y713" s="2"/>
      <c r="Z713" s="2"/>
      <c r="AA713" s="2"/>
    </row>
    <row r="714">
      <c r="A714" s="2"/>
      <c r="B714" s="2"/>
      <c r="D714" s="2"/>
      <c r="E714" s="2"/>
      <c r="F714" s="10"/>
      <c r="G714" s="10"/>
      <c r="I714" s="2"/>
      <c r="J714" s="2"/>
      <c r="K714" s="2"/>
      <c r="L714" s="2"/>
      <c r="M714" s="2"/>
      <c r="N714" s="2"/>
      <c r="O714" s="2"/>
      <c r="P714" s="2"/>
      <c r="Q714" s="2"/>
      <c r="R714" s="2"/>
      <c r="S714" s="2"/>
      <c r="T714" s="2"/>
      <c r="U714" s="2"/>
      <c r="V714" s="2"/>
      <c r="W714" s="2"/>
      <c r="X714" s="2"/>
      <c r="Y714" s="2"/>
      <c r="Z714" s="2"/>
      <c r="AA714" s="2"/>
    </row>
    <row r="715">
      <c r="A715" s="2"/>
      <c r="B715" s="2"/>
      <c r="D715" s="2"/>
      <c r="E715" s="2"/>
      <c r="F715" s="10"/>
      <c r="G715" s="10"/>
      <c r="I715" s="2"/>
      <c r="J715" s="2"/>
      <c r="K715" s="2"/>
      <c r="L715" s="2"/>
      <c r="M715" s="2"/>
      <c r="N715" s="2"/>
      <c r="O715" s="2"/>
      <c r="P715" s="2"/>
      <c r="Q715" s="2"/>
      <c r="R715" s="2"/>
      <c r="S715" s="2"/>
      <c r="T715" s="2"/>
      <c r="U715" s="2"/>
      <c r="V715" s="2"/>
      <c r="W715" s="2"/>
      <c r="X715" s="2"/>
      <c r="Y715" s="2"/>
      <c r="Z715" s="2"/>
      <c r="AA715" s="2"/>
    </row>
    <row r="716">
      <c r="A716" s="2"/>
      <c r="B716" s="2"/>
      <c r="D716" s="2"/>
      <c r="E716" s="2"/>
      <c r="F716" s="10"/>
      <c r="G716" s="10"/>
      <c r="I716" s="2"/>
      <c r="J716" s="2"/>
      <c r="K716" s="2"/>
      <c r="L716" s="2"/>
      <c r="M716" s="2"/>
      <c r="N716" s="2"/>
      <c r="O716" s="2"/>
      <c r="P716" s="2"/>
      <c r="Q716" s="2"/>
      <c r="R716" s="2"/>
      <c r="S716" s="2"/>
      <c r="T716" s="2"/>
      <c r="U716" s="2"/>
      <c r="V716" s="2"/>
      <c r="W716" s="2"/>
      <c r="X716" s="2"/>
      <c r="Y716" s="2"/>
      <c r="Z716" s="2"/>
      <c r="AA716" s="2"/>
    </row>
    <row r="717">
      <c r="A717" s="2"/>
      <c r="B717" s="2"/>
      <c r="D717" s="2"/>
      <c r="E717" s="2"/>
      <c r="F717" s="10"/>
      <c r="G717" s="10"/>
      <c r="I717" s="2"/>
      <c r="J717" s="2"/>
      <c r="K717" s="2"/>
      <c r="L717" s="2"/>
      <c r="M717" s="2"/>
      <c r="N717" s="2"/>
      <c r="O717" s="2"/>
      <c r="P717" s="2"/>
      <c r="Q717" s="2"/>
      <c r="R717" s="2"/>
      <c r="S717" s="2"/>
      <c r="T717" s="2"/>
      <c r="U717" s="2"/>
      <c r="V717" s="2"/>
      <c r="W717" s="2"/>
      <c r="X717" s="2"/>
      <c r="Y717" s="2"/>
      <c r="Z717" s="2"/>
      <c r="AA717" s="2"/>
    </row>
    <row r="718">
      <c r="A718" s="2"/>
      <c r="B718" s="2"/>
      <c r="D718" s="2"/>
      <c r="E718" s="2"/>
      <c r="F718" s="10"/>
      <c r="G718" s="10"/>
      <c r="I718" s="2"/>
      <c r="J718" s="2"/>
      <c r="K718" s="2"/>
      <c r="L718" s="2"/>
      <c r="M718" s="2"/>
      <c r="N718" s="2"/>
      <c r="O718" s="2"/>
      <c r="P718" s="2"/>
      <c r="Q718" s="2"/>
      <c r="R718" s="2"/>
      <c r="S718" s="2"/>
      <c r="T718" s="2"/>
      <c r="U718" s="2"/>
      <c r="V718" s="2"/>
      <c r="W718" s="2"/>
      <c r="X718" s="2"/>
      <c r="Y718" s="2"/>
      <c r="Z718" s="2"/>
      <c r="AA718" s="2"/>
    </row>
    <row r="719">
      <c r="A719" s="2"/>
      <c r="B719" s="2"/>
      <c r="D719" s="2"/>
      <c r="E719" s="2"/>
      <c r="F719" s="10"/>
      <c r="G719" s="10"/>
      <c r="I719" s="2"/>
      <c r="J719" s="2"/>
      <c r="K719" s="2"/>
      <c r="L719" s="2"/>
      <c r="M719" s="2"/>
      <c r="N719" s="2"/>
      <c r="O719" s="2"/>
      <c r="P719" s="2"/>
      <c r="Q719" s="2"/>
      <c r="R719" s="2"/>
      <c r="S719" s="2"/>
      <c r="T719" s="2"/>
      <c r="U719" s="2"/>
      <c r="V719" s="2"/>
      <c r="W719" s="2"/>
      <c r="X719" s="2"/>
      <c r="Y719" s="2"/>
      <c r="Z719" s="2"/>
      <c r="AA719" s="2"/>
    </row>
    <row r="720">
      <c r="A720" s="2"/>
      <c r="B720" s="2"/>
      <c r="D720" s="2"/>
      <c r="E720" s="2"/>
      <c r="F720" s="10"/>
      <c r="G720" s="10"/>
      <c r="I720" s="2"/>
      <c r="J720" s="2"/>
      <c r="K720" s="2"/>
      <c r="L720" s="2"/>
      <c r="M720" s="2"/>
      <c r="N720" s="2"/>
      <c r="O720" s="2"/>
      <c r="P720" s="2"/>
      <c r="Q720" s="2"/>
      <c r="R720" s="2"/>
      <c r="S720" s="2"/>
      <c r="T720" s="2"/>
      <c r="U720" s="2"/>
      <c r="V720" s="2"/>
      <c r="W720" s="2"/>
      <c r="X720" s="2"/>
      <c r="Y720" s="2"/>
      <c r="Z720" s="2"/>
      <c r="AA720" s="2"/>
    </row>
    <row r="721">
      <c r="A721" s="2"/>
      <c r="B721" s="2"/>
      <c r="D721" s="2"/>
      <c r="E721" s="2"/>
      <c r="F721" s="10"/>
      <c r="G721" s="10"/>
      <c r="I721" s="2"/>
      <c r="J721" s="2"/>
      <c r="K721" s="2"/>
      <c r="L721" s="2"/>
      <c r="M721" s="2"/>
      <c r="N721" s="2"/>
      <c r="O721" s="2"/>
      <c r="P721" s="2"/>
      <c r="Q721" s="2"/>
      <c r="R721" s="2"/>
      <c r="S721" s="2"/>
      <c r="T721" s="2"/>
      <c r="U721" s="2"/>
      <c r="V721" s="2"/>
      <c r="W721" s="2"/>
      <c r="X721" s="2"/>
      <c r="Y721" s="2"/>
      <c r="Z721" s="2"/>
      <c r="AA721" s="2"/>
    </row>
    <row r="722">
      <c r="A722" s="2"/>
      <c r="B722" s="2"/>
      <c r="D722" s="2"/>
      <c r="E722" s="2"/>
      <c r="F722" s="10"/>
      <c r="G722" s="10"/>
      <c r="I722" s="2"/>
      <c r="J722" s="2"/>
      <c r="K722" s="2"/>
      <c r="L722" s="2"/>
      <c r="M722" s="2"/>
      <c r="N722" s="2"/>
      <c r="O722" s="2"/>
      <c r="P722" s="2"/>
      <c r="Q722" s="2"/>
      <c r="R722" s="2"/>
      <c r="S722" s="2"/>
      <c r="T722" s="2"/>
      <c r="U722" s="2"/>
      <c r="V722" s="2"/>
      <c r="W722" s="2"/>
      <c r="X722" s="2"/>
      <c r="Y722" s="2"/>
      <c r="Z722" s="2"/>
      <c r="AA722" s="2"/>
    </row>
    <row r="723">
      <c r="A723" s="2"/>
      <c r="B723" s="2"/>
      <c r="D723" s="2"/>
      <c r="E723" s="2"/>
      <c r="F723" s="10"/>
      <c r="G723" s="10"/>
      <c r="I723" s="2"/>
      <c r="J723" s="2"/>
      <c r="K723" s="2"/>
      <c r="L723" s="2"/>
      <c r="M723" s="2"/>
      <c r="N723" s="2"/>
      <c r="O723" s="2"/>
      <c r="P723" s="2"/>
      <c r="Q723" s="2"/>
      <c r="R723" s="2"/>
      <c r="S723" s="2"/>
      <c r="T723" s="2"/>
      <c r="U723" s="2"/>
      <c r="V723" s="2"/>
      <c r="W723" s="2"/>
      <c r="X723" s="2"/>
      <c r="Y723" s="2"/>
      <c r="Z723" s="2"/>
      <c r="AA723" s="2"/>
    </row>
    <row r="724">
      <c r="A724" s="2"/>
      <c r="B724" s="2"/>
      <c r="D724" s="2"/>
      <c r="E724" s="2"/>
      <c r="F724" s="10"/>
      <c r="G724" s="10"/>
      <c r="I724" s="2"/>
      <c r="J724" s="2"/>
      <c r="K724" s="2"/>
      <c r="L724" s="2"/>
      <c r="M724" s="2"/>
      <c r="N724" s="2"/>
      <c r="O724" s="2"/>
      <c r="P724" s="2"/>
      <c r="Q724" s="2"/>
      <c r="R724" s="2"/>
      <c r="S724" s="2"/>
      <c r="T724" s="2"/>
      <c r="U724" s="2"/>
      <c r="V724" s="2"/>
      <c r="W724" s="2"/>
      <c r="X724" s="2"/>
      <c r="Y724" s="2"/>
      <c r="Z724" s="2"/>
      <c r="AA724" s="2"/>
    </row>
    <row r="725">
      <c r="A725" s="2"/>
      <c r="B725" s="2"/>
      <c r="D725" s="2"/>
      <c r="E725" s="2"/>
      <c r="F725" s="10"/>
      <c r="G725" s="10"/>
      <c r="I725" s="2"/>
      <c r="J725" s="2"/>
      <c r="K725" s="2"/>
      <c r="L725" s="2"/>
      <c r="M725" s="2"/>
      <c r="N725" s="2"/>
      <c r="O725" s="2"/>
      <c r="P725" s="2"/>
      <c r="Q725" s="2"/>
      <c r="R725" s="2"/>
      <c r="S725" s="2"/>
      <c r="T725" s="2"/>
      <c r="U725" s="2"/>
      <c r="V725" s="2"/>
      <c r="W725" s="2"/>
      <c r="X725" s="2"/>
      <c r="Y725" s="2"/>
      <c r="Z725" s="2"/>
      <c r="AA725" s="2"/>
    </row>
    <row r="726">
      <c r="A726" s="2"/>
      <c r="B726" s="2"/>
      <c r="D726" s="2"/>
      <c r="E726" s="2"/>
      <c r="F726" s="10"/>
      <c r="G726" s="10"/>
      <c r="I726" s="2"/>
      <c r="J726" s="2"/>
      <c r="K726" s="2"/>
      <c r="L726" s="2"/>
      <c r="M726" s="2"/>
      <c r="N726" s="2"/>
      <c r="O726" s="2"/>
      <c r="P726" s="2"/>
      <c r="Q726" s="2"/>
      <c r="R726" s="2"/>
      <c r="S726" s="2"/>
      <c r="T726" s="2"/>
      <c r="U726" s="2"/>
      <c r="V726" s="2"/>
      <c r="W726" s="2"/>
      <c r="X726" s="2"/>
      <c r="Y726" s="2"/>
      <c r="Z726" s="2"/>
      <c r="AA726" s="2"/>
    </row>
    <row r="727">
      <c r="A727" s="2"/>
      <c r="B727" s="2"/>
      <c r="D727" s="2"/>
      <c r="E727" s="2"/>
      <c r="F727" s="10"/>
      <c r="G727" s="10"/>
      <c r="I727" s="2"/>
      <c r="J727" s="2"/>
      <c r="K727" s="2"/>
      <c r="L727" s="2"/>
      <c r="M727" s="2"/>
      <c r="N727" s="2"/>
      <c r="O727" s="2"/>
      <c r="P727" s="2"/>
      <c r="Q727" s="2"/>
      <c r="R727" s="2"/>
      <c r="S727" s="2"/>
      <c r="T727" s="2"/>
      <c r="U727" s="2"/>
      <c r="V727" s="2"/>
      <c r="W727" s="2"/>
      <c r="X727" s="2"/>
      <c r="Y727" s="2"/>
      <c r="Z727" s="2"/>
      <c r="AA727" s="2"/>
    </row>
    <row r="728">
      <c r="A728" s="2"/>
      <c r="B728" s="2"/>
      <c r="D728" s="2"/>
      <c r="E728" s="2"/>
      <c r="F728" s="10"/>
      <c r="G728" s="10"/>
      <c r="I728" s="2"/>
      <c r="J728" s="2"/>
      <c r="K728" s="2"/>
      <c r="L728" s="2"/>
      <c r="M728" s="2"/>
      <c r="N728" s="2"/>
      <c r="O728" s="2"/>
      <c r="P728" s="2"/>
      <c r="Q728" s="2"/>
      <c r="R728" s="2"/>
      <c r="S728" s="2"/>
      <c r="T728" s="2"/>
      <c r="U728" s="2"/>
      <c r="V728" s="2"/>
      <c r="W728" s="2"/>
      <c r="X728" s="2"/>
      <c r="Y728" s="2"/>
      <c r="Z728" s="2"/>
      <c r="AA728" s="2"/>
    </row>
    <row r="729">
      <c r="A729" s="2"/>
      <c r="B729" s="2"/>
      <c r="D729" s="2"/>
      <c r="E729" s="2"/>
      <c r="F729" s="10"/>
      <c r="G729" s="10"/>
      <c r="I729" s="2"/>
      <c r="J729" s="2"/>
      <c r="K729" s="2"/>
      <c r="L729" s="2"/>
      <c r="M729" s="2"/>
      <c r="N729" s="2"/>
      <c r="O729" s="2"/>
      <c r="P729" s="2"/>
      <c r="Q729" s="2"/>
      <c r="R729" s="2"/>
      <c r="S729" s="2"/>
      <c r="T729" s="2"/>
      <c r="U729" s="2"/>
      <c r="V729" s="2"/>
      <c r="W729" s="2"/>
      <c r="X729" s="2"/>
      <c r="Y729" s="2"/>
      <c r="Z729" s="2"/>
      <c r="AA729" s="2"/>
    </row>
    <row r="730">
      <c r="A730" s="2"/>
      <c r="B730" s="2"/>
      <c r="D730" s="2"/>
      <c r="E730" s="2"/>
      <c r="F730" s="10"/>
      <c r="G730" s="10"/>
      <c r="I730" s="2"/>
      <c r="J730" s="2"/>
      <c r="K730" s="2"/>
      <c r="L730" s="2"/>
      <c r="M730" s="2"/>
      <c r="N730" s="2"/>
      <c r="O730" s="2"/>
      <c r="P730" s="2"/>
      <c r="Q730" s="2"/>
      <c r="R730" s="2"/>
      <c r="S730" s="2"/>
      <c r="T730" s="2"/>
      <c r="U730" s="2"/>
      <c r="V730" s="2"/>
      <c r="W730" s="2"/>
      <c r="X730" s="2"/>
      <c r="Y730" s="2"/>
      <c r="Z730" s="2"/>
      <c r="AA730" s="2"/>
    </row>
    <row r="731">
      <c r="A731" s="2"/>
      <c r="B731" s="2"/>
      <c r="D731" s="2"/>
      <c r="E731" s="2"/>
      <c r="F731" s="10"/>
      <c r="G731" s="10"/>
      <c r="I731" s="2"/>
      <c r="J731" s="2"/>
      <c r="K731" s="2"/>
      <c r="L731" s="2"/>
      <c r="M731" s="2"/>
      <c r="N731" s="2"/>
      <c r="O731" s="2"/>
      <c r="P731" s="2"/>
      <c r="Q731" s="2"/>
      <c r="R731" s="2"/>
      <c r="S731" s="2"/>
      <c r="T731" s="2"/>
      <c r="U731" s="2"/>
      <c r="V731" s="2"/>
      <c r="W731" s="2"/>
      <c r="X731" s="2"/>
      <c r="Y731" s="2"/>
      <c r="Z731" s="2"/>
      <c r="AA731" s="2"/>
    </row>
    <row r="732">
      <c r="A732" s="2"/>
      <c r="B732" s="2"/>
      <c r="D732" s="2"/>
      <c r="E732" s="2"/>
      <c r="F732" s="10"/>
      <c r="G732" s="10"/>
      <c r="I732" s="2"/>
      <c r="J732" s="2"/>
      <c r="K732" s="2"/>
      <c r="L732" s="2"/>
      <c r="M732" s="2"/>
      <c r="N732" s="2"/>
      <c r="O732" s="2"/>
      <c r="P732" s="2"/>
      <c r="Q732" s="2"/>
      <c r="R732" s="2"/>
      <c r="S732" s="2"/>
      <c r="T732" s="2"/>
      <c r="U732" s="2"/>
      <c r="V732" s="2"/>
      <c r="W732" s="2"/>
      <c r="X732" s="2"/>
      <c r="Y732" s="2"/>
      <c r="Z732" s="2"/>
      <c r="AA732" s="2"/>
    </row>
    <row r="733">
      <c r="A733" s="2"/>
      <c r="B733" s="2"/>
      <c r="D733" s="2"/>
      <c r="E733" s="2"/>
      <c r="F733" s="10"/>
      <c r="G733" s="10"/>
      <c r="I733" s="2"/>
      <c r="J733" s="2"/>
      <c r="K733" s="2"/>
      <c r="L733" s="2"/>
      <c r="M733" s="2"/>
      <c r="N733" s="2"/>
      <c r="O733" s="2"/>
      <c r="P733" s="2"/>
      <c r="Q733" s="2"/>
      <c r="R733" s="2"/>
      <c r="S733" s="2"/>
      <c r="T733" s="2"/>
      <c r="U733" s="2"/>
      <c r="V733" s="2"/>
      <c r="W733" s="2"/>
      <c r="X733" s="2"/>
      <c r="Y733" s="2"/>
      <c r="Z733" s="2"/>
      <c r="AA733" s="2"/>
    </row>
    <row r="734">
      <c r="A734" s="2"/>
      <c r="B734" s="2"/>
      <c r="D734" s="2"/>
      <c r="E734" s="2"/>
      <c r="F734" s="10"/>
      <c r="G734" s="10"/>
      <c r="I734" s="2"/>
      <c r="J734" s="2"/>
      <c r="K734" s="2"/>
      <c r="L734" s="2"/>
      <c r="M734" s="2"/>
      <c r="N734" s="2"/>
      <c r="O734" s="2"/>
      <c r="P734" s="2"/>
      <c r="Q734" s="2"/>
      <c r="R734" s="2"/>
      <c r="S734" s="2"/>
      <c r="T734" s="2"/>
      <c r="U734" s="2"/>
      <c r="V734" s="2"/>
      <c r="W734" s="2"/>
      <c r="X734" s="2"/>
      <c r="Y734" s="2"/>
      <c r="Z734" s="2"/>
      <c r="AA734" s="2"/>
    </row>
    <row r="735">
      <c r="A735" s="2"/>
      <c r="B735" s="2"/>
      <c r="D735" s="2"/>
      <c r="E735" s="2"/>
      <c r="F735" s="10"/>
      <c r="G735" s="10"/>
      <c r="I735" s="2"/>
      <c r="J735" s="2"/>
      <c r="K735" s="2"/>
      <c r="L735" s="2"/>
      <c r="M735" s="2"/>
      <c r="N735" s="2"/>
      <c r="O735" s="2"/>
      <c r="P735" s="2"/>
      <c r="Q735" s="2"/>
      <c r="R735" s="2"/>
      <c r="S735" s="2"/>
      <c r="T735" s="2"/>
      <c r="U735" s="2"/>
      <c r="V735" s="2"/>
      <c r="W735" s="2"/>
      <c r="X735" s="2"/>
      <c r="Y735" s="2"/>
      <c r="Z735" s="2"/>
      <c r="AA735" s="2"/>
    </row>
    <row r="736">
      <c r="A736" s="2"/>
      <c r="B736" s="2"/>
      <c r="D736" s="2"/>
      <c r="E736" s="2"/>
      <c r="F736" s="10"/>
      <c r="G736" s="10"/>
      <c r="I736" s="2"/>
      <c r="J736" s="2"/>
      <c r="K736" s="2"/>
      <c r="L736" s="2"/>
      <c r="M736" s="2"/>
      <c r="N736" s="2"/>
      <c r="O736" s="2"/>
      <c r="P736" s="2"/>
      <c r="Q736" s="2"/>
      <c r="R736" s="2"/>
      <c r="S736" s="2"/>
      <c r="T736" s="2"/>
      <c r="U736" s="2"/>
      <c r="V736" s="2"/>
      <c r="W736" s="2"/>
      <c r="X736" s="2"/>
      <c r="Y736" s="2"/>
      <c r="Z736" s="2"/>
      <c r="AA736" s="2"/>
    </row>
    <row r="737">
      <c r="A737" s="2"/>
      <c r="B737" s="2"/>
      <c r="D737" s="2"/>
      <c r="E737" s="2"/>
      <c r="F737" s="10"/>
      <c r="G737" s="10"/>
      <c r="I737" s="2"/>
      <c r="J737" s="2"/>
      <c r="K737" s="2"/>
      <c r="L737" s="2"/>
      <c r="M737" s="2"/>
      <c r="N737" s="2"/>
      <c r="O737" s="2"/>
      <c r="P737" s="2"/>
      <c r="Q737" s="2"/>
      <c r="R737" s="2"/>
      <c r="S737" s="2"/>
      <c r="T737" s="2"/>
      <c r="U737" s="2"/>
      <c r="V737" s="2"/>
      <c r="W737" s="2"/>
      <c r="X737" s="2"/>
      <c r="Y737" s="2"/>
      <c r="Z737" s="2"/>
      <c r="AA737" s="2"/>
    </row>
    <row r="738">
      <c r="A738" s="2"/>
      <c r="B738" s="2"/>
      <c r="D738" s="2"/>
      <c r="E738" s="2"/>
      <c r="F738" s="10"/>
      <c r="G738" s="10"/>
      <c r="I738" s="2"/>
      <c r="J738" s="2"/>
      <c r="K738" s="2"/>
      <c r="L738" s="2"/>
      <c r="M738" s="2"/>
      <c r="N738" s="2"/>
      <c r="O738" s="2"/>
      <c r="P738" s="2"/>
      <c r="Q738" s="2"/>
      <c r="R738" s="2"/>
      <c r="S738" s="2"/>
      <c r="T738" s="2"/>
      <c r="U738" s="2"/>
      <c r="V738" s="2"/>
      <c r="W738" s="2"/>
      <c r="X738" s="2"/>
      <c r="Y738" s="2"/>
      <c r="Z738" s="2"/>
      <c r="AA738" s="2"/>
    </row>
    <row r="739">
      <c r="A739" s="2"/>
      <c r="B739" s="2"/>
      <c r="D739" s="2"/>
      <c r="E739" s="2"/>
      <c r="F739" s="10"/>
      <c r="G739" s="10"/>
      <c r="I739" s="2"/>
      <c r="J739" s="2"/>
      <c r="K739" s="2"/>
      <c r="L739" s="2"/>
      <c r="M739" s="2"/>
      <c r="N739" s="2"/>
      <c r="O739" s="2"/>
      <c r="P739" s="2"/>
      <c r="Q739" s="2"/>
      <c r="R739" s="2"/>
      <c r="S739" s="2"/>
      <c r="T739" s="2"/>
      <c r="U739" s="2"/>
      <c r="V739" s="2"/>
      <c r="W739" s="2"/>
      <c r="X739" s="2"/>
      <c r="Y739" s="2"/>
      <c r="Z739" s="2"/>
      <c r="AA739" s="2"/>
    </row>
    <row r="740">
      <c r="A740" s="2"/>
      <c r="B740" s="2"/>
      <c r="D740" s="2"/>
      <c r="E740" s="2"/>
      <c r="F740" s="10"/>
      <c r="G740" s="10"/>
      <c r="I740" s="2"/>
      <c r="J740" s="2"/>
      <c r="K740" s="2"/>
      <c r="L740" s="2"/>
      <c r="M740" s="2"/>
      <c r="N740" s="2"/>
      <c r="O740" s="2"/>
      <c r="P740" s="2"/>
      <c r="Q740" s="2"/>
      <c r="R740" s="2"/>
      <c r="S740" s="2"/>
      <c r="T740" s="2"/>
      <c r="U740" s="2"/>
      <c r="V740" s="2"/>
      <c r="W740" s="2"/>
      <c r="X740" s="2"/>
      <c r="Y740" s="2"/>
      <c r="Z740" s="2"/>
      <c r="AA740" s="2"/>
    </row>
    <row r="741">
      <c r="A741" s="2"/>
      <c r="B741" s="2"/>
      <c r="D741" s="2"/>
      <c r="E741" s="2"/>
      <c r="F741" s="10"/>
      <c r="G741" s="10"/>
      <c r="I741" s="2"/>
      <c r="J741" s="2"/>
      <c r="K741" s="2"/>
      <c r="L741" s="2"/>
      <c r="M741" s="2"/>
      <c r="N741" s="2"/>
      <c r="O741" s="2"/>
      <c r="P741" s="2"/>
      <c r="Q741" s="2"/>
      <c r="R741" s="2"/>
      <c r="S741" s="2"/>
      <c r="T741" s="2"/>
      <c r="U741" s="2"/>
      <c r="V741" s="2"/>
      <c r="W741" s="2"/>
      <c r="X741" s="2"/>
      <c r="Y741" s="2"/>
      <c r="Z741" s="2"/>
      <c r="AA741" s="2"/>
    </row>
    <row r="742">
      <c r="A742" s="2"/>
      <c r="B742" s="2"/>
      <c r="D742" s="2"/>
      <c r="E742" s="2"/>
      <c r="F742" s="10"/>
      <c r="G742" s="10"/>
      <c r="I742" s="2"/>
      <c r="J742" s="2"/>
      <c r="K742" s="2"/>
      <c r="L742" s="2"/>
      <c r="M742" s="2"/>
      <c r="N742" s="2"/>
      <c r="O742" s="2"/>
      <c r="P742" s="2"/>
      <c r="Q742" s="2"/>
      <c r="R742" s="2"/>
      <c r="S742" s="2"/>
      <c r="T742" s="2"/>
      <c r="U742" s="2"/>
      <c r="V742" s="2"/>
      <c r="W742" s="2"/>
      <c r="X742" s="2"/>
      <c r="Y742" s="2"/>
      <c r="Z742" s="2"/>
      <c r="AA742" s="2"/>
    </row>
    <row r="743">
      <c r="A743" s="2"/>
      <c r="B743" s="2"/>
      <c r="D743" s="2"/>
      <c r="E743" s="2"/>
      <c r="F743" s="10"/>
      <c r="G743" s="10"/>
      <c r="I743" s="2"/>
      <c r="J743" s="2"/>
      <c r="K743" s="2"/>
      <c r="L743" s="2"/>
      <c r="M743" s="2"/>
      <c r="N743" s="2"/>
      <c r="O743" s="2"/>
      <c r="P743" s="2"/>
      <c r="Q743" s="2"/>
      <c r="R743" s="2"/>
      <c r="S743" s="2"/>
      <c r="T743" s="2"/>
      <c r="U743" s="2"/>
      <c r="V743" s="2"/>
      <c r="W743" s="2"/>
      <c r="X743" s="2"/>
      <c r="Y743" s="2"/>
      <c r="Z743" s="2"/>
      <c r="AA743" s="2"/>
    </row>
    <row r="744">
      <c r="A744" s="2"/>
      <c r="B744" s="2"/>
      <c r="D744" s="2"/>
      <c r="E744" s="2"/>
      <c r="F744" s="10"/>
      <c r="G744" s="10"/>
      <c r="I744" s="2"/>
      <c r="J744" s="2"/>
      <c r="K744" s="2"/>
      <c r="L744" s="2"/>
      <c r="M744" s="2"/>
      <c r="N744" s="2"/>
      <c r="O744" s="2"/>
      <c r="P744" s="2"/>
      <c r="Q744" s="2"/>
      <c r="R744" s="2"/>
      <c r="S744" s="2"/>
      <c r="T744" s="2"/>
      <c r="U744" s="2"/>
      <c r="V744" s="2"/>
      <c r="W744" s="2"/>
      <c r="X744" s="2"/>
      <c r="Y744" s="2"/>
      <c r="Z744" s="2"/>
      <c r="AA744" s="2"/>
    </row>
    <row r="745">
      <c r="A745" s="2"/>
      <c r="B745" s="2"/>
      <c r="D745" s="2"/>
      <c r="E745" s="2"/>
      <c r="F745" s="10"/>
      <c r="G745" s="10"/>
      <c r="I745" s="2"/>
      <c r="J745" s="2"/>
      <c r="K745" s="2"/>
      <c r="L745" s="2"/>
      <c r="M745" s="2"/>
      <c r="N745" s="2"/>
      <c r="O745" s="2"/>
      <c r="P745" s="2"/>
      <c r="Q745" s="2"/>
      <c r="R745" s="2"/>
      <c r="S745" s="2"/>
      <c r="T745" s="2"/>
      <c r="U745" s="2"/>
      <c r="V745" s="2"/>
      <c r="W745" s="2"/>
      <c r="X745" s="2"/>
      <c r="Y745" s="2"/>
      <c r="Z745" s="2"/>
      <c r="AA745" s="2"/>
    </row>
    <row r="746">
      <c r="A746" s="2"/>
      <c r="B746" s="2"/>
      <c r="D746" s="2"/>
      <c r="E746" s="2"/>
      <c r="F746" s="10"/>
      <c r="G746" s="10"/>
      <c r="I746" s="2"/>
      <c r="J746" s="2"/>
      <c r="K746" s="2"/>
      <c r="L746" s="2"/>
      <c r="M746" s="2"/>
      <c r="N746" s="2"/>
      <c r="O746" s="2"/>
      <c r="P746" s="2"/>
      <c r="Q746" s="2"/>
      <c r="R746" s="2"/>
      <c r="S746" s="2"/>
      <c r="T746" s="2"/>
      <c r="U746" s="2"/>
      <c r="V746" s="2"/>
      <c r="W746" s="2"/>
      <c r="X746" s="2"/>
      <c r="Y746" s="2"/>
      <c r="Z746" s="2"/>
      <c r="AA746" s="2"/>
    </row>
    <row r="747">
      <c r="A747" s="2"/>
      <c r="B747" s="2"/>
      <c r="D747" s="2"/>
      <c r="E747" s="2"/>
      <c r="F747" s="10"/>
      <c r="G747" s="10"/>
      <c r="I747" s="2"/>
      <c r="J747" s="2"/>
      <c r="K747" s="2"/>
      <c r="L747" s="2"/>
      <c r="M747" s="2"/>
      <c r="N747" s="2"/>
      <c r="O747" s="2"/>
      <c r="P747" s="2"/>
      <c r="Q747" s="2"/>
      <c r="R747" s="2"/>
      <c r="S747" s="2"/>
      <c r="T747" s="2"/>
      <c r="U747" s="2"/>
      <c r="V747" s="2"/>
      <c r="W747" s="2"/>
      <c r="X747" s="2"/>
      <c r="Y747" s="2"/>
      <c r="Z747" s="2"/>
      <c r="AA747" s="2"/>
    </row>
    <row r="748">
      <c r="A748" s="2"/>
      <c r="B748" s="2"/>
      <c r="D748" s="2"/>
      <c r="E748" s="2"/>
      <c r="F748" s="10"/>
      <c r="G748" s="10"/>
      <c r="I748" s="2"/>
      <c r="J748" s="2"/>
      <c r="K748" s="2"/>
      <c r="L748" s="2"/>
      <c r="M748" s="2"/>
      <c r="N748" s="2"/>
      <c r="O748" s="2"/>
      <c r="P748" s="2"/>
      <c r="Q748" s="2"/>
      <c r="R748" s="2"/>
      <c r="S748" s="2"/>
      <c r="T748" s="2"/>
      <c r="U748" s="2"/>
      <c r="V748" s="2"/>
      <c r="W748" s="2"/>
      <c r="X748" s="2"/>
      <c r="Y748" s="2"/>
      <c r="Z748" s="2"/>
      <c r="AA748" s="2"/>
    </row>
    <row r="749">
      <c r="A749" s="2"/>
      <c r="B749" s="2"/>
      <c r="D749" s="2"/>
      <c r="E749" s="2"/>
      <c r="F749" s="10"/>
      <c r="G749" s="10"/>
      <c r="I749" s="2"/>
      <c r="J749" s="2"/>
      <c r="K749" s="2"/>
      <c r="L749" s="2"/>
      <c r="M749" s="2"/>
      <c r="N749" s="2"/>
      <c r="O749" s="2"/>
      <c r="P749" s="2"/>
      <c r="Q749" s="2"/>
      <c r="R749" s="2"/>
      <c r="S749" s="2"/>
      <c r="T749" s="2"/>
      <c r="U749" s="2"/>
      <c r="V749" s="2"/>
      <c r="W749" s="2"/>
      <c r="X749" s="2"/>
      <c r="Y749" s="2"/>
      <c r="Z749" s="2"/>
      <c r="AA749" s="2"/>
    </row>
    <row r="750">
      <c r="A750" s="2"/>
      <c r="B750" s="2"/>
      <c r="D750" s="2"/>
      <c r="E750" s="2"/>
      <c r="F750" s="10"/>
      <c r="G750" s="10"/>
      <c r="I750" s="2"/>
      <c r="J750" s="2"/>
      <c r="K750" s="2"/>
      <c r="L750" s="2"/>
      <c r="M750" s="2"/>
      <c r="N750" s="2"/>
      <c r="O750" s="2"/>
      <c r="P750" s="2"/>
      <c r="Q750" s="2"/>
      <c r="R750" s="2"/>
      <c r="S750" s="2"/>
      <c r="T750" s="2"/>
      <c r="U750" s="2"/>
      <c r="V750" s="2"/>
      <c r="W750" s="2"/>
      <c r="X750" s="2"/>
      <c r="Y750" s="2"/>
      <c r="Z750" s="2"/>
      <c r="AA750" s="2"/>
    </row>
    <row r="751">
      <c r="A751" s="2"/>
      <c r="B751" s="2"/>
      <c r="D751" s="2"/>
      <c r="E751" s="2"/>
      <c r="F751" s="10"/>
      <c r="G751" s="10"/>
      <c r="I751" s="2"/>
      <c r="J751" s="2"/>
      <c r="K751" s="2"/>
      <c r="L751" s="2"/>
      <c r="M751" s="2"/>
      <c r="N751" s="2"/>
      <c r="O751" s="2"/>
      <c r="P751" s="2"/>
      <c r="Q751" s="2"/>
      <c r="R751" s="2"/>
      <c r="S751" s="2"/>
      <c r="T751" s="2"/>
      <c r="U751" s="2"/>
      <c r="V751" s="2"/>
      <c r="W751" s="2"/>
      <c r="X751" s="2"/>
      <c r="Y751" s="2"/>
      <c r="Z751" s="2"/>
      <c r="AA751" s="2"/>
    </row>
    <row r="752">
      <c r="A752" s="2"/>
      <c r="B752" s="2"/>
      <c r="D752" s="2"/>
      <c r="E752" s="2"/>
      <c r="F752" s="10"/>
      <c r="G752" s="10"/>
      <c r="I752" s="2"/>
      <c r="J752" s="2"/>
      <c r="K752" s="2"/>
      <c r="L752" s="2"/>
      <c r="M752" s="2"/>
      <c r="N752" s="2"/>
      <c r="O752" s="2"/>
      <c r="P752" s="2"/>
      <c r="Q752" s="2"/>
      <c r="R752" s="2"/>
      <c r="S752" s="2"/>
      <c r="T752" s="2"/>
      <c r="U752" s="2"/>
      <c r="V752" s="2"/>
      <c r="W752" s="2"/>
      <c r="X752" s="2"/>
      <c r="Y752" s="2"/>
      <c r="Z752" s="2"/>
      <c r="AA752" s="2"/>
    </row>
    <row r="753">
      <c r="A753" s="2"/>
      <c r="B753" s="2"/>
      <c r="D753" s="2"/>
      <c r="E753" s="2"/>
      <c r="F753" s="10"/>
      <c r="G753" s="10"/>
      <c r="I753" s="2"/>
      <c r="J753" s="2"/>
      <c r="K753" s="2"/>
      <c r="L753" s="2"/>
      <c r="M753" s="2"/>
      <c r="N753" s="2"/>
      <c r="O753" s="2"/>
      <c r="P753" s="2"/>
      <c r="Q753" s="2"/>
      <c r="R753" s="2"/>
      <c r="S753" s="2"/>
      <c r="T753" s="2"/>
      <c r="U753" s="2"/>
      <c r="V753" s="2"/>
      <c r="W753" s="2"/>
      <c r="X753" s="2"/>
      <c r="Y753" s="2"/>
      <c r="Z753" s="2"/>
      <c r="AA753" s="2"/>
    </row>
    <row r="754">
      <c r="A754" s="2"/>
      <c r="B754" s="2"/>
      <c r="D754" s="2"/>
      <c r="E754" s="2"/>
      <c r="F754" s="10"/>
      <c r="G754" s="10"/>
      <c r="I754" s="2"/>
      <c r="J754" s="2"/>
      <c r="K754" s="2"/>
      <c r="L754" s="2"/>
      <c r="M754" s="2"/>
      <c r="N754" s="2"/>
      <c r="O754" s="2"/>
      <c r="P754" s="2"/>
      <c r="Q754" s="2"/>
      <c r="R754" s="2"/>
      <c r="S754" s="2"/>
      <c r="T754" s="2"/>
      <c r="U754" s="2"/>
      <c r="V754" s="2"/>
      <c r="W754" s="2"/>
      <c r="X754" s="2"/>
      <c r="Y754" s="2"/>
      <c r="Z754" s="2"/>
      <c r="AA754" s="2"/>
    </row>
    <row r="755">
      <c r="A755" s="2"/>
      <c r="B755" s="2"/>
      <c r="D755" s="2"/>
      <c r="E755" s="2"/>
      <c r="F755" s="10"/>
      <c r="G755" s="10"/>
      <c r="I755" s="2"/>
      <c r="J755" s="2"/>
      <c r="K755" s="2"/>
      <c r="L755" s="2"/>
      <c r="M755" s="2"/>
      <c r="N755" s="2"/>
      <c r="O755" s="2"/>
      <c r="P755" s="2"/>
      <c r="Q755" s="2"/>
      <c r="R755" s="2"/>
      <c r="S755" s="2"/>
      <c r="T755" s="2"/>
      <c r="U755" s="2"/>
      <c r="V755" s="2"/>
      <c r="W755" s="2"/>
      <c r="X755" s="2"/>
      <c r="Y755" s="2"/>
      <c r="Z755" s="2"/>
      <c r="AA755" s="2"/>
    </row>
    <row r="756">
      <c r="A756" s="2"/>
      <c r="B756" s="2"/>
      <c r="D756" s="2"/>
      <c r="E756" s="2"/>
      <c r="F756" s="10"/>
      <c r="G756" s="10"/>
      <c r="I756" s="2"/>
      <c r="J756" s="2"/>
      <c r="K756" s="2"/>
      <c r="L756" s="2"/>
      <c r="M756" s="2"/>
      <c r="N756" s="2"/>
      <c r="O756" s="2"/>
      <c r="P756" s="2"/>
      <c r="Q756" s="2"/>
      <c r="R756" s="2"/>
      <c r="S756" s="2"/>
      <c r="T756" s="2"/>
      <c r="U756" s="2"/>
      <c r="V756" s="2"/>
      <c r="W756" s="2"/>
      <c r="X756" s="2"/>
      <c r="Y756" s="2"/>
      <c r="Z756" s="2"/>
      <c r="AA756" s="2"/>
    </row>
    <row r="757">
      <c r="A757" s="2"/>
      <c r="B757" s="2"/>
      <c r="D757" s="2"/>
      <c r="E757" s="2"/>
      <c r="F757" s="10"/>
      <c r="G757" s="10"/>
      <c r="I757" s="2"/>
      <c r="J757" s="2"/>
      <c r="K757" s="2"/>
      <c r="L757" s="2"/>
      <c r="M757" s="2"/>
      <c r="N757" s="2"/>
      <c r="O757" s="2"/>
      <c r="P757" s="2"/>
      <c r="Q757" s="2"/>
      <c r="R757" s="2"/>
      <c r="S757" s="2"/>
      <c r="T757" s="2"/>
      <c r="U757" s="2"/>
      <c r="V757" s="2"/>
      <c r="W757" s="2"/>
      <c r="X757" s="2"/>
      <c r="Y757" s="2"/>
      <c r="Z757" s="2"/>
      <c r="AA757" s="2"/>
    </row>
    <row r="758">
      <c r="A758" s="2"/>
      <c r="B758" s="2"/>
      <c r="D758" s="2"/>
      <c r="E758" s="2"/>
      <c r="F758" s="10"/>
      <c r="G758" s="10"/>
      <c r="I758" s="2"/>
      <c r="J758" s="2"/>
      <c r="K758" s="2"/>
      <c r="L758" s="2"/>
      <c r="M758" s="2"/>
      <c r="N758" s="2"/>
      <c r="O758" s="2"/>
      <c r="P758" s="2"/>
      <c r="Q758" s="2"/>
      <c r="R758" s="2"/>
      <c r="S758" s="2"/>
      <c r="T758" s="2"/>
      <c r="U758" s="2"/>
      <c r="V758" s="2"/>
      <c r="W758" s="2"/>
      <c r="X758" s="2"/>
      <c r="Y758" s="2"/>
      <c r="Z758" s="2"/>
      <c r="AA758" s="2"/>
    </row>
    <row r="759">
      <c r="A759" s="2"/>
      <c r="B759" s="2"/>
      <c r="D759" s="2"/>
      <c r="E759" s="2"/>
      <c r="F759" s="10"/>
      <c r="G759" s="10"/>
      <c r="I759" s="2"/>
      <c r="J759" s="2"/>
      <c r="K759" s="2"/>
      <c r="L759" s="2"/>
      <c r="M759" s="2"/>
      <c r="N759" s="2"/>
      <c r="O759" s="2"/>
      <c r="P759" s="2"/>
      <c r="Q759" s="2"/>
      <c r="R759" s="2"/>
      <c r="S759" s="2"/>
      <c r="T759" s="2"/>
      <c r="U759" s="2"/>
      <c r="V759" s="2"/>
      <c r="W759" s="2"/>
      <c r="X759" s="2"/>
      <c r="Y759" s="2"/>
      <c r="Z759" s="2"/>
      <c r="AA759" s="2"/>
    </row>
    <row r="760">
      <c r="A760" s="2"/>
      <c r="B760" s="2"/>
      <c r="D760" s="2"/>
      <c r="E760" s="2"/>
      <c r="F760" s="10"/>
      <c r="G760" s="10"/>
      <c r="I760" s="2"/>
      <c r="J760" s="2"/>
      <c r="K760" s="2"/>
      <c r="L760" s="2"/>
      <c r="M760" s="2"/>
      <c r="N760" s="2"/>
      <c r="O760" s="2"/>
      <c r="P760" s="2"/>
      <c r="Q760" s="2"/>
      <c r="R760" s="2"/>
      <c r="S760" s="2"/>
      <c r="T760" s="2"/>
      <c r="U760" s="2"/>
      <c r="V760" s="2"/>
      <c r="W760" s="2"/>
      <c r="X760" s="2"/>
      <c r="Y760" s="2"/>
      <c r="Z760" s="2"/>
      <c r="AA760" s="2"/>
    </row>
    <row r="761">
      <c r="A761" s="2"/>
      <c r="B761" s="2"/>
      <c r="D761" s="2"/>
      <c r="E761" s="2"/>
      <c r="F761" s="10"/>
      <c r="G761" s="10"/>
      <c r="I761" s="2"/>
      <c r="J761" s="2"/>
      <c r="K761" s="2"/>
      <c r="L761" s="2"/>
      <c r="M761" s="2"/>
      <c r="N761" s="2"/>
      <c r="O761" s="2"/>
      <c r="P761" s="2"/>
      <c r="Q761" s="2"/>
      <c r="R761" s="2"/>
      <c r="S761" s="2"/>
      <c r="T761" s="2"/>
      <c r="U761" s="2"/>
      <c r="V761" s="2"/>
      <c r="W761" s="2"/>
      <c r="X761" s="2"/>
      <c r="Y761" s="2"/>
      <c r="Z761" s="2"/>
      <c r="AA761" s="2"/>
    </row>
    <row r="762">
      <c r="A762" s="2"/>
      <c r="B762" s="2"/>
      <c r="D762" s="2"/>
      <c r="E762" s="2"/>
      <c r="F762" s="10"/>
      <c r="G762" s="10"/>
      <c r="I762" s="2"/>
      <c r="J762" s="2"/>
      <c r="K762" s="2"/>
      <c r="L762" s="2"/>
      <c r="M762" s="2"/>
      <c r="N762" s="2"/>
      <c r="O762" s="2"/>
      <c r="P762" s="2"/>
      <c r="Q762" s="2"/>
      <c r="R762" s="2"/>
      <c r="S762" s="2"/>
      <c r="T762" s="2"/>
      <c r="U762" s="2"/>
      <c r="V762" s="2"/>
      <c r="W762" s="2"/>
      <c r="X762" s="2"/>
      <c r="Y762" s="2"/>
      <c r="Z762" s="2"/>
      <c r="AA762" s="2"/>
    </row>
    <row r="763">
      <c r="A763" s="2"/>
      <c r="B763" s="2"/>
      <c r="D763" s="2"/>
      <c r="E763" s="2"/>
      <c r="F763" s="10"/>
      <c r="G763" s="10"/>
      <c r="I763" s="2"/>
      <c r="J763" s="2"/>
      <c r="K763" s="2"/>
      <c r="L763" s="2"/>
      <c r="M763" s="2"/>
      <c r="N763" s="2"/>
      <c r="O763" s="2"/>
      <c r="P763" s="2"/>
      <c r="Q763" s="2"/>
      <c r="R763" s="2"/>
      <c r="S763" s="2"/>
      <c r="T763" s="2"/>
      <c r="U763" s="2"/>
      <c r="V763" s="2"/>
      <c r="W763" s="2"/>
      <c r="X763" s="2"/>
      <c r="Y763" s="2"/>
      <c r="Z763" s="2"/>
      <c r="AA763" s="2"/>
    </row>
    <row r="764">
      <c r="A764" s="2"/>
      <c r="B764" s="2"/>
      <c r="D764" s="2"/>
      <c r="E764" s="2"/>
      <c r="F764" s="10"/>
      <c r="G764" s="10"/>
      <c r="I764" s="2"/>
      <c r="J764" s="2"/>
      <c r="K764" s="2"/>
      <c r="L764" s="2"/>
      <c r="M764" s="2"/>
      <c r="N764" s="2"/>
      <c r="O764" s="2"/>
      <c r="P764" s="2"/>
      <c r="Q764" s="2"/>
      <c r="R764" s="2"/>
      <c r="S764" s="2"/>
      <c r="T764" s="2"/>
      <c r="U764" s="2"/>
      <c r="V764" s="2"/>
      <c r="W764" s="2"/>
      <c r="X764" s="2"/>
      <c r="Y764" s="2"/>
      <c r="Z764" s="2"/>
      <c r="AA764" s="2"/>
    </row>
    <row r="765">
      <c r="A765" s="2"/>
      <c r="B765" s="2"/>
      <c r="D765" s="2"/>
      <c r="E765" s="2"/>
      <c r="F765" s="10"/>
      <c r="G765" s="10"/>
      <c r="I765" s="2"/>
      <c r="J765" s="2"/>
      <c r="K765" s="2"/>
      <c r="L765" s="2"/>
      <c r="M765" s="2"/>
      <c r="N765" s="2"/>
      <c r="O765" s="2"/>
      <c r="P765" s="2"/>
      <c r="Q765" s="2"/>
      <c r="R765" s="2"/>
      <c r="S765" s="2"/>
      <c r="T765" s="2"/>
      <c r="U765" s="2"/>
      <c r="V765" s="2"/>
      <c r="W765" s="2"/>
      <c r="X765" s="2"/>
      <c r="Y765" s="2"/>
      <c r="Z765" s="2"/>
      <c r="AA765" s="2"/>
    </row>
    <row r="766">
      <c r="A766" s="2"/>
      <c r="B766" s="2"/>
      <c r="D766" s="2"/>
      <c r="E766" s="2"/>
      <c r="F766" s="10"/>
      <c r="G766" s="10"/>
      <c r="I766" s="2"/>
      <c r="J766" s="2"/>
      <c r="K766" s="2"/>
      <c r="L766" s="2"/>
      <c r="M766" s="2"/>
      <c r="N766" s="2"/>
      <c r="O766" s="2"/>
      <c r="P766" s="2"/>
      <c r="Q766" s="2"/>
      <c r="R766" s="2"/>
      <c r="S766" s="2"/>
      <c r="T766" s="2"/>
      <c r="U766" s="2"/>
      <c r="V766" s="2"/>
      <c r="W766" s="2"/>
      <c r="X766" s="2"/>
      <c r="Y766" s="2"/>
      <c r="Z766" s="2"/>
      <c r="AA766" s="2"/>
    </row>
    <row r="767">
      <c r="A767" s="2"/>
      <c r="B767" s="2"/>
      <c r="D767" s="2"/>
      <c r="E767" s="2"/>
      <c r="F767" s="10"/>
      <c r="G767" s="10"/>
      <c r="I767" s="2"/>
      <c r="J767" s="2"/>
      <c r="K767" s="2"/>
      <c r="L767" s="2"/>
      <c r="M767" s="2"/>
      <c r="N767" s="2"/>
      <c r="O767" s="2"/>
      <c r="P767" s="2"/>
      <c r="Q767" s="2"/>
      <c r="R767" s="2"/>
      <c r="S767" s="2"/>
      <c r="T767" s="2"/>
      <c r="U767" s="2"/>
      <c r="V767" s="2"/>
      <c r="W767" s="2"/>
      <c r="X767" s="2"/>
      <c r="Y767" s="2"/>
      <c r="Z767" s="2"/>
      <c r="AA767" s="2"/>
    </row>
    <row r="768">
      <c r="A768" s="2"/>
      <c r="B768" s="2"/>
      <c r="D768" s="2"/>
      <c r="E768" s="2"/>
      <c r="F768" s="10"/>
      <c r="G768" s="10"/>
      <c r="I768" s="2"/>
      <c r="J768" s="2"/>
      <c r="K768" s="2"/>
      <c r="L768" s="2"/>
      <c r="M768" s="2"/>
      <c r="N768" s="2"/>
      <c r="O768" s="2"/>
      <c r="P768" s="2"/>
      <c r="Q768" s="2"/>
      <c r="R768" s="2"/>
      <c r="S768" s="2"/>
      <c r="T768" s="2"/>
      <c r="U768" s="2"/>
      <c r="V768" s="2"/>
      <c r="W768" s="2"/>
      <c r="X768" s="2"/>
      <c r="Y768" s="2"/>
      <c r="Z768" s="2"/>
      <c r="AA768" s="2"/>
    </row>
    <row r="769">
      <c r="A769" s="2"/>
      <c r="B769" s="2"/>
      <c r="D769" s="2"/>
      <c r="E769" s="2"/>
      <c r="F769" s="10"/>
      <c r="G769" s="10"/>
      <c r="I769" s="2"/>
      <c r="J769" s="2"/>
      <c r="K769" s="2"/>
      <c r="L769" s="2"/>
      <c r="M769" s="2"/>
      <c r="N769" s="2"/>
      <c r="O769" s="2"/>
      <c r="P769" s="2"/>
      <c r="Q769" s="2"/>
      <c r="R769" s="2"/>
      <c r="S769" s="2"/>
      <c r="T769" s="2"/>
      <c r="U769" s="2"/>
      <c r="V769" s="2"/>
      <c r="W769" s="2"/>
      <c r="X769" s="2"/>
      <c r="Y769" s="2"/>
      <c r="Z769" s="2"/>
      <c r="AA769" s="2"/>
    </row>
    <row r="770">
      <c r="A770" s="2"/>
      <c r="B770" s="2"/>
      <c r="D770" s="2"/>
      <c r="E770" s="2"/>
      <c r="F770" s="10"/>
      <c r="G770" s="10"/>
      <c r="I770" s="2"/>
      <c r="J770" s="2"/>
      <c r="K770" s="2"/>
      <c r="L770" s="2"/>
      <c r="M770" s="2"/>
      <c r="N770" s="2"/>
      <c r="O770" s="2"/>
      <c r="P770" s="2"/>
      <c r="Q770" s="2"/>
      <c r="R770" s="2"/>
      <c r="S770" s="2"/>
      <c r="T770" s="2"/>
      <c r="U770" s="2"/>
      <c r="V770" s="2"/>
      <c r="W770" s="2"/>
      <c r="X770" s="2"/>
      <c r="Y770" s="2"/>
      <c r="Z770" s="2"/>
      <c r="AA770" s="2"/>
    </row>
    <row r="771">
      <c r="A771" s="2"/>
      <c r="B771" s="2"/>
      <c r="D771" s="2"/>
      <c r="E771" s="2"/>
      <c r="F771" s="10"/>
      <c r="G771" s="10"/>
      <c r="I771" s="2"/>
      <c r="J771" s="2"/>
      <c r="K771" s="2"/>
      <c r="L771" s="2"/>
      <c r="M771" s="2"/>
      <c r="N771" s="2"/>
      <c r="O771" s="2"/>
      <c r="P771" s="2"/>
      <c r="Q771" s="2"/>
      <c r="R771" s="2"/>
      <c r="S771" s="2"/>
      <c r="T771" s="2"/>
      <c r="U771" s="2"/>
      <c r="V771" s="2"/>
      <c r="W771" s="2"/>
      <c r="X771" s="2"/>
      <c r="Y771" s="2"/>
      <c r="Z771" s="2"/>
      <c r="AA771" s="2"/>
    </row>
    <row r="772">
      <c r="A772" s="2"/>
      <c r="B772" s="2"/>
      <c r="D772" s="2"/>
      <c r="E772" s="2"/>
      <c r="F772" s="10"/>
      <c r="G772" s="10"/>
      <c r="I772" s="2"/>
      <c r="J772" s="2"/>
      <c r="K772" s="2"/>
      <c r="L772" s="2"/>
      <c r="M772" s="2"/>
      <c r="N772" s="2"/>
      <c r="O772" s="2"/>
      <c r="P772" s="2"/>
      <c r="Q772" s="2"/>
      <c r="R772" s="2"/>
      <c r="S772" s="2"/>
      <c r="T772" s="2"/>
      <c r="U772" s="2"/>
      <c r="V772" s="2"/>
      <c r="W772" s="2"/>
      <c r="X772" s="2"/>
      <c r="Y772" s="2"/>
      <c r="Z772" s="2"/>
      <c r="AA772" s="2"/>
    </row>
    <row r="773">
      <c r="A773" s="2"/>
      <c r="B773" s="2"/>
      <c r="D773" s="2"/>
      <c r="E773" s="2"/>
      <c r="F773" s="10"/>
      <c r="G773" s="10"/>
      <c r="I773" s="2"/>
      <c r="J773" s="2"/>
      <c r="K773" s="2"/>
      <c r="L773" s="2"/>
      <c r="M773" s="2"/>
      <c r="N773" s="2"/>
      <c r="O773" s="2"/>
      <c r="P773" s="2"/>
      <c r="Q773" s="2"/>
      <c r="R773" s="2"/>
      <c r="S773" s="2"/>
      <c r="T773" s="2"/>
      <c r="U773" s="2"/>
      <c r="V773" s="2"/>
      <c r="W773" s="2"/>
      <c r="X773" s="2"/>
      <c r="Y773" s="2"/>
      <c r="Z773" s="2"/>
      <c r="AA773" s="2"/>
    </row>
    <row r="774">
      <c r="A774" s="2"/>
      <c r="B774" s="2"/>
      <c r="D774" s="2"/>
      <c r="E774" s="2"/>
      <c r="F774" s="10"/>
      <c r="G774" s="10"/>
      <c r="I774" s="2"/>
      <c r="J774" s="2"/>
      <c r="K774" s="2"/>
      <c r="L774" s="2"/>
      <c r="M774" s="2"/>
      <c r="N774" s="2"/>
      <c r="O774" s="2"/>
      <c r="P774" s="2"/>
      <c r="Q774" s="2"/>
      <c r="R774" s="2"/>
      <c r="S774" s="2"/>
      <c r="T774" s="2"/>
      <c r="U774" s="2"/>
      <c r="V774" s="2"/>
      <c r="W774" s="2"/>
      <c r="X774" s="2"/>
      <c r="Y774" s="2"/>
      <c r="Z774" s="2"/>
      <c r="AA774" s="2"/>
    </row>
    <row r="775">
      <c r="A775" s="2"/>
      <c r="B775" s="2"/>
      <c r="D775" s="2"/>
      <c r="E775" s="2"/>
      <c r="F775" s="10"/>
      <c r="G775" s="10"/>
      <c r="I775" s="2"/>
      <c r="J775" s="2"/>
      <c r="K775" s="2"/>
      <c r="L775" s="2"/>
      <c r="M775" s="2"/>
      <c r="N775" s="2"/>
      <c r="O775" s="2"/>
      <c r="P775" s="2"/>
      <c r="Q775" s="2"/>
      <c r="R775" s="2"/>
      <c r="S775" s="2"/>
      <c r="T775" s="2"/>
      <c r="U775" s="2"/>
      <c r="V775" s="2"/>
      <c r="W775" s="2"/>
      <c r="X775" s="2"/>
      <c r="Y775" s="2"/>
      <c r="Z775" s="2"/>
      <c r="AA775" s="2"/>
    </row>
    <row r="776">
      <c r="A776" s="2"/>
      <c r="B776" s="2"/>
      <c r="D776" s="2"/>
      <c r="E776" s="2"/>
      <c r="F776" s="10"/>
      <c r="G776" s="10"/>
      <c r="I776" s="2"/>
      <c r="J776" s="2"/>
      <c r="K776" s="2"/>
      <c r="L776" s="2"/>
      <c r="M776" s="2"/>
      <c r="N776" s="2"/>
      <c r="O776" s="2"/>
      <c r="P776" s="2"/>
      <c r="Q776" s="2"/>
      <c r="R776" s="2"/>
      <c r="S776" s="2"/>
      <c r="T776" s="2"/>
      <c r="U776" s="2"/>
      <c r="V776" s="2"/>
      <c r="W776" s="2"/>
      <c r="X776" s="2"/>
      <c r="Y776" s="2"/>
      <c r="Z776" s="2"/>
      <c r="AA776" s="2"/>
    </row>
    <row r="777">
      <c r="A777" s="2"/>
      <c r="B777" s="2"/>
      <c r="D777" s="2"/>
      <c r="E777" s="2"/>
      <c r="F777" s="10"/>
      <c r="G777" s="10"/>
      <c r="I777" s="2"/>
      <c r="J777" s="2"/>
      <c r="K777" s="2"/>
      <c r="L777" s="2"/>
      <c r="M777" s="2"/>
      <c r="N777" s="2"/>
      <c r="O777" s="2"/>
      <c r="P777" s="2"/>
      <c r="Q777" s="2"/>
      <c r="R777" s="2"/>
      <c r="S777" s="2"/>
      <c r="T777" s="2"/>
      <c r="U777" s="2"/>
      <c r="V777" s="2"/>
      <c r="W777" s="2"/>
      <c r="X777" s="2"/>
      <c r="Y777" s="2"/>
      <c r="Z777" s="2"/>
      <c r="AA777" s="2"/>
    </row>
    <row r="778">
      <c r="A778" s="2"/>
      <c r="B778" s="2"/>
      <c r="D778" s="2"/>
      <c r="E778" s="2"/>
      <c r="F778" s="10"/>
      <c r="G778" s="10"/>
      <c r="I778" s="2"/>
      <c r="J778" s="2"/>
      <c r="K778" s="2"/>
      <c r="L778" s="2"/>
      <c r="M778" s="2"/>
      <c r="N778" s="2"/>
      <c r="O778" s="2"/>
      <c r="P778" s="2"/>
      <c r="Q778" s="2"/>
      <c r="R778" s="2"/>
      <c r="S778" s="2"/>
      <c r="T778" s="2"/>
      <c r="U778" s="2"/>
      <c r="V778" s="2"/>
      <c r="W778" s="2"/>
      <c r="X778" s="2"/>
      <c r="Y778" s="2"/>
      <c r="Z778" s="2"/>
      <c r="AA778" s="2"/>
    </row>
    <row r="779">
      <c r="A779" s="2"/>
      <c r="B779" s="2"/>
      <c r="D779" s="2"/>
      <c r="E779" s="2"/>
      <c r="F779" s="10"/>
      <c r="G779" s="10"/>
      <c r="I779" s="2"/>
      <c r="J779" s="2"/>
      <c r="K779" s="2"/>
      <c r="L779" s="2"/>
      <c r="M779" s="2"/>
      <c r="N779" s="2"/>
      <c r="O779" s="2"/>
      <c r="P779" s="2"/>
      <c r="Q779" s="2"/>
      <c r="R779" s="2"/>
      <c r="S779" s="2"/>
      <c r="T779" s="2"/>
      <c r="U779" s="2"/>
      <c r="V779" s="2"/>
      <c r="W779" s="2"/>
      <c r="X779" s="2"/>
      <c r="Y779" s="2"/>
      <c r="Z779" s="2"/>
      <c r="AA779" s="2"/>
    </row>
    <row r="780">
      <c r="A780" s="2"/>
      <c r="B780" s="2"/>
      <c r="D780" s="2"/>
      <c r="E780" s="2"/>
      <c r="F780" s="10"/>
      <c r="G780" s="10"/>
      <c r="I780" s="2"/>
      <c r="J780" s="2"/>
      <c r="K780" s="2"/>
      <c r="L780" s="2"/>
      <c r="M780" s="2"/>
      <c r="N780" s="2"/>
      <c r="O780" s="2"/>
      <c r="P780" s="2"/>
      <c r="Q780" s="2"/>
      <c r="R780" s="2"/>
      <c r="S780" s="2"/>
      <c r="T780" s="2"/>
      <c r="U780" s="2"/>
      <c r="V780" s="2"/>
      <c r="W780" s="2"/>
      <c r="X780" s="2"/>
      <c r="Y780" s="2"/>
      <c r="Z780" s="2"/>
      <c r="AA780" s="2"/>
    </row>
    <row r="781">
      <c r="A781" s="2"/>
      <c r="B781" s="2"/>
      <c r="D781" s="2"/>
      <c r="E781" s="2"/>
      <c r="F781" s="10"/>
      <c r="G781" s="10"/>
      <c r="I781" s="2"/>
      <c r="J781" s="2"/>
      <c r="K781" s="2"/>
      <c r="L781" s="2"/>
      <c r="M781" s="2"/>
      <c r="N781" s="2"/>
      <c r="O781" s="2"/>
      <c r="P781" s="2"/>
      <c r="Q781" s="2"/>
      <c r="R781" s="2"/>
      <c r="S781" s="2"/>
      <c r="T781" s="2"/>
      <c r="U781" s="2"/>
      <c r="V781" s="2"/>
      <c r="W781" s="2"/>
      <c r="X781" s="2"/>
      <c r="Y781" s="2"/>
      <c r="Z781" s="2"/>
      <c r="AA781" s="2"/>
    </row>
    <row r="782">
      <c r="A782" s="2"/>
      <c r="B782" s="2"/>
      <c r="D782" s="2"/>
      <c r="E782" s="2"/>
      <c r="F782" s="10"/>
      <c r="G782" s="10"/>
      <c r="I782" s="2"/>
      <c r="J782" s="2"/>
      <c r="K782" s="2"/>
      <c r="L782" s="2"/>
      <c r="M782" s="2"/>
      <c r="N782" s="2"/>
      <c r="O782" s="2"/>
      <c r="P782" s="2"/>
      <c r="Q782" s="2"/>
      <c r="R782" s="2"/>
      <c r="S782" s="2"/>
      <c r="T782" s="2"/>
      <c r="U782" s="2"/>
      <c r="V782" s="2"/>
      <c r="W782" s="2"/>
      <c r="X782" s="2"/>
      <c r="Y782" s="2"/>
      <c r="Z782" s="2"/>
      <c r="AA782" s="2"/>
    </row>
    <row r="783">
      <c r="A783" s="2"/>
      <c r="B783" s="2"/>
      <c r="D783" s="2"/>
      <c r="E783" s="2"/>
      <c r="F783" s="10"/>
      <c r="G783" s="10"/>
      <c r="I783" s="2"/>
      <c r="J783" s="2"/>
      <c r="K783" s="2"/>
      <c r="L783" s="2"/>
      <c r="M783" s="2"/>
      <c r="N783" s="2"/>
      <c r="O783" s="2"/>
      <c r="P783" s="2"/>
      <c r="Q783" s="2"/>
      <c r="R783" s="2"/>
      <c r="S783" s="2"/>
      <c r="T783" s="2"/>
      <c r="U783" s="2"/>
      <c r="V783" s="2"/>
      <c r="W783" s="2"/>
      <c r="X783" s="2"/>
      <c r="Y783" s="2"/>
      <c r="Z783" s="2"/>
      <c r="AA783" s="2"/>
    </row>
    <row r="784">
      <c r="A784" s="2"/>
      <c r="B784" s="2"/>
      <c r="D784" s="2"/>
      <c r="E784" s="2"/>
      <c r="F784" s="10"/>
      <c r="G784" s="10"/>
      <c r="I784" s="2"/>
      <c r="J784" s="2"/>
      <c r="K784" s="2"/>
      <c r="L784" s="2"/>
      <c r="M784" s="2"/>
      <c r="N784" s="2"/>
      <c r="O784" s="2"/>
      <c r="P784" s="2"/>
      <c r="Q784" s="2"/>
      <c r="R784" s="2"/>
      <c r="S784" s="2"/>
      <c r="T784" s="2"/>
      <c r="U784" s="2"/>
      <c r="V784" s="2"/>
      <c r="W784" s="2"/>
      <c r="X784" s="2"/>
      <c r="Y784" s="2"/>
      <c r="Z784" s="2"/>
      <c r="AA784" s="2"/>
    </row>
    <row r="785">
      <c r="A785" s="2"/>
      <c r="B785" s="2"/>
      <c r="D785" s="2"/>
      <c r="E785" s="2"/>
      <c r="F785" s="10"/>
      <c r="G785" s="10"/>
      <c r="I785" s="2"/>
      <c r="J785" s="2"/>
      <c r="K785" s="2"/>
      <c r="L785" s="2"/>
      <c r="M785" s="2"/>
      <c r="N785" s="2"/>
      <c r="O785" s="2"/>
      <c r="P785" s="2"/>
      <c r="Q785" s="2"/>
      <c r="R785" s="2"/>
      <c r="S785" s="2"/>
      <c r="T785" s="2"/>
      <c r="U785" s="2"/>
      <c r="V785" s="2"/>
      <c r="W785" s="2"/>
      <c r="X785" s="2"/>
      <c r="Y785" s="2"/>
      <c r="Z785" s="2"/>
      <c r="AA785" s="2"/>
    </row>
    <row r="786">
      <c r="A786" s="2"/>
      <c r="B786" s="2"/>
      <c r="D786" s="2"/>
      <c r="E786" s="2"/>
      <c r="F786" s="10"/>
      <c r="G786" s="10"/>
      <c r="I786" s="2"/>
      <c r="J786" s="2"/>
      <c r="K786" s="2"/>
      <c r="L786" s="2"/>
      <c r="M786" s="2"/>
      <c r="N786" s="2"/>
      <c r="O786" s="2"/>
      <c r="P786" s="2"/>
      <c r="Q786" s="2"/>
      <c r="R786" s="2"/>
      <c r="S786" s="2"/>
      <c r="T786" s="2"/>
      <c r="U786" s="2"/>
      <c r="V786" s="2"/>
      <c r="W786" s="2"/>
      <c r="X786" s="2"/>
      <c r="Y786" s="2"/>
      <c r="Z786" s="2"/>
      <c r="AA786" s="2"/>
    </row>
    <row r="787">
      <c r="A787" s="2"/>
      <c r="B787" s="2"/>
      <c r="D787" s="2"/>
      <c r="E787" s="2"/>
      <c r="F787" s="10"/>
      <c r="G787" s="10"/>
      <c r="I787" s="2"/>
      <c r="J787" s="2"/>
      <c r="K787" s="2"/>
      <c r="L787" s="2"/>
      <c r="M787" s="2"/>
      <c r="N787" s="2"/>
      <c r="O787" s="2"/>
      <c r="P787" s="2"/>
      <c r="Q787" s="2"/>
      <c r="R787" s="2"/>
      <c r="S787" s="2"/>
      <c r="T787" s="2"/>
      <c r="U787" s="2"/>
      <c r="V787" s="2"/>
      <c r="W787" s="2"/>
      <c r="X787" s="2"/>
      <c r="Y787" s="2"/>
      <c r="Z787" s="2"/>
      <c r="AA787" s="2"/>
    </row>
    <row r="788">
      <c r="A788" s="2"/>
      <c r="B788" s="2"/>
      <c r="D788" s="2"/>
      <c r="E788" s="2"/>
      <c r="F788" s="10"/>
      <c r="G788" s="10"/>
      <c r="I788" s="2"/>
      <c r="J788" s="2"/>
      <c r="K788" s="2"/>
      <c r="L788" s="2"/>
      <c r="M788" s="2"/>
      <c r="N788" s="2"/>
      <c r="O788" s="2"/>
      <c r="P788" s="2"/>
      <c r="Q788" s="2"/>
      <c r="R788" s="2"/>
      <c r="S788" s="2"/>
      <c r="T788" s="2"/>
      <c r="U788" s="2"/>
      <c r="V788" s="2"/>
      <c r="W788" s="2"/>
      <c r="X788" s="2"/>
      <c r="Y788" s="2"/>
      <c r="Z788" s="2"/>
      <c r="AA788" s="2"/>
    </row>
    <row r="789">
      <c r="A789" s="2"/>
      <c r="B789" s="2"/>
      <c r="D789" s="2"/>
      <c r="E789" s="2"/>
      <c r="F789" s="10"/>
      <c r="G789" s="10"/>
      <c r="I789" s="2"/>
      <c r="J789" s="2"/>
      <c r="K789" s="2"/>
      <c r="L789" s="2"/>
      <c r="M789" s="2"/>
      <c r="N789" s="2"/>
      <c r="O789" s="2"/>
      <c r="P789" s="2"/>
      <c r="Q789" s="2"/>
      <c r="R789" s="2"/>
      <c r="S789" s="2"/>
      <c r="T789" s="2"/>
      <c r="U789" s="2"/>
      <c r="V789" s="2"/>
      <c r="W789" s="2"/>
      <c r="X789" s="2"/>
      <c r="Y789" s="2"/>
      <c r="Z789" s="2"/>
      <c r="AA789" s="2"/>
    </row>
    <row r="790">
      <c r="A790" s="2"/>
      <c r="B790" s="2"/>
      <c r="D790" s="2"/>
      <c r="E790" s="2"/>
      <c r="F790" s="10"/>
      <c r="G790" s="10"/>
      <c r="I790" s="2"/>
      <c r="J790" s="2"/>
      <c r="K790" s="2"/>
      <c r="L790" s="2"/>
      <c r="M790" s="2"/>
      <c r="N790" s="2"/>
      <c r="O790" s="2"/>
      <c r="P790" s="2"/>
      <c r="Q790" s="2"/>
      <c r="R790" s="2"/>
      <c r="S790" s="2"/>
      <c r="T790" s="2"/>
      <c r="U790" s="2"/>
      <c r="V790" s="2"/>
      <c r="W790" s="2"/>
      <c r="X790" s="2"/>
      <c r="Y790" s="2"/>
      <c r="Z790" s="2"/>
      <c r="AA790" s="2"/>
    </row>
    <row r="791">
      <c r="A791" s="2"/>
      <c r="B791" s="2"/>
      <c r="D791" s="2"/>
      <c r="E791" s="2"/>
      <c r="F791" s="10"/>
      <c r="G791" s="10"/>
      <c r="I791" s="2"/>
      <c r="J791" s="2"/>
      <c r="K791" s="2"/>
      <c r="L791" s="2"/>
      <c r="M791" s="2"/>
      <c r="N791" s="2"/>
      <c r="O791" s="2"/>
      <c r="P791" s="2"/>
      <c r="Q791" s="2"/>
      <c r="R791" s="2"/>
      <c r="S791" s="2"/>
      <c r="T791" s="2"/>
      <c r="U791" s="2"/>
      <c r="V791" s="2"/>
      <c r="W791" s="2"/>
      <c r="X791" s="2"/>
      <c r="Y791" s="2"/>
      <c r="Z791" s="2"/>
      <c r="AA791" s="2"/>
    </row>
    <row r="792">
      <c r="A792" s="2"/>
      <c r="B792" s="2"/>
      <c r="D792" s="2"/>
      <c r="E792" s="2"/>
      <c r="F792" s="10"/>
      <c r="G792" s="10"/>
      <c r="I792" s="2"/>
      <c r="J792" s="2"/>
      <c r="K792" s="2"/>
      <c r="L792" s="2"/>
      <c r="M792" s="2"/>
      <c r="N792" s="2"/>
      <c r="O792" s="2"/>
      <c r="P792" s="2"/>
      <c r="Q792" s="2"/>
      <c r="R792" s="2"/>
      <c r="S792" s="2"/>
      <c r="T792" s="2"/>
      <c r="U792" s="2"/>
      <c r="V792" s="2"/>
      <c r="W792" s="2"/>
      <c r="X792" s="2"/>
      <c r="Y792" s="2"/>
      <c r="Z792" s="2"/>
      <c r="AA792" s="2"/>
    </row>
    <row r="793">
      <c r="A793" s="2"/>
      <c r="B793" s="2"/>
      <c r="D793" s="2"/>
      <c r="E793" s="2"/>
      <c r="F793" s="10"/>
      <c r="G793" s="10"/>
      <c r="I793" s="2"/>
      <c r="J793" s="2"/>
      <c r="K793" s="2"/>
      <c r="L793" s="2"/>
      <c r="M793" s="2"/>
      <c r="N793" s="2"/>
      <c r="O793" s="2"/>
      <c r="P793" s="2"/>
      <c r="Q793" s="2"/>
      <c r="R793" s="2"/>
      <c r="S793" s="2"/>
      <c r="T793" s="2"/>
      <c r="U793" s="2"/>
      <c r="V793" s="2"/>
      <c r="W793" s="2"/>
      <c r="X793" s="2"/>
      <c r="Y793" s="2"/>
      <c r="Z793" s="2"/>
      <c r="AA793" s="2"/>
    </row>
    <row r="794">
      <c r="A794" s="2"/>
      <c r="B794" s="2"/>
      <c r="D794" s="2"/>
      <c r="E794" s="2"/>
      <c r="F794" s="10"/>
      <c r="G794" s="10"/>
      <c r="I794" s="2"/>
      <c r="J794" s="2"/>
      <c r="K794" s="2"/>
      <c r="L794" s="2"/>
      <c r="M794" s="2"/>
      <c r="N794" s="2"/>
      <c r="O794" s="2"/>
      <c r="P794" s="2"/>
      <c r="Q794" s="2"/>
      <c r="R794" s="2"/>
      <c r="S794" s="2"/>
      <c r="T794" s="2"/>
      <c r="U794" s="2"/>
      <c r="V794" s="2"/>
      <c r="W794" s="2"/>
      <c r="X794" s="2"/>
      <c r="Y794" s="2"/>
      <c r="Z794" s="2"/>
      <c r="AA794" s="2"/>
    </row>
    <row r="795">
      <c r="A795" s="2"/>
      <c r="B795" s="2"/>
      <c r="D795" s="2"/>
      <c r="E795" s="2"/>
      <c r="F795" s="10"/>
      <c r="G795" s="10"/>
      <c r="I795" s="2"/>
      <c r="J795" s="2"/>
      <c r="K795" s="2"/>
      <c r="L795" s="2"/>
      <c r="M795" s="2"/>
      <c r="N795" s="2"/>
      <c r="O795" s="2"/>
      <c r="P795" s="2"/>
      <c r="Q795" s="2"/>
      <c r="R795" s="2"/>
      <c r="S795" s="2"/>
      <c r="T795" s="2"/>
      <c r="U795" s="2"/>
      <c r="V795" s="2"/>
      <c r="W795" s="2"/>
      <c r="X795" s="2"/>
      <c r="Y795" s="2"/>
      <c r="Z795" s="2"/>
      <c r="AA795" s="2"/>
    </row>
    <row r="796">
      <c r="A796" s="2"/>
      <c r="B796" s="2"/>
      <c r="D796" s="2"/>
      <c r="E796" s="2"/>
      <c r="F796" s="10"/>
      <c r="G796" s="10"/>
      <c r="I796" s="2"/>
      <c r="J796" s="2"/>
      <c r="K796" s="2"/>
      <c r="L796" s="2"/>
      <c r="M796" s="2"/>
      <c r="N796" s="2"/>
      <c r="O796" s="2"/>
      <c r="P796" s="2"/>
      <c r="Q796" s="2"/>
      <c r="R796" s="2"/>
      <c r="S796" s="2"/>
      <c r="T796" s="2"/>
      <c r="U796" s="2"/>
      <c r="V796" s="2"/>
      <c r="W796" s="2"/>
      <c r="X796" s="2"/>
      <c r="Y796" s="2"/>
      <c r="Z796" s="2"/>
      <c r="AA796" s="2"/>
    </row>
    <row r="797">
      <c r="A797" s="2"/>
      <c r="B797" s="2"/>
      <c r="D797" s="2"/>
      <c r="E797" s="2"/>
      <c r="F797" s="10"/>
      <c r="G797" s="10"/>
      <c r="I797" s="2"/>
      <c r="J797" s="2"/>
      <c r="K797" s="2"/>
      <c r="L797" s="2"/>
      <c r="M797" s="2"/>
      <c r="N797" s="2"/>
      <c r="O797" s="2"/>
      <c r="P797" s="2"/>
      <c r="Q797" s="2"/>
      <c r="R797" s="2"/>
      <c r="S797" s="2"/>
      <c r="T797" s="2"/>
      <c r="U797" s="2"/>
      <c r="V797" s="2"/>
      <c r="W797" s="2"/>
      <c r="X797" s="2"/>
      <c r="Y797" s="2"/>
      <c r="Z797" s="2"/>
      <c r="AA797" s="2"/>
    </row>
    <row r="798">
      <c r="A798" s="2"/>
      <c r="B798" s="2"/>
      <c r="D798" s="2"/>
      <c r="E798" s="2"/>
      <c r="F798" s="10"/>
      <c r="G798" s="10"/>
      <c r="I798" s="2"/>
      <c r="J798" s="2"/>
      <c r="K798" s="2"/>
      <c r="L798" s="2"/>
      <c r="M798" s="2"/>
      <c r="N798" s="2"/>
      <c r="O798" s="2"/>
      <c r="P798" s="2"/>
      <c r="Q798" s="2"/>
      <c r="R798" s="2"/>
      <c r="S798" s="2"/>
      <c r="T798" s="2"/>
      <c r="U798" s="2"/>
      <c r="V798" s="2"/>
      <c r="W798" s="2"/>
      <c r="X798" s="2"/>
      <c r="Y798" s="2"/>
      <c r="Z798" s="2"/>
      <c r="AA798" s="2"/>
    </row>
    <row r="799">
      <c r="A799" s="2"/>
      <c r="B799" s="2"/>
      <c r="D799" s="2"/>
      <c r="E799" s="2"/>
      <c r="F799" s="10"/>
      <c r="G799" s="10"/>
      <c r="I799" s="2"/>
      <c r="J799" s="2"/>
      <c r="K799" s="2"/>
      <c r="L799" s="2"/>
      <c r="M799" s="2"/>
      <c r="N799" s="2"/>
      <c r="O799" s="2"/>
      <c r="P799" s="2"/>
      <c r="Q799" s="2"/>
      <c r="R799" s="2"/>
      <c r="S799" s="2"/>
      <c r="T799" s="2"/>
      <c r="U799" s="2"/>
      <c r="V799" s="2"/>
      <c r="W799" s="2"/>
      <c r="X799" s="2"/>
      <c r="Y799" s="2"/>
      <c r="Z799" s="2"/>
      <c r="AA799" s="2"/>
    </row>
    <row r="800">
      <c r="A800" s="2"/>
      <c r="B800" s="2"/>
      <c r="D800" s="2"/>
      <c r="E800" s="2"/>
      <c r="F800" s="10"/>
      <c r="G800" s="10"/>
      <c r="I800" s="2"/>
      <c r="J800" s="2"/>
      <c r="K800" s="2"/>
      <c r="L800" s="2"/>
      <c r="M800" s="2"/>
      <c r="N800" s="2"/>
      <c r="O800" s="2"/>
      <c r="P800" s="2"/>
      <c r="Q800" s="2"/>
      <c r="R800" s="2"/>
      <c r="S800" s="2"/>
      <c r="T800" s="2"/>
      <c r="U800" s="2"/>
      <c r="V800" s="2"/>
      <c r="W800" s="2"/>
      <c r="X800" s="2"/>
      <c r="Y800" s="2"/>
      <c r="Z800" s="2"/>
      <c r="AA800" s="2"/>
    </row>
    <row r="801">
      <c r="A801" s="2"/>
      <c r="B801" s="2"/>
      <c r="D801" s="2"/>
      <c r="E801" s="2"/>
      <c r="F801" s="10"/>
      <c r="G801" s="10"/>
      <c r="I801" s="2"/>
      <c r="J801" s="2"/>
      <c r="K801" s="2"/>
      <c r="L801" s="2"/>
      <c r="M801" s="2"/>
      <c r="N801" s="2"/>
      <c r="O801" s="2"/>
      <c r="P801" s="2"/>
      <c r="Q801" s="2"/>
      <c r="R801" s="2"/>
      <c r="S801" s="2"/>
      <c r="T801" s="2"/>
      <c r="U801" s="2"/>
      <c r="V801" s="2"/>
      <c r="W801" s="2"/>
      <c r="X801" s="2"/>
      <c r="Y801" s="2"/>
      <c r="Z801" s="2"/>
      <c r="AA801" s="2"/>
    </row>
    <row r="802">
      <c r="A802" s="2"/>
      <c r="B802" s="2"/>
      <c r="D802" s="2"/>
      <c r="E802" s="2"/>
      <c r="F802" s="10"/>
      <c r="G802" s="10"/>
      <c r="I802" s="2"/>
      <c r="J802" s="2"/>
      <c r="K802" s="2"/>
      <c r="L802" s="2"/>
      <c r="M802" s="2"/>
      <c r="N802" s="2"/>
      <c r="O802" s="2"/>
      <c r="P802" s="2"/>
      <c r="Q802" s="2"/>
      <c r="R802" s="2"/>
      <c r="S802" s="2"/>
      <c r="T802" s="2"/>
      <c r="U802" s="2"/>
      <c r="V802" s="2"/>
      <c r="W802" s="2"/>
      <c r="X802" s="2"/>
      <c r="Y802" s="2"/>
      <c r="Z802" s="2"/>
      <c r="AA802" s="2"/>
    </row>
    <row r="803">
      <c r="A803" s="2"/>
      <c r="B803" s="2"/>
      <c r="D803" s="2"/>
      <c r="E803" s="2"/>
      <c r="F803" s="10"/>
      <c r="G803" s="10"/>
      <c r="I803" s="2"/>
      <c r="J803" s="2"/>
      <c r="K803" s="2"/>
      <c r="L803" s="2"/>
      <c r="M803" s="2"/>
      <c r="N803" s="2"/>
      <c r="O803" s="2"/>
      <c r="P803" s="2"/>
      <c r="Q803" s="2"/>
      <c r="R803" s="2"/>
      <c r="S803" s="2"/>
      <c r="T803" s="2"/>
      <c r="U803" s="2"/>
      <c r="V803" s="2"/>
      <c r="W803" s="2"/>
      <c r="X803" s="2"/>
      <c r="Y803" s="2"/>
      <c r="Z803" s="2"/>
      <c r="AA803" s="2"/>
    </row>
    <row r="804">
      <c r="A804" s="2"/>
      <c r="B804" s="2"/>
      <c r="D804" s="2"/>
      <c r="E804" s="2"/>
      <c r="F804" s="10"/>
      <c r="G804" s="10"/>
      <c r="I804" s="2"/>
      <c r="J804" s="2"/>
      <c r="K804" s="2"/>
      <c r="L804" s="2"/>
      <c r="M804" s="2"/>
      <c r="N804" s="2"/>
      <c r="O804" s="2"/>
      <c r="P804" s="2"/>
      <c r="Q804" s="2"/>
      <c r="R804" s="2"/>
      <c r="S804" s="2"/>
      <c r="T804" s="2"/>
      <c r="U804" s="2"/>
      <c r="V804" s="2"/>
      <c r="W804" s="2"/>
      <c r="X804" s="2"/>
      <c r="Y804" s="2"/>
      <c r="Z804" s="2"/>
      <c r="AA804" s="2"/>
    </row>
    <row r="805">
      <c r="A805" s="2"/>
      <c r="B805" s="2"/>
      <c r="D805" s="2"/>
      <c r="E805" s="2"/>
      <c r="F805" s="10"/>
      <c r="G805" s="10"/>
      <c r="I805" s="2"/>
      <c r="J805" s="2"/>
      <c r="K805" s="2"/>
      <c r="L805" s="2"/>
      <c r="M805" s="2"/>
      <c r="N805" s="2"/>
      <c r="O805" s="2"/>
      <c r="P805" s="2"/>
      <c r="Q805" s="2"/>
      <c r="R805" s="2"/>
      <c r="S805" s="2"/>
      <c r="T805" s="2"/>
      <c r="U805" s="2"/>
      <c r="V805" s="2"/>
      <c r="W805" s="2"/>
      <c r="X805" s="2"/>
      <c r="Y805" s="2"/>
      <c r="Z805" s="2"/>
      <c r="AA805" s="2"/>
    </row>
    <row r="806">
      <c r="A806" s="2"/>
      <c r="B806" s="2"/>
      <c r="D806" s="2"/>
      <c r="E806" s="2"/>
      <c r="F806" s="10"/>
      <c r="G806" s="10"/>
      <c r="I806" s="2"/>
      <c r="J806" s="2"/>
      <c r="K806" s="2"/>
      <c r="L806" s="2"/>
      <c r="M806" s="2"/>
      <c r="N806" s="2"/>
      <c r="O806" s="2"/>
      <c r="P806" s="2"/>
      <c r="Q806" s="2"/>
      <c r="R806" s="2"/>
      <c r="S806" s="2"/>
      <c r="T806" s="2"/>
      <c r="U806" s="2"/>
      <c r="V806" s="2"/>
      <c r="W806" s="2"/>
      <c r="X806" s="2"/>
      <c r="Y806" s="2"/>
      <c r="Z806" s="2"/>
      <c r="AA806" s="2"/>
    </row>
    <row r="807">
      <c r="A807" s="2"/>
      <c r="B807" s="2"/>
      <c r="D807" s="2"/>
      <c r="E807" s="2"/>
      <c r="F807" s="10"/>
      <c r="G807" s="10"/>
      <c r="I807" s="2"/>
      <c r="J807" s="2"/>
      <c r="K807" s="2"/>
      <c r="L807" s="2"/>
      <c r="M807" s="2"/>
      <c r="N807" s="2"/>
      <c r="O807" s="2"/>
      <c r="P807" s="2"/>
      <c r="Q807" s="2"/>
      <c r="R807" s="2"/>
      <c r="S807" s="2"/>
      <c r="T807" s="2"/>
      <c r="U807" s="2"/>
      <c r="V807" s="2"/>
      <c r="W807" s="2"/>
      <c r="X807" s="2"/>
      <c r="Y807" s="2"/>
      <c r="Z807" s="2"/>
      <c r="AA807" s="2"/>
    </row>
    <row r="808">
      <c r="A808" s="2"/>
      <c r="B808" s="2"/>
      <c r="D808" s="2"/>
      <c r="E808" s="2"/>
      <c r="F808" s="10"/>
      <c r="G808" s="10"/>
      <c r="I808" s="2"/>
      <c r="J808" s="2"/>
      <c r="K808" s="2"/>
      <c r="L808" s="2"/>
      <c r="M808" s="2"/>
      <c r="N808" s="2"/>
      <c r="O808" s="2"/>
      <c r="P808" s="2"/>
      <c r="Q808" s="2"/>
      <c r="R808" s="2"/>
      <c r="S808" s="2"/>
      <c r="T808" s="2"/>
      <c r="U808" s="2"/>
      <c r="V808" s="2"/>
      <c r="W808" s="2"/>
      <c r="X808" s="2"/>
      <c r="Y808" s="2"/>
      <c r="Z808" s="2"/>
      <c r="AA808" s="2"/>
    </row>
    <row r="809">
      <c r="A809" s="2"/>
      <c r="B809" s="2"/>
      <c r="D809" s="2"/>
      <c r="E809" s="2"/>
      <c r="F809" s="10"/>
      <c r="G809" s="10"/>
      <c r="I809" s="2"/>
      <c r="J809" s="2"/>
      <c r="K809" s="2"/>
      <c r="L809" s="2"/>
      <c r="M809" s="2"/>
      <c r="N809" s="2"/>
      <c r="O809" s="2"/>
      <c r="P809" s="2"/>
      <c r="Q809" s="2"/>
      <c r="R809" s="2"/>
      <c r="S809" s="2"/>
      <c r="T809" s="2"/>
      <c r="U809" s="2"/>
      <c r="V809" s="2"/>
      <c r="W809" s="2"/>
      <c r="X809" s="2"/>
      <c r="Y809" s="2"/>
      <c r="Z809" s="2"/>
      <c r="AA809" s="2"/>
    </row>
    <row r="810">
      <c r="A810" s="2"/>
      <c r="B810" s="2"/>
      <c r="D810" s="2"/>
      <c r="E810" s="2"/>
      <c r="F810" s="10"/>
      <c r="G810" s="10"/>
      <c r="I810" s="2"/>
      <c r="J810" s="2"/>
      <c r="K810" s="2"/>
      <c r="L810" s="2"/>
      <c r="M810" s="2"/>
      <c r="N810" s="2"/>
      <c r="O810" s="2"/>
      <c r="P810" s="2"/>
      <c r="Q810" s="2"/>
      <c r="R810" s="2"/>
      <c r="S810" s="2"/>
      <c r="T810" s="2"/>
      <c r="U810" s="2"/>
      <c r="V810" s="2"/>
      <c r="W810" s="2"/>
      <c r="X810" s="2"/>
      <c r="Y810" s="2"/>
      <c r="Z810" s="2"/>
      <c r="AA810" s="2"/>
    </row>
    <row r="811">
      <c r="A811" s="2"/>
      <c r="B811" s="2"/>
      <c r="D811" s="2"/>
      <c r="E811" s="2"/>
      <c r="F811" s="10"/>
      <c r="G811" s="10"/>
      <c r="I811" s="2"/>
      <c r="J811" s="2"/>
      <c r="K811" s="2"/>
      <c r="L811" s="2"/>
      <c r="M811" s="2"/>
      <c r="N811" s="2"/>
      <c r="O811" s="2"/>
      <c r="P811" s="2"/>
      <c r="Q811" s="2"/>
      <c r="R811" s="2"/>
      <c r="S811" s="2"/>
      <c r="T811" s="2"/>
      <c r="U811" s="2"/>
      <c r="V811" s="2"/>
      <c r="W811" s="2"/>
      <c r="X811" s="2"/>
      <c r="Y811" s="2"/>
      <c r="Z811" s="2"/>
      <c r="AA811" s="2"/>
    </row>
    <row r="812">
      <c r="A812" s="2"/>
      <c r="B812" s="2"/>
      <c r="D812" s="2"/>
      <c r="E812" s="2"/>
      <c r="F812" s="10"/>
      <c r="G812" s="10"/>
      <c r="I812" s="2"/>
      <c r="J812" s="2"/>
      <c r="K812" s="2"/>
      <c r="L812" s="2"/>
      <c r="M812" s="2"/>
      <c r="N812" s="2"/>
      <c r="O812" s="2"/>
      <c r="P812" s="2"/>
      <c r="Q812" s="2"/>
      <c r="R812" s="2"/>
      <c r="S812" s="2"/>
      <c r="T812" s="2"/>
      <c r="U812" s="2"/>
      <c r="V812" s="2"/>
      <c r="W812" s="2"/>
      <c r="X812" s="2"/>
      <c r="Y812" s="2"/>
      <c r="Z812" s="2"/>
      <c r="AA812" s="2"/>
    </row>
    <row r="813">
      <c r="A813" s="2"/>
      <c r="B813" s="2"/>
      <c r="D813" s="2"/>
      <c r="E813" s="2"/>
      <c r="F813" s="10"/>
      <c r="G813" s="10"/>
      <c r="I813" s="2"/>
      <c r="J813" s="2"/>
      <c r="K813" s="2"/>
      <c r="L813" s="2"/>
      <c r="M813" s="2"/>
      <c r="N813" s="2"/>
      <c r="O813" s="2"/>
      <c r="P813" s="2"/>
      <c r="Q813" s="2"/>
      <c r="R813" s="2"/>
      <c r="S813" s="2"/>
      <c r="T813" s="2"/>
      <c r="U813" s="2"/>
      <c r="V813" s="2"/>
      <c r="W813" s="2"/>
      <c r="X813" s="2"/>
      <c r="Y813" s="2"/>
      <c r="Z813" s="2"/>
      <c r="AA813" s="2"/>
    </row>
    <row r="814">
      <c r="A814" s="2"/>
      <c r="B814" s="2"/>
      <c r="D814" s="2"/>
      <c r="E814" s="2"/>
      <c r="F814" s="10"/>
      <c r="G814" s="10"/>
      <c r="I814" s="2"/>
      <c r="J814" s="2"/>
      <c r="K814" s="2"/>
      <c r="L814" s="2"/>
      <c r="M814" s="2"/>
      <c r="N814" s="2"/>
      <c r="O814" s="2"/>
      <c r="P814" s="2"/>
      <c r="Q814" s="2"/>
      <c r="R814" s="2"/>
      <c r="S814" s="2"/>
      <c r="T814" s="2"/>
      <c r="U814" s="2"/>
      <c r="V814" s="2"/>
      <c r="W814" s="2"/>
      <c r="X814" s="2"/>
      <c r="Y814" s="2"/>
      <c r="Z814" s="2"/>
      <c r="AA814" s="2"/>
    </row>
    <row r="815">
      <c r="A815" s="2"/>
      <c r="B815" s="2"/>
      <c r="D815" s="2"/>
      <c r="E815" s="2"/>
      <c r="F815" s="10"/>
      <c r="G815" s="10"/>
      <c r="I815" s="2"/>
      <c r="J815" s="2"/>
      <c r="K815" s="2"/>
      <c r="L815" s="2"/>
      <c r="M815" s="2"/>
      <c r="N815" s="2"/>
      <c r="O815" s="2"/>
      <c r="P815" s="2"/>
      <c r="Q815" s="2"/>
      <c r="R815" s="2"/>
      <c r="S815" s="2"/>
      <c r="T815" s="2"/>
      <c r="U815" s="2"/>
      <c r="V815" s="2"/>
      <c r="W815" s="2"/>
      <c r="X815" s="2"/>
      <c r="Y815" s="2"/>
      <c r="Z815" s="2"/>
      <c r="AA815" s="2"/>
    </row>
    <row r="816">
      <c r="A816" s="2"/>
      <c r="B816" s="2"/>
      <c r="D816" s="2"/>
      <c r="E816" s="2"/>
      <c r="F816" s="10"/>
      <c r="G816" s="10"/>
      <c r="I816" s="2"/>
      <c r="J816" s="2"/>
      <c r="K816" s="2"/>
      <c r="L816" s="2"/>
      <c r="M816" s="2"/>
      <c r="N816" s="2"/>
      <c r="O816" s="2"/>
      <c r="P816" s="2"/>
      <c r="Q816" s="2"/>
      <c r="R816" s="2"/>
      <c r="S816" s="2"/>
      <c r="T816" s="2"/>
      <c r="U816" s="2"/>
      <c r="V816" s="2"/>
      <c r="W816" s="2"/>
      <c r="X816" s="2"/>
      <c r="Y816" s="2"/>
      <c r="Z816" s="2"/>
      <c r="AA816" s="2"/>
    </row>
    <row r="817">
      <c r="A817" s="2"/>
      <c r="B817" s="2"/>
      <c r="D817" s="2"/>
      <c r="E817" s="2"/>
      <c r="F817" s="10"/>
      <c r="G817" s="10"/>
      <c r="I817" s="2"/>
      <c r="J817" s="2"/>
      <c r="K817" s="2"/>
      <c r="L817" s="2"/>
      <c r="M817" s="2"/>
      <c r="N817" s="2"/>
      <c r="O817" s="2"/>
      <c r="P817" s="2"/>
      <c r="Q817" s="2"/>
      <c r="R817" s="2"/>
      <c r="S817" s="2"/>
      <c r="T817" s="2"/>
      <c r="U817" s="2"/>
      <c r="V817" s="2"/>
      <c r="W817" s="2"/>
      <c r="X817" s="2"/>
      <c r="Y817" s="2"/>
      <c r="Z817" s="2"/>
      <c r="AA817" s="2"/>
    </row>
    <row r="818">
      <c r="A818" s="2"/>
      <c r="B818" s="2"/>
      <c r="D818" s="2"/>
      <c r="E818" s="2"/>
      <c r="F818" s="10"/>
      <c r="G818" s="10"/>
      <c r="I818" s="2"/>
      <c r="J818" s="2"/>
      <c r="K818" s="2"/>
      <c r="L818" s="2"/>
      <c r="M818" s="2"/>
      <c r="N818" s="2"/>
      <c r="O818" s="2"/>
      <c r="P818" s="2"/>
      <c r="Q818" s="2"/>
      <c r="R818" s="2"/>
      <c r="S818" s="2"/>
      <c r="T818" s="2"/>
      <c r="U818" s="2"/>
      <c r="V818" s="2"/>
      <c r="W818" s="2"/>
      <c r="X818" s="2"/>
      <c r="Y818" s="2"/>
      <c r="Z818" s="2"/>
      <c r="AA818" s="2"/>
    </row>
    <row r="819">
      <c r="A819" s="2"/>
      <c r="B819" s="2"/>
      <c r="D819" s="2"/>
      <c r="E819" s="2"/>
      <c r="F819" s="10"/>
      <c r="G819" s="10"/>
      <c r="I819" s="2"/>
      <c r="J819" s="2"/>
      <c r="K819" s="2"/>
      <c r="L819" s="2"/>
      <c r="M819" s="2"/>
      <c r="N819" s="2"/>
      <c r="O819" s="2"/>
      <c r="P819" s="2"/>
      <c r="Q819" s="2"/>
      <c r="R819" s="2"/>
      <c r="S819" s="2"/>
      <c r="T819" s="2"/>
      <c r="U819" s="2"/>
      <c r="V819" s="2"/>
      <c r="W819" s="2"/>
      <c r="X819" s="2"/>
      <c r="Y819" s="2"/>
      <c r="Z819" s="2"/>
      <c r="AA819" s="2"/>
    </row>
    <row r="820">
      <c r="A820" s="2"/>
      <c r="B820" s="2"/>
      <c r="D820" s="2"/>
      <c r="E820" s="2"/>
      <c r="F820" s="10"/>
      <c r="G820" s="10"/>
      <c r="I820" s="2"/>
      <c r="J820" s="2"/>
      <c r="K820" s="2"/>
      <c r="L820" s="2"/>
      <c r="M820" s="2"/>
      <c r="N820" s="2"/>
      <c r="O820" s="2"/>
      <c r="P820" s="2"/>
      <c r="Q820" s="2"/>
      <c r="R820" s="2"/>
      <c r="S820" s="2"/>
      <c r="T820" s="2"/>
      <c r="U820" s="2"/>
      <c r="V820" s="2"/>
      <c r="W820" s="2"/>
      <c r="X820" s="2"/>
      <c r="Y820" s="2"/>
      <c r="Z820" s="2"/>
      <c r="AA820" s="2"/>
    </row>
    <row r="821">
      <c r="A821" s="2"/>
      <c r="B821" s="2"/>
      <c r="D821" s="2"/>
      <c r="E821" s="2"/>
      <c r="F821" s="10"/>
      <c r="G821" s="10"/>
      <c r="I821" s="2"/>
      <c r="J821" s="2"/>
      <c r="K821" s="2"/>
      <c r="L821" s="2"/>
      <c r="M821" s="2"/>
      <c r="N821" s="2"/>
      <c r="O821" s="2"/>
      <c r="P821" s="2"/>
      <c r="Q821" s="2"/>
      <c r="R821" s="2"/>
      <c r="S821" s="2"/>
      <c r="T821" s="2"/>
      <c r="U821" s="2"/>
      <c r="V821" s="2"/>
      <c r="W821" s="2"/>
      <c r="X821" s="2"/>
      <c r="Y821" s="2"/>
      <c r="Z821" s="2"/>
      <c r="AA821" s="2"/>
    </row>
    <row r="822">
      <c r="A822" s="2"/>
      <c r="B822" s="2"/>
      <c r="D822" s="2"/>
      <c r="E822" s="2"/>
      <c r="F822" s="10"/>
      <c r="G822" s="10"/>
      <c r="I822" s="2"/>
      <c r="J822" s="2"/>
      <c r="K822" s="2"/>
      <c r="L822" s="2"/>
      <c r="M822" s="2"/>
      <c r="N822" s="2"/>
      <c r="O822" s="2"/>
      <c r="P822" s="2"/>
      <c r="Q822" s="2"/>
      <c r="R822" s="2"/>
      <c r="S822" s="2"/>
      <c r="T822" s="2"/>
      <c r="U822" s="2"/>
      <c r="V822" s="2"/>
      <c r="W822" s="2"/>
      <c r="X822" s="2"/>
      <c r="Y822" s="2"/>
      <c r="Z822" s="2"/>
      <c r="AA822" s="2"/>
    </row>
    <row r="823">
      <c r="A823" s="2"/>
      <c r="B823" s="2"/>
      <c r="D823" s="2"/>
      <c r="E823" s="2"/>
      <c r="F823" s="10"/>
      <c r="G823" s="10"/>
      <c r="I823" s="2"/>
      <c r="J823" s="2"/>
      <c r="K823" s="2"/>
      <c r="L823" s="2"/>
      <c r="M823" s="2"/>
      <c r="N823" s="2"/>
      <c r="O823" s="2"/>
      <c r="P823" s="2"/>
      <c r="Q823" s="2"/>
      <c r="R823" s="2"/>
      <c r="S823" s="2"/>
      <c r="T823" s="2"/>
      <c r="U823" s="2"/>
      <c r="V823" s="2"/>
      <c r="W823" s="2"/>
      <c r="X823" s="2"/>
      <c r="Y823" s="2"/>
      <c r="Z823" s="2"/>
      <c r="AA823" s="2"/>
    </row>
    <row r="824">
      <c r="A824" s="2"/>
      <c r="B824" s="2"/>
      <c r="D824" s="2"/>
      <c r="E824" s="2"/>
      <c r="F824" s="10"/>
      <c r="G824" s="10"/>
      <c r="I824" s="2"/>
      <c r="J824" s="2"/>
      <c r="K824" s="2"/>
      <c r="L824" s="2"/>
      <c r="M824" s="2"/>
      <c r="N824" s="2"/>
      <c r="O824" s="2"/>
      <c r="P824" s="2"/>
      <c r="Q824" s="2"/>
      <c r="R824" s="2"/>
      <c r="S824" s="2"/>
      <c r="T824" s="2"/>
      <c r="U824" s="2"/>
      <c r="V824" s="2"/>
      <c r="W824" s="2"/>
      <c r="X824" s="2"/>
      <c r="Y824" s="2"/>
      <c r="Z824" s="2"/>
      <c r="AA824" s="2"/>
    </row>
    <row r="825">
      <c r="A825" s="2"/>
      <c r="B825" s="2"/>
      <c r="D825" s="2"/>
      <c r="E825" s="2"/>
      <c r="F825" s="10"/>
      <c r="G825" s="10"/>
      <c r="I825" s="2"/>
      <c r="J825" s="2"/>
      <c r="K825" s="2"/>
      <c r="L825" s="2"/>
      <c r="M825" s="2"/>
      <c r="N825" s="2"/>
      <c r="O825" s="2"/>
      <c r="P825" s="2"/>
      <c r="Q825" s="2"/>
      <c r="R825" s="2"/>
      <c r="S825" s="2"/>
      <c r="T825" s="2"/>
      <c r="U825" s="2"/>
      <c r="V825" s="2"/>
      <c r="W825" s="2"/>
      <c r="X825" s="2"/>
      <c r="Y825" s="2"/>
      <c r="Z825" s="2"/>
      <c r="AA825" s="2"/>
    </row>
    <row r="826">
      <c r="A826" s="2"/>
      <c r="B826" s="2"/>
      <c r="D826" s="2"/>
      <c r="E826" s="2"/>
      <c r="F826" s="10"/>
      <c r="G826" s="10"/>
      <c r="I826" s="2"/>
      <c r="J826" s="2"/>
      <c r="K826" s="2"/>
      <c r="L826" s="2"/>
      <c r="M826" s="2"/>
      <c r="N826" s="2"/>
      <c r="O826" s="2"/>
      <c r="P826" s="2"/>
      <c r="Q826" s="2"/>
      <c r="R826" s="2"/>
      <c r="S826" s="2"/>
      <c r="T826" s="2"/>
      <c r="U826" s="2"/>
      <c r="V826" s="2"/>
      <c r="W826" s="2"/>
      <c r="X826" s="2"/>
      <c r="Y826" s="2"/>
      <c r="Z826" s="2"/>
      <c r="AA826" s="2"/>
    </row>
    <row r="827">
      <c r="A827" s="2"/>
      <c r="B827" s="2"/>
      <c r="D827" s="2"/>
      <c r="E827" s="2"/>
      <c r="F827" s="10"/>
      <c r="G827" s="10"/>
      <c r="I827" s="2"/>
      <c r="J827" s="2"/>
      <c r="K827" s="2"/>
      <c r="L827" s="2"/>
      <c r="M827" s="2"/>
      <c r="N827" s="2"/>
      <c r="O827" s="2"/>
      <c r="P827" s="2"/>
      <c r="Q827" s="2"/>
      <c r="R827" s="2"/>
      <c r="S827" s="2"/>
      <c r="T827" s="2"/>
      <c r="U827" s="2"/>
      <c r="V827" s="2"/>
      <c r="W827" s="2"/>
      <c r="X827" s="2"/>
      <c r="Y827" s="2"/>
      <c r="Z827" s="2"/>
      <c r="AA827" s="2"/>
    </row>
    <row r="828">
      <c r="A828" s="2"/>
      <c r="B828" s="2"/>
      <c r="D828" s="2"/>
      <c r="E828" s="2"/>
      <c r="F828" s="10"/>
      <c r="G828" s="10"/>
      <c r="I828" s="2"/>
      <c r="J828" s="2"/>
      <c r="K828" s="2"/>
      <c r="L828" s="2"/>
      <c r="M828" s="2"/>
      <c r="N828" s="2"/>
      <c r="O828" s="2"/>
      <c r="P828" s="2"/>
      <c r="Q828" s="2"/>
      <c r="R828" s="2"/>
      <c r="S828" s="2"/>
      <c r="T828" s="2"/>
      <c r="U828" s="2"/>
      <c r="V828" s="2"/>
      <c r="W828" s="2"/>
      <c r="X828" s="2"/>
      <c r="Y828" s="2"/>
      <c r="Z828" s="2"/>
      <c r="AA828" s="2"/>
    </row>
    <row r="829">
      <c r="A829" s="2"/>
      <c r="B829" s="2"/>
      <c r="D829" s="2"/>
      <c r="E829" s="2"/>
      <c r="F829" s="10"/>
      <c r="G829" s="10"/>
      <c r="I829" s="2"/>
      <c r="J829" s="2"/>
      <c r="K829" s="2"/>
      <c r="L829" s="2"/>
      <c r="M829" s="2"/>
      <c r="N829" s="2"/>
      <c r="O829" s="2"/>
      <c r="P829" s="2"/>
      <c r="Q829" s="2"/>
      <c r="R829" s="2"/>
      <c r="S829" s="2"/>
      <c r="T829" s="2"/>
      <c r="U829" s="2"/>
      <c r="V829" s="2"/>
      <c r="W829" s="2"/>
      <c r="X829" s="2"/>
      <c r="Y829" s="2"/>
      <c r="Z829" s="2"/>
      <c r="AA829" s="2"/>
    </row>
    <row r="830">
      <c r="A830" s="2"/>
      <c r="B830" s="2"/>
      <c r="D830" s="2"/>
      <c r="E830" s="2"/>
      <c r="F830" s="10"/>
      <c r="G830" s="10"/>
      <c r="I830" s="2"/>
      <c r="J830" s="2"/>
      <c r="K830" s="2"/>
      <c r="L830" s="2"/>
      <c r="M830" s="2"/>
      <c r="N830" s="2"/>
      <c r="O830" s="2"/>
      <c r="P830" s="2"/>
      <c r="Q830" s="2"/>
      <c r="R830" s="2"/>
      <c r="S830" s="2"/>
      <c r="T830" s="2"/>
      <c r="U830" s="2"/>
      <c r="V830" s="2"/>
      <c r="W830" s="2"/>
      <c r="X830" s="2"/>
      <c r="Y830" s="2"/>
      <c r="Z830" s="2"/>
      <c r="AA830" s="2"/>
    </row>
    <row r="831">
      <c r="A831" s="2"/>
      <c r="B831" s="2"/>
      <c r="D831" s="2"/>
      <c r="E831" s="2"/>
      <c r="F831" s="10"/>
      <c r="G831" s="10"/>
      <c r="I831" s="2"/>
      <c r="J831" s="2"/>
      <c r="K831" s="2"/>
      <c r="L831" s="2"/>
      <c r="M831" s="2"/>
      <c r="N831" s="2"/>
      <c r="O831" s="2"/>
      <c r="P831" s="2"/>
      <c r="Q831" s="2"/>
      <c r="R831" s="2"/>
      <c r="S831" s="2"/>
      <c r="T831" s="2"/>
      <c r="U831" s="2"/>
      <c r="V831" s="2"/>
      <c r="W831" s="2"/>
      <c r="X831" s="2"/>
      <c r="Y831" s="2"/>
      <c r="Z831" s="2"/>
      <c r="AA831" s="2"/>
    </row>
    <row r="832">
      <c r="A832" s="2"/>
      <c r="B832" s="2"/>
      <c r="D832" s="2"/>
      <c r="E832" s="2"/>
      <c r="F832" s="10"/>
      <c r="G832" s="10"/>
      <c r="I832" s="2"/>
      <c r="J832" s="2"/>
      <c r="K832" s="2"/>
      <c r="L832" s="2"/>
      <c r="M832" s="2"/>
      <c r="N832" s="2"/>
      <c r="O832" s="2"/>
      <c r="P832" s="2"/>
      <c r="Q832" s="2"/>
      <c r="R832" s="2"/>
      <c r="S832" s="2"/>
      <c r="T832" s="2"/>
      <c r="U832" s="2"/>
      <c r="V832" s="2"/>
      <c r="W832" s="2"/>
      <c r="X832" s="2"/>
      <c r="Y832" s="2"/>
      <c r="Z832" s="2"/>
      <c r="AA832" s="2"/>
    </row>
    <row r="833">
      <c r="A833" s="2"/>
      <c r="B833" s="2"/>
      <c r="D833" s="2"/>
      <c r="E833" s="2"/>
      <c r="F833" s="10"/>
      <c r="G833" s="10"/>
      <c r="I833" s="2"/>
      <c r="J833" s="2"/>
      <c r="K833" s="2"/>
      <c r="L833" s="2"/>
      <c r="M833" s="2"/>
      <c r="N833" s="2"/>
      <c r="O833" s="2"/>
      <c r="P833" s="2"/>
      <c r="Q833" s="2"/>
      <c r="R833" s="2"/>
      <c r="S833" s="2"/>
      <c r="T833" s="2"/>
      <c r="U833" s="2"/>
      <c r="V833" s="2"/>
      <c r="W833" s="2"/>
      <c r="X833" s="2"/>
      <c r="Y833" s="2"/>
      <c r="Z833" s="2"/>
      <c r="AA833" s="2"/>
    </row>
    <row r="834">
      <c r="A834" s="2"/>
      <c r="B834" s="2"/>
      <c r="D834" s="2"/>
      <c r="E834" s="2"/>
      <c r="F834" s="10"/>
      <c r="G834" s="10"/>
      <c r="I834" s="2"/>
      <c r="J834" s="2"/>
      <c r="K834" s="2"/>
      <c r="L834" s="2"/>
      <c r="M834" s="2"/>
      <c r="N834" s="2"/>
      <c r="O834" s="2"/>
      <c r="P834" s="2"/>
      <c r="Q834" s="2"/>
      <c r="R834" s="2"/>
      <c r="S834" s="2"/>
      <c r="T834" s="2"/>
      <c r="U834" s="2"/>
      <c r="V834" s="2"/>
      <c r="W834" s="2"/>
      <c r="X834" s="2"/>
      <c r="Y834" s="2"/>
      <c r="Z834" s="2"/>
      <c r="AA834" s="2"/>
    </row>
    <row r="835">
      <c r="A835" s="2"/>
      <c r="B835" s="2"/>
      <c r="D835" s="2"/>
      <c r="E835" s="2"/>
      <c r="F835" s="10"/>
      <c r="G835" s="10"/>
      <c r="I835" s="2"/>
      <c r="J835" s="2"/>
      <c r="K835" s="2"/>
      <c r="L835" s="2"/>
      <c r="M835" s="2"/>
      <c r="N835" s="2"/>
      <c r="O835" s="2"/>
      <c r="P835" s="2"/>
      <c r="Q835" s="2"/>
      <c r="R835" s="2"/>
      <c r="S835" s="2"/>
      <c r="T835" s="2"/>
      <c r="U835" s="2"/>
      <c r="V835" s="2"/>
      <c r="W835" s="2"/>
      <c r="X835" s="2"/>
      <c r="Y835" s="2"/>
      <c r="Z835" s="2"/>
      <c r="AA835" s="2"/>
    </row>
    <row r="836">
      <c r="A836" s="2"/>
      <c r="B836" s="2"/>
      <c r="D836" s="2"/>
      <c r="E836" s="2"/>
      <c r="F836" s="10"/>
      <c r="G836" s="10"/>
      <c r="I836" s="2"/>
      <c r="J836" s="2"/>
      <c r="K836" s="2"/>
      <c r="L836" s="2"/>
      <c r="M836" s="2"/>
      <c r="N836" s="2"/>
      <c r="O836" s="2"/>
      <c r="P836" s="2"/>
      <c r="Q836" s="2"/>
      <c r="R836" s="2"/>
      <c r="S836" s="2"/>
      <c r="T836" s="2"/>
      <c r="U836" s="2"/>
      <c r="V836" s="2"/>
      <c r="W836" s="2"/>
      <c r="X836" s="2"/>
      <c r="Y836" s="2"/>
      <c r="Z836" s="2"/>
      <c r="AA836" s="2"/>
    </row>
    <row r="837">
      <c r="A837" s="2"/>
      <c r="B837" s="2"/>
      <c r="D837" s="2"/>
      <c r="E837" s="2"/>
      <c r="F837" s="10"/>
      <c r="G837" s="10"/>
      <c r="I837" s="2"/>
      <c r="J837" s="2"/>
      <c r="K837" s="2"/>
      <c r="L837" s="2"/>
      <c r="M837" s="2"/>
      <c r="N837" s="2"/>
      <c r="O837" s="2"/>
      <c r="P837" s="2"/>
      <c r="Q837" s="2"/>
      <c r="R837" s="2"/>
      <c r="S837" s="2"/>
      <c r="T837" s="2"/>
      <c r="U837" s="2"/>
      <c r="V837" s="2"/>
      <c r="W837" s="2"/>
      <c r="X837" s="2"/>
      <c r="Y837" s="2"/>
      <c r="Z837" s="2"/>
      <c r="AA837" s="2"/>
    </row>
    <row r="838">
      <c r="A838" s="2"/>
      <c r="B838" s="2"/>
      <c r="D838" s="2"/>
      <c r="E838" s="2"/>
      <c r="F838" s="10"/>
      <c r="G838" s="10"/>
      <c r="I838" s="2"/>
      <c r="J838" s="2"/>
      <c r="K838" s="2"/>
      <c r="L838" s="2"/>
      <c r="M838" s="2"/>
      <c r="N838" s="2"/>
      <c r="O838" s="2"/>
      <c r="P838" s="2"/>
      <c r="Q838" s="2"/>
      <c r="R838" s="2"/>
      <c r="S838" s="2"/>
      <c r="T838" s="2"/>
      <c r="U838" s="2"/>
      <c r="V838" s="2"/>
      <c r="W838" s="2"/>
      <c r="X838" s="2"/>
      <c r="Y838" s="2"/>
      <c r="Z838" s="2"/>
      <c r="AA838" s="2"/>
    </row>
    <row r="839">
      <c r="A839" s="2"/>
      <c r="B839" s="2"/>
      <c r="D839" s="2"/>
      <c r="E839" s="2"/>
      <c r="F839" s="10"/>
      <c r="G839" s="10"/>
      <c r="I839" s="2"/>
      <c r="J839" s="2"/>
      <c r="K839" s="2"/>
      <c r="L839" s="2"/>
      <c r="M839" s="2"/>
      <c r="N839" s="2"/>
      <c r="O839" s="2"/>
      <c r="P839" s="2"/>
      <c r="Q839" s="2"/>
      <c r="R839" s="2"/>
      <c r="S839" s="2"/>
      <c r="T839" s="2"/>
      <c r="U839" s="2"/>
      <c r="V839" s="2"/>
      <c r="W839" s="2"/>
      <c r="X839" s="2"/>
      <c r="Y839" s="2"/>
      <c r="Z839" s="2"/>
      <c r="AA839" s="2"/>
    </row>
    <row r="840">
      <c r="A840" s="2"/>
      <c r="B840" s="2"/>
      <c r="D840" s="2"/>
      <c r="E840" s="2"/>
      <c r="F840" s="10"/>
      <c r="G840" s="10"/>
      <c r="I840" s="2"/>
      <c r="J840" s="2"/>
      <c r="K840" s="2"/>
      <c r="L840" s="2"/>
      <c r="M840" s="2"/>
      <c r="N840" s="2"/>
      <c r="O840" s="2"/>
      <c r="P840" s="2"/>
      <c r="Q840" s="2"/>
      <c r="R840" s="2"/>
      <c r="S840" s="2"/>
      <c r="T840" s="2"/>
      <c r="U840" s="2"/>
      <c r="V840" s="2"/>
      <c r="W840" s="2"/>
      <c r="X840" s="2"/>
      <c r="Y840" s="2"/>
      <c r="Z840" s="2"/>
      <c r="AA840" s="2"/>
    </row>
    <row r="841">
      <c r="A841" s="2"/>
      <c r="B841" s="2"/>
      <c r="D841" s="2"/>
      <c r="E841" s="2"/>
      <c r="F841" s="10"/>
      <c r="G841" s="10"/>
      <c r="I841" s="2"/>
      <c r="J841" s="2"/>
      <c r="K841" s="2"/>
      <c r="L841" s="2"/>
      <c r="M841" s="2"/>
      <c r="N841" s="2"/>
      <c r="O841" s="2"/>
      <c r="P841" s="2"/>
      <c r="Q841" s="2"/>
      <c r="R841" s="2"/>
      <c r="S841" s="2"/>
      <c r="T841" s="2"/>
      <c r="U841" s="2"/>
      <c r="V841" s="2"/>
      <c r="W841" s="2"/>
      <c r="X841" s="2"/>
      <c r="Y841" s="2"/>
      <c r="Z841" s="2"/>
      <c r="AA841" s="2"/>
    </row>
    <row r="842">
      <c r="A842" s="2"/>
      <c r="B842" s="2"/>
      <c r="D842" s="2"/>
      <c r="E842" s="2"/>
      <c r="F842" s="10"/>
      <c r="G842" s="10"/>
      <c r="I842" s="2"/>
      <c r="J842" s="2"/>
      <c r="K842" s="2"/>
      <c r="L842" s="2"/>
      <c r="M842" s="2"/>
      <c r="N842" s="2"/>
      <c r="O842" s="2"/>
      <c r="P842" s="2"/>
      <c r="Q842" s="2"/>
      <c r="R842" s="2"/>
      <c r="S842" s="2"/>
      <c r="T842" s="2"/>
      <c r="U842" s="2"/>
      <c r="V842" s="2"/>
      <c r="W842" s="2"/>
      <c r="X842" s="2"/>
      <c r="Y842" s="2"/>
      <c r="Z842" s="2"/>
      <c r="AA842" s="2"/>
    </row>
    <row r="843">
      <c r="A843" s="2"/>
      <c r="B843" s="2"/>
      <c r="D843" s="2"/>
      <c r="E843" s="2"/>
      <c r="F843" s="10"/>
      <c r="G843" s="10"/>
      <c r="I843" s="2"/>
      <c r="J843" s="2"/>
      <c r="K843" s="2"/>
      <c r="L843" s="2"/>
      <c r="M843" s="2"/>
      <c r="N843" s="2"/>
      <c r="O843" s="2"/>
      <c r="P843" s="2"/>
      <c r="Q843" s="2"/>
      <c r="R843" s="2"/>
      <c r="S843" s="2"/>
      <c r="T843" s="2"/>
      <c r="U843" s="2"/>
      <c r="V843" s="2"/>
      <c r="W843" s="2"/>
      <c r="X843" s="2"/>
      <c r="Y843" s="2"/>
      <c r="Z843" s="2"/>
      <c r="AA843" s="2"/>
    </row>
    <row r="844">
      <c r="A844" s="2"/>
      <c r="B844" s="2"/>
      <c r="D844" s="2"/>
      <c r="E844" s="2"/>
      <c r="F844" s="10"/>
      <c r="G844" s="10"/>
      <c r="I844" s="2"/>
      <c r="J844" s="2"/>
      <c r="K844" s="2"/>
      <c r="L844" s="2"/>
      <c r="M844" s="2"/>
      <c r="N844" s="2"/>
      <c r="O844" s="2"/>
      <c r="P844" s="2"/>
      <c r="Q844" s="2"/>
      <c r="R844" s="2"/>
      <c r="S844" s="2"/>
      <c r="T844" s="2"/>
      <c r="U844" s="2"/>
      <c r="V844" s="2"/>
      <c r="W844" s="2"/>
      <c r="X844" s="2"/>
      <c r="Y844" s="2"/>
      <c r="Z844" s="2"/>
      <c r="AA844" s="2"/>
    </row>
    <row r="845">
      <c r="A845" s="2"/>
      <c r="B845" s="2"/>
      <c r="D845" s="2"/>
      <c r="E845" s="2"/>
      <c r="F845" s="10"/>
      <c r="G845" s="10"/>
      <c r="I845" s="2"/>
      <c r="J845" s="2"/>
      <c r="K845" s="2"/>
      <c r="L845" s="2"/>
      <c r="M845" s="2"/>
      <c r="N845" s="2"/>
      <c r="O845" s="2"/>
      <c r="P845" s="2"/>
      <c r="Q845" s="2"/>
      <c r="R845" s="2"/>
      <c r="S845" s="2"/>
      <c r="T845" s="2"/>
      <c r="U845" s="2"/>
      <c r="V845" s="2"/>
      <c r="W845" s="2"/>
      <c r="X845" s="2"/>
      <c r="Y845" s="2"/>
      <c r="Z845" s="2"/>
      <c r="AA845" s="2"/>
    </row>
    <row r="846">
      <c r="A846" s="2"/>
      <c r="B846" s="2"/>
      <c r="D846" s="2"/>
      <c r="E846" s="2"/>
      <c r="F846" s="10"/>
      <c r="G846" s="10"/>
      <c r="I846" s="2"/>
      <c r="J846" s="2"/>
      <c r="K846" s="2"/>
      <c r="L846" s="2"/>
      <c r="M846" s="2"/>
      <c r="N846" s="2"/>
      <c r="O846" s="2"/>
      <c r="P846" s="2"/>
      <c r="Q846" s="2"/>
      <c r="R846" s="2"/>
      <c r="S846" s="2"/>
      <c r="T846" s="2"/>
      <c r="U846" s="2"/>
      <c r="V846" s="2"/>
      <c r="W846" s="2"/>
      <c r="X846" s="2"/>
      <c r="Y846" s="2"/>
      <c r="Z846" s="2"/>
      <c r="AA846" s="2"/>
    </row>
    <row r="847">
      <c r="A847" s="2"/>
      <c r="B847" s="2"/>
      <c r="D847" s="2"/>
      <c r="E847" s="2"/>
      <c r="F847" s="10"/>
      <c r="G847" s="10"/>
      <c r="I847" s="2"/>
      <c r="J847" s="2"/>
      <c r="K847" s="2"/>
      <c r="L847" s="2"/>
      <c r="M847" s="2"/>
      <c r="N847" s="2"/>
      <c r="O847" s="2"/>
      <c r="P847" s="2"/>
      <c r="Q847" s="2"/>
      <c r="R847" s="2"/>
      <c r="S847" s="2"/>
      <c r="T847" s="2"/>
      <c r="U847" s="2"/>
      <c r="V847" s="2"/>
      <c r="W847" s="2"/>
      <c r="X847" s="2"/>
      <c r="Y847" s="2"/>
      <c r="Z847" s="2"/>
      <c r="AA847" s="2"/>
    </row>
    <row r="848">
      <c r="A848" s="2"/>
      <c r="B848" s="2"/>
      <c r="D848" s="2"/>
      <c r="E848" s="2"/>
      <c r="F848" s="10"/>
      <c r="G848" s="10"/>
      <c r="I848" s="2"/>
      <c r="J848" s="2"/>
      <c r="K848" s="2"/>
      <c r="L848" s="2"/>
      <c r="M848" s="2"/>
      <c r="N848" s="2"/>
      <c r="O848" s="2"/>
      <c r="P848" s="2"/>
      <c r="Q848" s="2"/>
      <c r="R848" s="2"/>
      <c r="S848" s="2"/>
      <c r="T848" s="2"/>
      <c r="U848" s="2"/>
      <c r="V848" s="2"/>
      <c r="W848" s="2"/>
      <c r="X848" s="2"/>
      <c r="Y848" s="2"/>
      <c r="Z848" s="2"/>
      <c r="AA848" s="2"/>
    </row>
    <row r="849">
      <c r="A849" s="2"/>
      <c r="B849" s="2"/>
      <c r="D849" s="2"/>
      <c r="E849" s="2"/>
      <c r="F849" s="10"/>
      <c r="G849" s="10"/>
      <c r="I849" s="2"/>
      <c r="J849" s="2"/>
      <c r="K849" s="2"/>
      <c r="L849" s="2"/>
      <c r="M849" s="2"/>
      <c r="N849" s="2"/>
      <c r="O849" s="2"/>
      <c r="P849" s="2"/>
      <c r="Q849" s="2"/>
      <c r="R849" s="2"/>
      <c r="S849" s="2"/>
      <c r="T849" s="2"/>
      <c r="U849" s="2"/>
      <c r="V849" s="2"/>
      <c r="W849" s="2"/>
      <c r="X849" s="2"/>
      <c r="Y849" s="2"/>
      <c r="Z849" s="2"/>
      <c r="AA849" s="2"/>
    </row>
    <row r="850">
      <c r="A850" s="2"/>
      <c r="B850" s="2"/>
      <c r="D850" s="2"/>
      <c r="E850" s="2"/>
      <c r="F850" s="10"/>
      <c r="G850" s="10"/>
      <c r="I850" s="2"/>
      <c r="J850" s="2"/>
      <c r="K850" s="2"/>
      <c r="L850" s="2"/>
      <c r="M850" s="2"/>
      <c r="N850" s="2"/>
      <c r="O850" s="2"/>
      <c r="P850" s="2"/>
      <c r="Q850" s="2"/>
      <c r="R850" s="2"/>
      <c r="S850" s="2"/>
      <c r="T850" s="2"/>
      <c r="U850" s="2"/>
      <c r="V850" s="2"/>
      <c r="W850" s="2"/>
      <c r="X850" s="2"/>
      <c r="Y850" s="2"/>
      <c r="Z850" s="2"/>
      <c r="AA850" s="2"/>
    </row>
    <row r="851">
      <c r="A851" s="2"/>
      <c r="B851" s="2"/>
      <c r="D851" s="2"/>
      <c r="E851" s="2"/>
      <c r="F851" s="10"/>
      <c r="G851" s="10"/>
      <c r="I851" s="2"/>
      <c r="J851" s="2"/>
      <c r="K851" s="2"/>
      <c r="L851" s="2"/>
      <c r="M851" s="2"/>
      <c r="N851" s="2"/>
      <c r="O851" s="2"/>
      <c r="P851" s="2"/>
      <c r="Q851" s="2"/>
      <c r="R851" s="2"/>
      <c r="S851" s="2"/>
      <c r="T851" s="2"/>
      <c r="U851" s="2"/>
      <c r="V851" s="2"/>
      <c r="W851" s="2"/>
      <c r="X851" s="2"/>
      <c r="Y851" s="2"/>
      <c r="Z851" s="2"/>
      <c r="AA851" s="2"/>
    </row>
    <row r="852">
      <c r="A852" s="2"/>
      <c r="B852" s="2"/>
      <c r="D852" s="2"/>
      <c r="E852" s="2"/>
      <c r="F852" s="10"/>
      <c r="G852" s="10"/>
      <c r="I852" s="2"/>
      <c r="J852" s="2"/>
      <c r="K852" s="2"/>
      <c r="L852" s="2"/>
      <c r="M852" s="2"/>
      <c r="N852" s="2"/>
      <c r="O852" s="2"/>
      <c r="P852" s="2"/>
      <c r="Q852" s="2"/>
      <c r="R852" s="2"/>
      <c r="S852" s="2"/>
      <c r="T852" s="2"/>
      <c r="U852" s="2"/>
      <c r="V852" s="2"/>
      <c r="W852" s="2"/>
      <c r="X852" s="2"/>
      <c r="Y852" s="2"/>
      <c r="Z852" s="2"/>
      <c r="AA852" s="2"/>
    </row>
    <row r="853">
      <c r="A853" s="2"/>
      <c r="B853" s="2"/>
      <c r="D853" s="2"/>
      <c r="E853" s="2"/>
      <c r="F853" s="10"/>
      <c r="G853" s="10"/>
      <c r="I853" s="2"/>
      <c r="J853" s="2"/>
      <c r="K853" s="2"/>
      <c r="L853" s="2"/>
      <c r="M853" s="2"/>
      <c r="N853" s="2"/>
      <c r="O853" s="2"/>
      <c r="P853" s="2"/>
      <c r="Q853" s="2"/>
      <c r="R853" s="2"/>
      <c r="S853" s="2"/>
      <c r="T853" s="2"/>
      <c r="U853" s="2"/>
      <c r="V853" s="2"/>
      <c r="W853" s="2"/>
      <c r="X853" s="2"/>
      <c r="Y853" s="2"/>
      <c r="Z853" s="2"/>
      <c r="AA853" s="2"/>
    </row>
    <row r="854">
      <c r="A854" s="2"/>
      <c r="B854" s="2"/>
      <c r="D854" s="2"/>
      <c r="E854" s="2"/>
      <c r="F854" s="10"/>
      <c r="G854" s="10"/>
      <c r="I854" s="2"/>
      <c r="J854" s="2"/>
      <c r="K854" s="2"/>
      <c r="L854" s="2"/>
      <c r="M854" s="2"/>
      <c r="N854" s="2"/>
      <c r="O854" s="2"/>
      <c r="P854" s="2"/>
      <c r="Q854" s="2"/>
      <c r="R854" s="2"/>
      <c r="S854" s="2"/>
      <c r="T854" s="2"/>
      <c r="U854" s="2"/>
      <c r="V854" s="2"/>
      <c r="W854" s="2"/>
      <c r="X854" s="2"/>
      <c r="Y854" s="2"/>
      <c r="Z854" s="2"/>
      <c r="AA854" s="2"/>
    </row>
    <row r="855">
      <c r="A855" s="2"/>
      <c r="B855" s="2"/>
      <c r="D855" s="2"/>
      <c r="E855" s="2"/>
      <c r="F855" s="10"/>
      <c r="G855" s="10"/>
      <c r="I855" s="2"/>
      <c r="J855" s="2"/>
      <c r="K855" s="2"/>
      <c r="L855" s="2"/>
      <c r="M855" s="2"/>
      <c r="N855" s="2"/>
      <c r="O855" s="2"/>
      <c r="P855" s="2"/>
      <c r="Q855" s="2"/>
      <c r="R855" s="2"/>
      <c r="S855" s="2"/>
      <c r="T855" s="2"/>
      <c r="U855" s="2"/>
      <c r="V855" s="2"/>
      <c r="W855" s="2"/>
      <c r="X855" s="2"/>
      <c r="Y855" s="2"/>
      <c r="Z855" s="2"/>
      <c r="AA855" s="2"/>
    </row>
    <row r="856">
      <c r="A856" s="2"/>
      <c r="B856" s="2"/>
      <c r="D856" s="2"/>
      <c r="E856" s="2"/>
      <c r="F856" s="10"/>
      <c r="G856" s="10"/>
      <c r="I856" s="2"/>
      <c r="J856" s="2"/>
      <c r="K856" s="2"/>
      <c r="L856" s="2"/>
      <c r="M856" s="2"/>
      <c r="N856" s="2"/>
      <c r="O856" s="2"/>
      <c r="P856" s="2"/>
      <c r="Q856" s="2"/>
      <c r="R856" s="2"/>
      <c r="S856" s="2"/>
      <c r="T856" s="2"/>
      <c r="U856" s="2"/>
      <c r="V856" s="2"/>
      <c r="W856" s="2"/>
      <c r="X856" s="2"/>
      <c r="Y856" s="2"/>
      <c r="Z856" s="2"/>
      <c r="AA856" s="2"/>
    </row>
    <row r="857">
      <c r="A857" s="2"/>
      <c r="B857" s="2"/>
      <c r="D857" s="2"/>
      <c r="E857" s="2"/>
      <c r="F857" s="10"/>
      <c r="G857" s="10"/>
      <c r="I857" s="2"/>
      <c r="J857" s="2"/>
      <c r="K857" s="2"/>
      <c r="L857" s="2"/>
      <c r="M857" s="2"/>
      <c r="N857" s="2"/>
      <c r="O857" s="2"/>
      <c r="P857" s="2"/>
      <c r="Q857" s="2"/>
      <c r="R857" s="2"/>
      <c r="S857" s="2"/>
      <c r="T857" s="2"/>
      <c r="U857" s="2"/>
      <c r="V857" s="2"/>
      <c r="W857" s="2"/>
      <c r="X857" s="2"/>
      <c r="Y857" s="2"/>
      <c r="Z857" s="2"/>
      <c r="AA857" s="2"/>
    </row>
    <row r="858">
      <c r="A858" s="2"/>
      <c r="B858" s="2"/>
      <c r="D858" s="2"/>
      <c r="E858" s="2"/>
      <c r="F858" s="10"/>
      <c r="G858" s="10"/>
      <c r="I858" s="2"/>
      <c r="J858" s="2"/>
      <c r="K858" s="2"/>
      <c r="L858" s="2"/>
      <c r="M858" s="2"/>
      <c r="N858" s="2"/>
      <c r="O858" s="2"/>
      <c r="P858" s="2"/>
      <c r="Q858" s="2"/>
      <c r="R858" s="2"/>
      <c r="S858" s="2"/>
      <c r="T858" s="2"/>
      <c r="U858" s="2"/>
      <c r="V858" s="2"/>
      <c r="W858" s="2"/>
      <c r="X858" s="2"/>
      <c r="Y858" s="2"/>
      <c r="Z858" s="2"/>
      <c r="AA858" s="2"/>
    </row>
    <row r="859">
      <c r="A859" s="2"/>
      <c r="B859" s="2"/>
      <c r="D859" s="2"/>
      <c r="E859" s="2"/>
      <c r="F859" s="10"/>
      <c r="G859" s="10"/>
      <c r="I859" s="2"/>
      <c r="J859" s="2"/>
      <c r="K859" s="2"/>
      <c r="L859" s="2"/>
      <c r="M859" s="2"/>
      <c r="N859" s="2"/>
      <c r="O859" s="2"/>
      <c r="P859" s="2"/>
      <c r="Q859" s="2"/>
      <c r="R859" s="2"/>
      <c r="S859" s="2"/>
      <c r="T859" s="2"/>
      <c r="U859" s="2"/>
      <c r="V859" s="2"/>
      <c r="W859" s="2"/>
      <c r="X859" s="2"/>
      <c r="Y859" s="2"/>
      <c r="Z859" s="2"/>
      <c r="AA859" s="2"/>
    </row>
    <row r="860">
      <c r="A860" s="2"/>
      <c r="B860" s="2"/>
      <c r="D860" s="2"/>
      <c r="E860" s="2"/>
      <c r="F860" s="10"/>
      <c r="G860" s="10"/>
      <c r="I860" s="2"/>
      <c r="J860" s="2"/>
      <c r="K860" s="2"/>
      <c r="L860" s="2"/>
      <c r="M860" s="2"/>
      <c r="N860" s="2"/>
      <c r="O860" s="2"/>
      <c r="P860" s="2"/>
      <c r="Q860" s="2"/>
      <c r="R860" s="2"/>
      <c r="S860" s="2"/>
      <c r="T860" s="2"/>
      <c r="U860" s="2"/>
      <c r="V860" s="2"/>
      <c r="W860" s="2"/>
      <c r="X860" s="2"/>
      <c r="Y860" s="2"/>
      <c r="Z860" s="2"/>
      <c r="AA860" s="2"/>
    </row>
    <row r="861">
      <c r="A861" s="2"/>
      <c r="B861" s="2"/>
      <c r="D861" s="2"/>
      <c r="E861" s="2"/>
      <c r="F861" s="10"/>
      <c r="G861" s="10"/>
      <c r="I861" s="2"/>
      <c r="J861" s="2"/>
      <c r="K861" s="2"/>
      <c r="L861" s="2"/>
      <c r="M861" s="2"/>
      <c r="N861" s="2"/>
      <c r="O861" s="2"/>
      <c r="P861" s="2"/>
      <c r="Q861" s="2"/>
      <c r="R861" s="2"/>
      <c r="S861" s="2"/>
      <c r="T861" s="2"/>
      <c r="U861" s="2"/>
      <c r="V861" s="2"/>
      <c r="W861" s="2"/>
      <c r="X861" s="2"/>
      <c r="Y861" s="2"/>
      <c r="Z861" s="2"/>
      <c r="AA861" s="2"/>
    </row>
    <row r="862">
      <c r="A862" s="2"/>
      <c r="B862" s="2"/>
      <c r="D862" s="2"/>
      <c r="E862" s="2"/>
      <c r="F862" s="10"/>
      <c r="G862" s="10"/>
      <c r="I862" s="2"/>
      <c r="J862" s="2"/>
      <c r="K862" s="2"/>
      <c r="L862" s="2"/>
      <c r="M862" s="2"/>
      <c r="N862" s="2"/>
      <c r="O862" s="2"/>
      <c r="P862" s="2"/>
      <c r="Q862" s="2"/>
      <c r="R862" s="2"/>
      <c r="S862" s="2"/>
      <c r="T862" s="2"/>
      <c r="U862" s="2"/>
      <c r="V862" s="2"/>
      <c r="W862" s="2"/>
      <c r="X862" s="2"/>
      <c r="Y862" s="2"/>
      <c r="Z862" s="2"/>
      <c r="AA862" s="2"/>
    </row>
    <row r="863">
      <c r="A863" s="2"/>
      <c r="B863" s="2"/>
      <c r="D863" s="2"/>
      <c r="E863" s="2"/>
      <c r="F863" s="10"/>
      <c r="G863" s="10"/>
      <c r="I863" s="2"/>
      <c r="J863" s="2"/>
      <c r="K863" s="2"/>
      <c r="L863" s="2"/>
      <c r="M863" s="2"/>
      <c r="N863" s="2"/>
      <c r="O863" s="2"/>
      <c r="P863" s="2"/>
      <c r="Q863" s="2"/>
      <c r="R863" s="2"/>
      <c r="S863" s="2"/>
      <c r="T863" s="2"/>
      <c r="U863" s="2"/>
      <c r="V863" s="2"/>
      <c r="W863" s="2"/>
      <c r="X863" s="2"/>
      <c r="Y863" s="2"/>
      <c r="Z863" s="2"/>
      <c r="AA863" s="2"/>
    </row>
    <row r="864">
      <c r="A864" s="2"/>
      <c r="B864" s="2"/>
      <c r="D864" s="2"/>
      <c r="E864" s="2"/>
      <c r="F864" s="10"/>
      <c r="G864" s="10"/>
      <c r="I864" s="2"/>
      <c r="J864" s="2"/>
      <c r="K864" s="2"/>
      <c r="L864" s="2"/>
      <c r="M864" s="2"/>
      <c r="N864" s="2"/>
      <c r="O864" s="2"/>
      <c r="P864" s="2"/>
      <c r="Q864" s="2"/>
      <c r="R864" s="2"/>
      <c r="S864" s="2"/>
      <c r="T864" s="2"/>
      <c r="U864" s="2"/>
      <c r="V864" s="2"/>
      <c r="W864" s="2"/>
      <c r="X864" s="2"/>
      <c r="Y864" s="2"/>
      <c r="Z864" s="2"/>
      <c r="AA864" s="2"/>
    </row>
    <row r="865">
      <c r="A865" s="2"/>
      <c r="B865" s="2"/>
      <c r="D865" s="2"/>
      <c r="E865" s="2"/>
      <c r="F865" s="10"/>
      <c r="G865" s="10"/>
      <c r="I865" s="2"/>
      <c r="J865" s="2"/>
      <c r="K865" s="2"/>
      <c r="L865" s="2"/>
      <c r="M865" s="2"/>
      <c r="N865" s="2"/>
      <c r="O865" s="2"/>
      <c r="P865" s="2"/>
      <c r="Q865" s="2"/>
      <c r="R865" s="2"/>
      <c r="S865" s="2"/>
      <c r="T865" s="2"/>
      <c r="U865" s="2"/>
      <c r="V865" s="2"/>
      <c r="W865" s="2"/>
      <c r="X865" s="2"/>
      <c r="Y865" s="2"/>
      <c r="Z865" s="2"/>
      <c r="AA865" s="2"/>
    </row>
    <row r="866">
      <c r="A866" s="2"/>
      <c r="B866" s="2"/>
      <c r="D866" s="2"/>
      <c r="E866" s="2"/>
      <c r="F866" s="10"/>
      <c r="G866" s="10"/>
      <c r="I866" s="2"/>
      <c r="J866" s="2"/>
      <c r="K866" s="2"/>
      <c r="L866" s="2"/>
      <c r="M866" s="2"/>
      <c r="N866" s="2"/>
      <c r="O866" s="2"/>
      <c r="P866" s="2"/>
      <c r="Q866" s="2"/>
      <c r="R866" s="2"/>
      <c r="S866" s="2"/>
      <c r="T866" s="2"/>
      <c r="U866" s="2"/>
      <c r="V866" s="2"/>
      <c r="W866" s="2"/>
      <c r="X866" s="2"/>
      <c r="Y866" s="2"/>
      <c r="Z866" s="2"/>
      <c r="AA866" s="2"/>
    </row>
    <row r="867">
      <c r="A867" s="2"/>
      <c r="B867" s="2"/>
      <c r="D867" s="2"/>
      <c r="E867" s="2"/>
      <c r="F867" s="10"/>
      <c r="G867" s="10"/>
      <c r="I867" s="2"/>
      <c r="J867" s="2"/>
      <c r="K867" s="2"/>
      <c r="L867" s="2"/>
      <c r="M867" s="2"/>
      <c r="N867" s="2"/>
      <c r="O867" s="2"/>
      <c r="P867" s="2"/>
      <c r="Q867" s="2"/>
      <c r="R867" s="2"/>
      <c r="S867" s="2"/>
      <c r="T867" s="2"/>
      <c r="U867" s="2"/>
      <c r="V867" s="2"/>
      <c r="W867" s="2"/>
      <c r="X867" s="2"/>
      <c r="Y867" s="2"/>
      <c r="Z867" s="2"/>
      <c r="AA867" s="2"/>
    </row>
    <row r="868">
      <c r="A868" s="2"/>
      <c r="B868" s="2"/>
      <c r="D868" s="2"/>
      <c r="E868" s="2"/>
      <c r="F868" s="10"/>
      <c r="G868" s="10"/>
      <c r="I868" s="2"/>
      <c r="J868" s="2"/>
      <c r="K868" s="2"/>
      <c r="L868" s="2"/>
      <c r="M868" s="2"/>
      <c r="N868" s="2"/>
      <c r="O868" s="2"/>
      <c r="P868" s="2"/>
      <c r="Q868" s="2"/>
      <c r="R868" s="2"/>
      <c r="S868" s="2"/>
      <c r="T868" s="2"/>
      <c r="U868" s="2"/>
      <c r="V868" s="2"/>
      <c r="W868" s="2"/>
      <c r="X868" s="2"/>
      <c r="Y868" s="2"/>
      <c r="Z868" s="2"/>
      <c r="AA868" s="2"/>
    </row>
    <row r="869">
      <c r="A869" s="2"/>
      <c r="B869" s="2"/>
      <c r="D869" s="2"/>
      <c r="E869" s="2"/>
      <c r="F869" s="10"/>
      <c r="G869" s="10"/>
      <c r="I869" s="2"/>
      <c r="J869" s="2"/>
      <c r="K869" s="2"/>
      <c r="L869" s="2"/>
      <c r="M869" s="2"/>
      <c r="N869" s="2"/>
      <c r="O869" s="2"/>
      <c r="P869" s="2"/>
      <c r="Q869" s="2"/>
      <c r="R869" s="2"/>
      <c r="S869" s="2"/>
      <c r="T869" s="2"/>
      <c r="U869" s="2"/>
      <c r="V869" s="2"/>
      <c r="W869" s="2"/>
      <c r="X869" s="2"/>
      <c r="Y869" s="2"/>
      <c r="Z869" s="2"/>
      <c r="AA869" s="2"/>
    </row>
    <row r="870">
      <c r="A870" s="2"/>
      <c r="B870" s="2"/>
      <c r="D870" s="2"/>
      <c r="E870" s="2"/>
      <c r="F870" s="10"/>
      <c r="G870" s="10"/>
      <c r="I870" s="2"/>
      <c r="J870" s="2"/>
      <c r="K870" s="2"/>
      <c r="L870" s="2"/>
      <c r="M870" s="2"/>
      <c r="N870" s="2"/>
      <c r="O870" s="2"/>
      <c r="P870" s="2"/>
      <c r="Q870" s="2"/>
      <c r="R870" s="2"/>
      <c r="S870" s="2"/>
      <c r="T870" s="2"/>
      <c r="U870" s="2"/>
      <c r="V870" s="2"/>
      <c r="W870" s="2"/>
      <c r="X870" s="2"/>
      <c r="Y870" s="2"/>
      <c r="Z870" s="2"/>
      <c r="AA870" s="2"/>
    </row>
    <row r="871">
      <c r="A871" s="2"/>
      <c r="B871" s="2"/>
      <c r="D871" s="2"/>
      <c r="E871" s="2"/>
      <c r="F871" s="10"/>
      <c r="G871" s="10"/>
      <c r="I871" s="2"/>
      <c r="J871" s="2"/>
      <c r="K871" s="2"/>
      <c r="L871" s="2"/>
      <c r="M871" s="2"/>
      <c r="N871" s="2"/>
      <c r="O871" s="2"/>
      <c r="P871" s="2"/>
      <c r="Q871" s="2"/>
      <c r="R871" s="2"/>
      <c r="S871" s="2"/>
      <c r="T871" s="2"/>
      <c r="U871" s="2"/>
      <c r="V871" s="2"/>
      <c r="W871" s="2"/>
      <c r="X871" s="2"/>
      <c r="Y871" s="2"/>
      <c r="Z871" s="2"/>
      <c r="AA871" s="2"/>
    </row>
    <row r="872">
      <c r="A872" s="2"/>
      <c r="B872" s="2"/>
      <c r="D872" s="2"/>
      <c r="E872" s="2"/>
      <c r="F872" s="10"/>
      <c r="G872" s="10"/>
      <c r="I872" s="2"/>
      <c r="J872" s="2"/>
      <c r="K872" s="2"/>
      <c r="L872" s="2"/>
      <c r="M872" s="2"/>
      <c r="N872" s="2"/>
      <c r="O872" s="2"/>
      <c r="P872" s="2"/>
      <c r="Q872" s="2"/>
      <c r="R872" s="2"/>
      <c r="S872" s="2"/>
      <c r="T872" s="2"/>
      <c r="U872" s="2"/>
      <c r="V872" s="2"/>
      <c r="W872" s="2"/>
      <c r="X872" s="2"/>
      <c r="Y872" s="2"/>
      <c r="Z872" s="2"/>
      <c r="AA872" s="2"/>
    </row>
    <row r="873">
      <c r="A873" s="2"/>
      <c r="B873" s="2"/>
      <c r="D873" s="2"/>
      <c r="E873" s="2"/>
      <c r="F873" s="10"/>
      <c r="G873" s="10"/>
      <c r="I873" s="2"/>
      <c r="J873" s="2"/>
      <c r="K873" s="2"/>
      <c r="L873" s="2"/>
      <c r="M873" s="2"/>
      <c r="N873" s="2"/>
      <c r="O873" s="2"/>
      <c r="P873" s="2"/>
      <c r="Q873" s="2"/>
      <c r="R873" s="2"/>
      <c r="S873" s="2"/>
      <c r="T873" s="2"/>
      <c r="U873" s="2"/>
      <c r="V873" s="2"/>
      <c r="W873" s="2"/>
      <c r="X873" s="2"/>
      <c r="Y873" s="2"/>
      <c r="Z873" s="2"/>
      <c r="AA873" s="2"/>
    </row>
    <row r="874">
      <c r="A874" s="2"/>
      <c r="B874" s="2"/>
      <c r="D874" s="2"/>
      <c r="E874" s="2"/>
      <c r="F874" s="10"/>
      <c r="G874" s="10"/>
      <c r="I874" s="2"/>
      <c r="J874" s="2"/>
      <c r="K874" s="2"/>
      <c r="L874" s="2"/>
      <c r="M874" s="2"/>
      <c r="N874" s="2"/>
      <c r="O874" s="2"/>
      <c r="P874" s="2"/>
      <c r="Q874" s="2"/>
      <c r="R874" s="2"/>
      <c r="S874" s="2"/>
      <c r="T874" s="2"/>
      <c r="U874" s="2"/>
      <c r="V874" s="2"/>
      <c r="W874" s="2"/>
      <c r="X874" s="2"/>
      <c r="Y874" s="2"/>
      <c r="Z874" s="2"/>
      <c r="AA874" s="2"/>
    </row>
    <row r="875">
      <c r="A875" s="2"/>
      <c r="B875" s="2"/>
      <c r="D875" s="2"/>
      <c r="E875" s="2"/>
      <c r="F875" s="10"/>
      <c r="G875" s="10"/>
      <c r="I875" s="2"/>
      <c r="J875" s="2"/>
      <c r="K875" s="2"/>
      <c r="L875" s="2"/>
      <c r="M875" s="2"/>
      <c r="N875" s="2"/>
      <c r="O875" s="2"/>
      <c r="P875" s="2"/>
      <c r="Q875" s="2"/>
      <c r="R875" s="2"/>
      <c r="S875" s="2"/>
      <c r="T875" s="2"/>
      <c r="U875" s="2"/>
      <c r="V875" s="2"/>
      <c r="W875" s="2"/>
      <c r="X875" s="2"/>
      <c r="Y875" s="2"/>
      <c r="Z875" s="2"/>
      <c r="AA875" s="2"/>
    </row>
    <row r="876">
      <c r="A876" s="2"/>
      <c r="B876" s="2"/>
      <c r="D876" s="2"/>
      <c r="E876" s="2"/>
      <c r="F876" s="10"/>
      <c r="G876" s="10"/>
      <c r="I876" s="2"/>
      <c r="J876" s="2"/>
      <c r="K876" s="2"/>
      <c r="L876" s="2"/>
      <c r="M876" s="2"/>
      <c r="N876" s="2"/>
      <c r="O876" s="2"/>
      <c r="P876" s="2"/>
      <c r="Q876" s="2"/>
      <c r="R876" s="2"/>
      <c r="S876" s="2"/>
      <c r="T876" s="2"/>
      <c r="U876" s="2"/>
      <c r="V876" s="2"/>
      <c r="W876" s="2"/>
      <c r="X876" s="2"/>
      <c r="Y876" s="2"/>
      <c r="Z876" s="2"/>
      <c r="AA876" s="2"/>
    </row>
    <row r="877">
      <c r="A877" s="2"/>
      <c r="B877" s="2"/>
      <c r="D877" s="2"/>
      <c r="E877" s="2"/>
      <c r="F877" s="10"/>
      <c r="G877" s="10"/>
      <c r="I877" s="2"/>
      <c r="J877" s="2"/>
      <c r="K877" s="2"/>
      <c r="L877" s="2"/>
      <c r="M877" s="2"/>
      <c r="N877" s="2"/>
      <c r="O877" s="2"/>
      <c r="P877" s="2"/>
      <c r="Q877" s="2"/>
      <c r="R877" s="2"/>
      <c r="S877" s="2"/>
      <c r="T877" s="2"/>
      <c r="U877" s="2"/>
      <c r="V877" s="2"/>
      <c r="W877" s="2"/>
      <c r="X877" s="2"/>
      <c r="Y877" s="2"/>
      <c r="Z877" s="2"/>
      <c r="AA877" s="2"/>
    </row>
    <row r="878">
      <c r="A878" s="2"/>
      <c r="B878" s="2"/>
      <c r="D878" s="2"/>
      <c r="E878" s="2"/>
      <c r="F878" s="10"/>
      <c r="G878" s="10"/>
      <c r="I878" s="2"/>
      <c r="J878" s="2"/>
      <c r="K878" s="2"/>
      <c r="L878" s="2"/>
      <c r="M878" s="2"/>
      <c r="N878" s="2"/>
      <c r="O878" s="2"/>
      <c r="P878" s="2"/>
      <c r="Q878" s="2"/>
      <c r="R878" s="2"/>
      <c r="S878" s="2"/>
      <c r="T878" s="2"/>
      <c r="U878" s="2"/>
      <c r="V878" s="2"/>
      <c r="W878" s="2"/>
      <c r="X878" s="2"/>
      <c r="Y878" s="2"/>
      <c r="Z878" s="2"/>
      <c r="AA878" s="2"/>
    </row>
    <row r="879">
      <c r="A879" s="2"/>
      <c r="B879" s="2"/>
      <c r="D879" s="2"/>
      <c r="E879" s="2"/>
      <c r="F879" s="10"/>
      <c r="G879" s="10"/>
      <c r="I879" s="2"/>
      <c r="J879" s="2"/>
      <c r="K879" s="2"/>
      <c r="L879" s="2"/>
      <c r="M879" s="2"/>
      <c r="N879" s="2"/>
      <c r="O879" s="2"/>
      <c r="P879" s="2"/>
      <c r="Q879" s="2"/>
      <c r="R879" s="2"/>
      <c r="S879" s="2"/>
      <c r="T879" s="2"/>
      <c r="U879" s="2"/>
      <c r="V879" s="2"/>
      <c r="W879" s="2"/>
      <c r="X879" s="2"/>
      <c r="Y879" s="2"/>
      <c r="Z879" s="2"/>
      <c r="AA879" s="2"/>
    </row>
    <row r="880">
      <c r="A880" s="2"/>
      <c r="B880" s="2"/>
      <c r="D880" s="2"/>
      <c r="E880" s="2"/>
      <c r="F880" s="10"/>
      <c r="G880" s="10"/>
      <c r="I880" s="2"/>
      <c r="J880" s="2"/>
      <c r="K880" s="2"/>
      <c r="L880" s="2"/>
      <c r="M880" s="2"/>
      <c r="N880" s="2"/>
      <c r="O880" s="2"/>
      <c r="P880" s="2"/>
      <c r="Q880" s="2"/>
      <c r="R880" s="2"/>
      <c r="S880" s="2"/>
      <c r="T880" s="2"/>
      <c r="U880" s="2"/>
      <c r="V880" s="2"/>
      <c r="W880" s="2"/>
      <c r="X880" s="2"/>
      <c r="Y880" s="2"/>
      <c r="Z880" s="2"/>
      <c r="AA880" s="2"/>
    </row>
    <row r="881">
      <c r="A881" s="2"/>
      <c r="B881" s="2"/>
      <c r="D881" s="2"/>
      <c r="E881" s="2"/>
      <c r="F881" s="10"/>
      <c r="G881" s="10"/>
      <c r="I881" s="2"/>
      <c r="J881" s="2"/>
      <c r="K881" s="2"/>
      <c r="L881" s="2"/>
      <c r="M881" s="2"/>
      <c r="N881" s="2"/>
      <c r="O881" s="2"/>
      <c r="P881" s="2"/>
      <c r="Q881" s="2"/>
      <c r="R881" s="2"/>
      <c r="S881" s="2"/>
      <c r="T881" s="2"/>
      <c r="U881" s="2"/>
      <c r="V881" s="2"/>
      <c r="W881" s="2"/>
      <c r="X881" s="2"/>
      <c r="Y881" s="2"/>
      <c r="Z881" s="2"/>
      <c r="AA881" s="2"/>
    </row>
    <row r="882">
      <c r="A882" s="2"/>
      <c r="B882" s="2"/>
      <c r="D882" s="2"/>
      <c r="E882" s="2"/>
      <c r="F882" s="10"/>
      <c r="G882" s="10"/>
      <c r="I882" s="2"/>
      <c r="J882" s="2"/>
      <c r="K882" s="2"/>
      <c r="L882" s="2"/>
      <c r="M882" s="2"/>
      <c r="N882" s="2"/>
      <c r="O882" s="2"/>
      <c r="P882" s="2"/>
      <c r="Q882" s="2"/>
      <c r="R882" s="2"/>
      <c r="S882" s="2"/>
      <c r="T882" s="2"/>
      <c r="U882" s="2"/>
      <c r="V882" s="2"/>
      <c r="W882" s="2"/>
      <c r="X882" s="2"/>
      <c r="Y882" s="2"/>
      <c r="Z882" s="2"/>
      <c r="AA882" s="2"/>
    </row>
    <row r="883">
      <c r="A883" s="2"/>
      <c r="B883" s="2"/>
      <c r="D883" s="2"/>
      <c r="E883" s="2"/>
      <c r="F883" s="10"/>
      <c r="G883" s="10"/>
      <c r="I883" s="2"/>
      <c r="J883" s="2"/>
      <c r="K883" s="2"/>
      <c r="L883" s="2"/>
      <c r="M883" s="2"/>
      <c r="N883" s="2"/>
      <c r="O883" s="2"/>
      <c r="P883" s="2"/>
      <c r="Q883" s="2"/>
      <c r="R883" s="2"/>
      <c r="S883" s="2"/>
      <c r="T883" s="2"/>
      <c r="U883" s="2"/>
      <c r="V883" s="2"/>
      <c r="W883" s="2"/>
      <c r="X883" s="2"/>
      <c r="Y883" s="2"/>
      <c r="Z883" s="2"/>
      <c r="AA883" s="2"/>
    </row>
    <row r="884">
      <c r="A884" s="2"/>
      <c r="B884" s="2"/>
      <c r="D884" s="2"/>
      <c r="E884" s="2"/>
      <c r="F884" s="10"/>
      <c r="G884" s="10"/>
      <c r="I884" s="2"/>
      <c r="J884" s="2"/>
      <c r="K884" s="2"/>
      <c r="L884" s="2"/>
      <c r="M884" s="2"/>
      <c r="N884" s="2"/>
      <c r="O884" s="2"/>
      <c r="P884" s="2"/>
      <c r="Q884" s="2"/>
      <c r="R884" s="2"/>
      <c r="S884" s="2"/>
      <c r="T884" s="2"/>
      <c r="U884" s="2"/>
      <c r="V884" s="2"/>
      <c r="W884" s="2"/>
      <c r="X884" s="2"/>
      <c r="Y884" s="2"/>
      <c r="Z884" s="2"/>
      <c r="AA884" s="2"/>
    </row>
    <row r="885">
      <c r="A885" s="2"/>
      <c r="B885" s="2"/>
      <c r="D885" s="2"/>
      <c r="E885" s="2"/>
      <c r="F885" s="10"/>
      <c r="G885" s="10"/>
      <c r="I885" s="2"/>
      <c r="J885" s="2"/>
      <c r="K885" s="2"/>
      <c r="L885" s="2"/>
      <c r="M885" s="2"/>
      <c r="N885" s="2"/>
      <c r="O885" s="2"/>
      <c r="P885" s="2"/>
      <c r="Q885" s="2"/>
      <c r="R885" s="2"/>
      <c r="S885" s="2"/>
      <c r="T885" s="2"/>
      <c r="U885" s="2"/>
      <c r="V885" s="2"/>
      <c r="W885" s="2"/>
      <c r="X885" s="2"/>
      <c r="Y885" s="2"/>
      <c r="Z885" s="2"/>
      <c r="AA885" s="2"/>
    </row>
    <row r="886">
      <c r="A886" s="2"/>
      <c r="B886" s="2"/>
      <c r="D886" s="2"/>
      <c r="E886" s="2"/>
      <c r="F886" s="10"/>
      <c r="G886" s="10"/>
      <c r="I886" s="2"/>
      <c r="J886" s="2"/>
      <c r="K886" s="2"/>
      <c r="L886" s="2"/>
      <c r="M886" s="2"/>
      <c r="N886" s="2"/>
      <c r="O886" s="2"/>
      <c r="P886" s="2"/>
      <c r="Q886" s="2"/>
      <c r="R886" s="2"/>
      <c r="S886" s="2"/>
      <c r="T886" s="2"/>
      <c r="U886" s="2"/>
      <c r="V886" s="2"/>
      <c r="W886" s="2"/>
      <c r="X886" s="2"/>
      <c r="Y886" s="2"/>
      <c r="Z886" s="2"/>
      <c r="AA886" s="2"/>
    </row>
    <row r="887">
      <c r="A887" s="2"/>
      <c r="B887" s="2"/>
      <c r="D887" s="2"/>
      <c r="E887" s="2"/>
      <c r="F887" s="10"/>
      <c r="G887" s="10"/>
      <c r="I887" s="2"/>
      <c r="J887" s="2"/>
      <c r="K887" s="2"/>
      <c r="L887" s="2"/>
      <c r="M887" s="2"/>
      <c r="N887" s="2"/>
      <c r="O887" s="2"/>
      <c r="P887" s="2"/>
      <c r="Q887" s="2"/>
      <c r="R887" s="2"/>
      <c r="S887" s="2"/>
      <c r="T887" s="2"/>
      <c r="U887" s="2"/>
      <c r="V887" s="2"/>
      <c r="W887" s="2"/>
      <c r="X887" s="2"/>
      <c r="Y887" s="2"/>
      <c r="Z887" s="2"/>
      <c r="AA887" s="2"/>
    </row>
    <row r="888">
      <c r="A888" s="2"/>
      <c r="B888" s="2"/>
      <c r="D888" s="2"/>
      <c r="E888" s="2"/>
      <c r="F888" s="10"/>
      <c r="G888" s="10"/>
      <c r="I888" s="2"/>
      <c r="J888" s="2"/>
      <c r="K888" s="2"/>
      <c r="L888" s="2"/>
      <c r="M888" s="2"/>
      <c r="N888" s="2"/>
      <c r="O888" s="2"/>
      <c r="P888" s="2"/>
      <c r="Q888" s="2"/>
      <c r="R888" s="2"/>
      <c r="S888" s="2"/>
      <c r="T888" s="2"/>
      <c r="U888" s="2"/>
      <c r="V888" s="2"/>
      <c r="W888" s="2"/>
      <c r="X888" s="2"/>
      <c r="Y888" s="2"/>
      <c r="Z888" s="2"/>
      <c r="AA888" s="2"/>
    </row>
    <row r="889">
      <c r="A889" s="2"/>
      <c r="B889" s="2"/>
      <c r="D889" s="2"/>
      <c r="E889" s="2"/>
      <c r="F889" s="10"/>
      <c r="G889" s="10"/>
      <c r="I889" s="2"/>
      <c r="J889" s="2"/>
      <c r="K889" s="2"/>
      <c r="L889" s="2"/>
      <c r="M889" s="2"/>
      <c r="N889" s="2"/>
      <c r="O889" s="2"/>
      <c r="P889" s="2"/>
      <c r="Q889" s="2"/>
      <c r="R889" s="2"/>
      <c r="S889" s="2"/>
      <c r="T889" s="2"/>
      <c r="U889" s="2"/>
      <c r="V889" s="2"/>
      <c r="W889" s="2"/>
      <c r="X889" s="2"/>
      <c r="Y889" s="2"/>
      <c r="Z889" s="2"/>
      <c r="AA889" s="2"/>
    </row>
    <row r="890">
      <c r="A890" s="2"/>
      <c r="B890" s="2"/>
      <c r="D890" s="2"/>
      <c r="E890" s="2"/>
      <c r="F890" s="10"/>
      <c r="G890" s="10"/>
      <c r="I890" s="2"/>
      <c r="J890" s="2"/>
      <c r="K890" s="2"/>
      <c r="L890" s="2"/>
      <c r="M890" s="2"/>
      <c r="N890" s="2"/>
      <c r="O890" s="2"/>
      <c r="P890" s="2"/>
      <c r="Q890" s="2"/>
      <c r="R890" s="2"/>
      <c r="S890" s="2"/>
      <c r="T890" s="2"/>
      <c r="U890" s="2"/>
      <c r="V890" s="2"/>
      <c r="W890" s="2"/>
      <c r="X890" s="2"/>
      <c r="Y890" s="2"/>
      <c r="Z890" s="2"/>
      <c r="AA890" s="2"/>
    </row>
    <row r="891">
      <c r="A891" s="2"/>
      <c r="B891" s="2"/>
      <c r="D891" s="2"/>
      <c r="E891" s="2"/>
      <c r="F891" s="10"/>
      <c r="G891" s="10"/>
      <c r="I891" s="2"/>
      <c r="J891" s="2"/>
      <c r="K891" s="2"/>
      <c r="L891" s="2"/>
      <c r="M891" s="2"/>
      <c r="N891" s="2"/>
      <c r="O891" s="2"/>
      <c r="P891" s="2"/>
      <c r="Q891" s="2"/>
      <c r="R891" s="2"/>
      <c r="S891" s="2"/>
      <c r="T891" s="2"/>
      <c r="U891" s="2"/>
      <c r="V891" s="2"/>
      <c r="W891" s="2"/>
      <c r="X891" s="2"/>
      <c r="Y891" s="2"/>
      <c r="Z891" s="2"/>
      <c r="AA891" s="2"/>
    </row>
    <row r="892">
      <c r="A892" s="2"/>
      <c r="B892" s="2"/>
      <c r="D892" s="2"/>
      <c r="E892" s="2"/>
      <c r="F892" s="10"/>
      <c r="G892" s="10"/>
      <c r="I892" s="2"/>
      <c r="J892" s="2"/>
      <c r="K892" s="2"/>
      <c r="L892" s="2"/>
      <c r="M892" s="2"/>
      <c r="N892" s="2"/>
      <c r="O892" s="2"/>
      <c r="P892" s="2"/>
      <c r="Q892" s="2"/>
      <c r="R892" s="2"/>
      <c r="S892" s="2"/>
      <c r="T892" s="2"/>
      <c r="U892" s="2"/>
      <c r="V892" s="2"/>
      <c r="W892" s="2"/>
      <c r="X892" s="2"/>
      <c r="Y892" s="2"/>
      <c r="Z892" s="2"/>
      <c r="AA892" s="2"/>
    </row>
    <row r="893">
      <c r="A893" s="2"/>
      <c r="B893" s="2"/>
      <c r="D893" s="2"/>
      <c r="E893" s="2"/>
      <c r="F893" s="10"/>
      <c r="G893" s="10"/>
      <c r="I893" s="2"/>
      <c r="J893" s="2"/>
      <c r="K893" s="2"/>
      <c r="L893" s="2"/>
      <c r="M893" s="2"/>
      <c r="N893" s="2"/>
      <c r="O893" s="2"/>
      <c r="P893" s="2"/>
      <c r="Q893" s="2"/>
      <c r="R893" s="2"/>
      <c r="S893" s="2"/>
      <c r="T893" s="2"/>
      <c r="U893" s="2"/>
      <c r="V893" s="2"/>
      <c r="W893" s="2"/>
      <c r="X893" s="2"/>
      <c r="Y893" s="2"/>
      <c r="Z893" s="2"/>
      <c r="AA893" s="2"/>
    </row>
    <row r="894">
      <c r="A894" s="2"/>
      <c r="B894" s="2"/>
      <c r="D894" s="2"/>
      <c r="E894" s="2"/>
      <c r="F894" s="10"/>
      <c r="G894" s="10"/>
      <c r="I894" s="2"/>
      <c r="J894" s="2"/>
      <c r="K894" s="2"/>
      <c r="L894" s="2"/>
      <c r="M894" s="2"/>
      <c r="N894" s="2"/>
      <c r="O894" s="2"/>
      <c r="P894" s="2"/>
      <c r="Q894" s="2"/>
      <c r="R894" s="2"/>
      <c r="S894" s="2"/>
      <c r="T894" s="2"/>
      <c r="U894" s="2"/>
      <c r="V894" s="2"/>
      <c r="W894" s="2"/>
      <c r="X894" s="2"/>
      <c r="Y894" s="2"/>
      <c r="Z894" s="2"/>
      <c r="AA894" s="2"/>
    </row>
    <row r="895">
      <c r="A895" s="2"/>
      <c r="B895" s="2"/>
      <c r="D895" s="2"/>
      <c r="E895" s="2"/>
      <c r="F895" s="10"/>
      <c r="G895" s="10"/>
      <c r="I895" s="2"/>
      <c r="J895" s="2"/>
      <c r="K895" s="2"/>
      <c r="L895" s="2"/>
      <c r="M895" s="2"/>
      <c r="N895" s="2"/>
      <c r="O895" s="2"/>
      <c r="P895" s="2"/>
      <c r="Q895" s="2"/>
      <c r="R895" s="2"/>
      <c r="S895" s="2"/>
      <c r="T895" s="2"/>
      <c r="U895" s="2"/>
      <c r="V895" s="2"/>
      <c r="W895" s="2"/>
      <c r="X895" s="2"/>
      <c r="Y895" s="2"/>
      <c r="Z895" s="2"/>
      <c r="AA895" s="2"/>
    </row>
    <row r="896">
      <c r="A896" s="2"/>
      <c r="B896" s="2"/>
      <c r="D896" s="2"/>
      <c r="E896" s="2"/>
      <c r="F896" s="10"/>
      <c r="G896" s="10"/>
      <c r="I896" s="2"/>
      <c r="J896" s="2"/>
      <c r="K896" s="2"/>
      <c r="L896" s="2"/>
      <c r="M896" s="2"/>
      <c r="N896" s="2"/>
      <c r="O896" s="2"/>
      <c r="P896" s="2"/>
      <c r="Q896" s="2"/>
      <c r="R896" s="2"/>
      <c r="S896" s="2"/>
      <c r="T896" s="2"/>
      <c r="U896" s="2"/>
      <c r="V896" s="2"/>
      <c r="W896" s="2"/>
      <c r="X896" s="2"/>
      <c r="Y896" s="2"/>
      <c r="Z896" s="2"/>
      <c r="AA896" s="2"/>
    </row>
    <row r="897">
      <c r="A897" s="2"/>
      <c r="B897" s="2"/>
      <c r="D897" s="2"/>
      <c r="E897" s="2"/>
      <c r="F897" s="10"/>
      <c r="G897" s="10"/>
      <c r="I897" s="2"/>
      <c r="J897" s="2"/>
      <c r="K897" s="2"/>
      <c r="L897" s="2"/>
      <c r="M897" s="2"/>
      <c r="N897" s="2"/>
      <c r="O897" s="2"/>
      <c r="P897" s="2"/>
      <c r="Q897" s="2"/>
      <c r="R897" s="2"/>
      <c r="S897" s="2"/>
      <c r="T897" s="2"/>
      <c r="U897" s="2"/>
      <c r="V897" s="2"/>
      <c r="W897" s="2"/>
      <c r="X897" s="2"/>
      <c r="Y897" s="2"/>
      <c r="Z897" s="2"/>
      <c r="AA897" s="2"/>
    </row>
    <row r="898">
      <c r="A898" s="2"/>
      <c r="B898" s="2"/>
      <c r="D898" s="2"/>
      <c r="E898" s="2"/>
      <c r="F898" s="10"/>
      <c r="G898" s="10"/>
      <c r="I898" s="2"/>
      <c r="J898" s="2"/>
      <c r="K898" s="2"/>
      <c r="L898" s="2"/>
      <c r="M898" s="2"/>
      <c r="N898" s="2"/>
      <c r="O898" s="2"/>
      <c r="P898" s="2"/>
      <c r="Q898" s="2"/>
      <c r="R898" s="2"/>
      <c r="S898" s="2"/>
      <c r="T898" s="2"/>
      <c r="U898" s="2"/>
      <c r="V898" s="2"/>
      <c r="W898" s="2"/>
      <c r="X898" s="2"/>
      <c r="Y898" s="2"/>
      <c r="Z898" s="2"/>
      <c r="AA898" s="2"/>
    </row>
    <row r="899">
      <c r="A899" s="2"/>
      <c r="B899" s="2"/>
      <c r="D899" s="2"/>
      <c r="E899" s="2"/>
      <c r="F899" s="10"/>
      <c r="G899" s="10"/>
      <c r="I899" s="2"/>
      <c r="J899" s="2"/>
      <c r="K899" s="2"/>
      <c r="L899" s="2"/>
      <c r="M899" s="2"/>
      <c r="N899" s="2"/>
      <c r="O899" s="2"/>
      <c r="P899" s="2"/>
      <c r="Q899" s="2"/>
      <c r="R899" s="2"/>
      <c r="S899" s="2"/>
      <c r="T899" s="2"/>
      <c r="U899" s="2"/>
      <c r="V899" s="2"/>
      <c r="W899" s="2"/>
      <c r="X899" s="2"/>
      <c r="Y899" s="2"/>
      <c r="Z899" s="2"/>
      <c r="AA899" s="2"/>
    </row>
    <row r="900">
      <c r="A900" s="2"/>
      <c r="B900" s="2"/>
      <c r="D900" s="2"/>
      <c r="E900" s="2"/>
      <c r="F900" s="10"/>
      <c r="G900" s="10"/>
      <c r="I900" s="2"/>
      <c r="J900" s="2"/>
      <c r="K900" s="2"/>
      <c r="L900" s="2"/>
      <c r="M900" s="2"/>
      <c r="N900" s="2"/>
      <c r="O900" s="2"/>
      <c r="P900" s="2"/>
      <c r="Q900" s="2"/>
      <c r="R900" s="2"/>
      <c r="S900" s="2"/>
      <c r="T900" s="2"/>
      <c r="U900" s="2"/>
      <c r="V900" s="2"/>
      <c r="W900" s="2"/>
      <c r="X900" s="2"/>
      <c r="Y900" s="2"/>
      <c r="Z900" s="2"/>
      <c r="AA900" s="2"/>
    </row>
    <row r="901">
      <c r="A901" s="2"/>
      <c r="B901" s="2"/>
      <c r="D901" s="2"/>
      <c r="E901" s="2"/>
      <c r="F901" s="10"/>
      <c r="G901" s="10"/>
      <c r="I901" s="2"/>
      <c r="J901" s="2"/>
      <c r="K901" s="2"/>
      <c r="L901" s="2"/>
      <c r="M901" s="2"/>
      <c r="N901" s="2"/>
      <c r="O901" s="2"/>
      <c r="P901" s="2"/>
      <c r="Q901" s="2"/>
      <c r="R901" s="2"/>
      <c r="S901" s="2"/>
      <c r="T901" s="2"/>
      <c r="U901" s="2"/>
      <c r="V901" s="2"/>
      <c r="W901" s="2"/>
      <c r="X901" s="2"/>
      <c r="Y901" s="2"/>
      <c r="Z901" s="2"/>
      <c r="AA901" s="2"/>
    </row>
    <row r="902">
      <c r="A902" s="2"/>
      <c r="B902" s="2"/>
      <c r="D902" s="2"/>
      <c r="E902" s="2"/>
      <c r="F902" s="10"/>
      <c r="G902" s="10"/>
      <c r="I902" s="2"/>
      <c r="J902" s="2"/>
      <c r="K902" s="2"/>
      <c r="L902" s="2"/>
      <c r="M902" s="2"/>
      <c r="N902" s="2"/>
      <c r="O902" s="2"/>
      <c r="P902" s="2"/>
      <c r="Q902" s="2"/>
      <c r="R902" s="2"/>
      <c r="S902" s="2"/>
      <c r="T902" s="2"/>
      <c r="U902" s="2"/>
      <c r="V902" s="2"/>
      <c r="W902" s="2"/>
      <c r="X902" s="2"/>
      <c r="Y902" s="2"/>
      <c r="Z902" s="2"/>
      <c r="AA902" s="2"/>
    </row>
    <row r="903">
      <c r="A903" s="2"/>
      <c r="B903" s="2"/>
      <c r="D903" s="2"/>
      <c r="E903" s="2"/>
      <c r="F903" s="10"/>
      <c r="G903" s="10"/>
      <c r="I903" s="2"/>
      <c r="J903" s="2"/>
      <c r="K903" s="2"/>
      <c r="L903" s="2"/>
      <c r="M903" s="2"/>
      <c r="N903" s="2"/>
      <c r="O903" s="2"/>
      <c r="P903" s="2"/>
      <c r="Q903" s="2"/>
      <c r="R903" s="2"/>
      <c r="S903" s="2"/>
      <c r="T903" s="2"/>
      <c r="U903" s="2"/>
      <c r="V903" s="2"/>
      <c r="W903" s="2"/>
      <c r="X903" s="2"/>
      <c r="Y903" s="2"/>
      <c r="Z903" s="2"/>
      <c r="AA903" s="2"/>
    </row>
    <row r="904">
      <c r="A904" s="2"/>
      <c r="B904" s="2"/>
      <c r="D904" s="2"/>
      <c r="E904" s="2"/>
      <c r="F904" s="10"/>
      <c r="G904" s="10"/>
      <c r="I904" s="2"/>
      <c r="J904" s="2"/>
      <c r="K904" s="2"/>
      <c r="L904" s="2"/>
      <c r="M904" s="2"/>
      <c r="N904" s="2"/>
      <c r="O904" s="2"/>
      <c r="P904" s="2"/>
      <c r="Q904" s="2"/>
      <c r="R904" s="2"/>
      <c r="S904" s="2"/>
      <c r="T904" s="2"/>
      <c r="U904" s="2"/>
      <c r="V904" s="2"/>
      <c r="W904" s="2"/>
      <c r="X904" s="2"/>
      <c r="Y904" s="2"/>
      <c r="Z904" s="2"/>
      <c r="AA904" s="2"/>
    </row>
    <row r="905">
      <c r="A905" s="2"/>
      <c r="B905" s="2"/>
      <c r="D905" s="2"/>
      <c r="E905" s="2"/>
      <c r="F905" s="10"/>
      <c r="G905" s="10"/>
      <c r="I905" s="2"/>
      <c r="J905" s="2"/>
      <c r="K905" s="2"/>
      <c r="L905" s="2"/>
      <c r="M905" s="2"/>
      <c r="N905" s="2"/>
      <c r="O905" s="2"/>
      <c r="P905" s="2"/>
      <c r="Q905" s="2"/>
      <c r="R905" s="2"/>
      <c r="S905" s="2"/>
      <c r="T905" s="2"/>
      <c r="U905" s="2"/>
      <c r="V905" s="2"/>
      <c r="W905" s="2"/>
      <c r="X905" s="2"/>
      <c r="Y905" s="2"/>
      <c r="Z905" s="2"/>
      <c r="AA905" s="2"/>
    </row>
    <row r="906">
      <c r="A906" s="2"/>
      <c r="B906" s="2"/>
      <c r="D906" s="2"/>
      <c r="E906" s="2"/>
      <c r="F906" s="10"/>
      <c r="G906" s="10"/>
      <c r="I906" s="2"/>
      <c r="J906" s="2"/>
      <c r="K906" s="2"/>
      <c r="L906" s="2"/>
      <c r="M906" s="2"/>
      <c r="N906" s="2"/>
      <c r="O906" s="2"/>
      <c r="P906" s="2"/>
      <c r="Q906" s="2"/>
      <c r="R906" s="2"/>
      <c r="S906" s="2"/>
      <c r="T906" s="2"/>
      <c r="U906" s="2"/>
      <c r="V906" s="2"/>
      <c r="W906" s="2"/>
      <c r="X906" s="2"/>
      <c r="Y906" s="2"/>
      <c r="Z906" s="2"/>
      <c r="AA906" s="2"/>
    </row>
    <row r="907">
      <c r="A907" s="2"/>
      <c r="B907" s="2"/>
      <c r="D907" s="2"/>
      <c r="E907" s="2"/>
      <c r="F907" s="10"/>
      <c r="G907" s="10"/>
      <c r="I907" s="2"/>
      <c r="J907" s="2"/>
      <c r="K907" s="2"/>
      <c r="L907" s="2"/>
      <c r="M907" s="2"/>
      <c r="N907" s="2"/>
      <c r="O907" s="2"/>
      <c r="P907" s="2"/>
      <c r="Q907" s="2"/>
      <c r="R907" s="2"/>
      <c r="S907" s="2"/>
      <c r="T907" s="2"/>
      <c r="U907" s="2"/>
      <c r="V907" s="2"/>
      <c r="W907" s="2"/>
      <c r="X907" s="2"/>
      <c r="Y907" s="2"/>
      <c r="Z907" s="2"/>
      <c r="AA907" s="2"/>
    </row>
    <row r="908">
      <c r="A908" s="2"/>
      <c r="B908" s="2"/>
      <c r="D908" s="2"/>
      <c r="E908" s="2"/>
      <c r="F908" s="10"/>
      <c r="G908" s="10"/>
      <c r="I908" s="2"/>
      <c r="J908" s="2"/>
      <c r="K908" s="2"/>
      <c r="L908" s="2"/>
      <c r="M908" s="2"/>
      <c r="N908" s="2"/>
      <c r="O908" s="2"/>
      <c r="P908" s="2"/>
      <c r="Q908" s="2"/>
      <c r="R908" s="2"/>
      <c r="S908" s="2"/>
      <c r="T908" s="2"/>
      <c r="U908" s="2"/>
      <c r="V908" s="2"/>
      <c r="W908" s="2"/>
      <c r="X908" s="2"/>
      <c r="Y908" s="2"/>
      <c r="Z908" s="2"/>
      <c r="AA908" s="2"/>
    </row>
    <row r="909">
      <c r="A909" s="2"/>
      <c r="B909" s="2"/>
      <c r="D909" s="2"/>
      <c r="E909" s="2"/>
      <c r="F909" s="10"/>
      <c r="G909" s="10"/>
      <c r="I909" s="2"/>
      <c r="J909" s="2"/>
      <c r="K909" s="2"/>
      <c r="L909" s="2"/>
      <c r="M909" s="2"/>
      <c r="N909" s="2"/>
      <c r="O909" s="2"/>
      <c r="P909" s="2"/>
      <c r="Q909" s="2"/>
      <c r="R909" s="2"/>
      <c r="S909" s="2"/>
      <c r="T909" s="2"/>
      <c r="U909" s="2"/>
      <c r="V909" s="2"/>
      <c r="W909" s="2"/>
      <c r="X909" s="2"/>
      <c r="Y909" s="2"/>
      <c r="Z909" s="2"/>
      <c r="AA909" s="2"/>
    </row>
    <row r="910">
      <c r="A910" s="2"/>
      <c r="B910" s="2"/>
      <c r="D910" s="2"/>
      <c r="E910" s="2"/>
      <c r="F910" s="10"/>
      <c r="G910" s="10"/>
      <c r="I910" s="2"/>
      <c r="J910" s="2"/>
      <c r="K910" s="2"/>
      <c r="L910" s="2"/>
      <c r="M910" s="2"/>
      <c r="N910" s="2"/>
      <c r="O910" s="2"/>
      <c r="P910" s="2"/>
      <c r="Q910" s="2"/>
      <c r="R910" s="2"/>
      <c r="S910" s="2"/>
      <c r="T910" s="2"/>
      <c r="U910" s="2"/>
      <c r="V910" s="2"/>
      <c r="W910" s="2"/>
      <c r="X910" s="2"/>
      <c r="Y910" s="2"/>
      <c r="Z910" s="2"/>
      <c r="AA910" s="2"/>
    </row>
    <row r="911">
      <c r="A911" s="2"/>
      <c r="B911" s="2"/>
      <c r="D911" s="2"/>
      <c r="E911" s="2"/>
      <c r="F911" s="10"/>
      <c r="G911" s="10"/>
      <c r="I911" s="2"/>
      <c r="J911" s="2"/>
      <c r="K911" s="2"/>
      <c r="L911" s="2"/>
      <c r="M911" s="2"/>
      <c r="N911" s="2"/>
      <c r="O911" s="2"/>
      <c r="P911" s="2"/>
      <c r="Q911" s="2"/>
      <c r="R911" s="2"/>
      <c r="S911" s="2"/>
      <c r="T911" s="2"/>
      <c r="U911" s="2"/>
      <c r="V911" s="2"/>
      <c r="W911" s="2"/>
      <c r="X911" s="2"/>
      <c r="Y911" s="2"/>
      <c r="Z911" s="2"/>
      <c r="AA911" s="2"/>
    </row>
    <row r="912">
      <c r="A912" s="2"/>
      <c r="B912" s="2"/>
      <c r="D912" s="2"/>
      <c r="E912" s="2"/>
      <c r="F912" s="10"/>
      <c r="G912" s="10"/>
      <c r="I912" s="2"/>
      <c r="J912" s="2"/>
      <c r="K912" s="2"/>
      <c r="L912" s="2"/>
      <c r="M912" s="2"/>
      <c r="N912" s="2"/>
      <c r="O912" s="2"/>
      <c r="P912" s="2"/>
      <c r="Q912" s="2"/>
      <c r="R912" s="2"/>
      <c r="S912" s="2"/>
      <c r="T912" s="2"/>
      <c r="U912" s="2"/>
      <c r="V912" s="2"/>
      <c r="W912" s="2"/>
      <c r="X912" s="2"/>
      <c r="Y912" s="2"/>
      <c r="Z912" s="2"/>
      <c r="AA912" s="2"/>
    </row>
    <row r="913">
      <c r="A913" s="2"/>
      <c r="B913" s="2"/>
      <c r="D913" s="2"/>
      <c r="E913" s="2"/>
      <c r="F913" s="10"/>
      <c r="G913" s="10"/>
      <c r="I913" s="2"/>
      <c r="J913" s="2"/>
      <c r="K913" s="2"/>
      <c r="L913" s="2"/>
      <c r="M913" s="2"/>
      <c r="N913" s="2"/>
      <c r="O913" s="2"/>
      <c r="P913" s="2"/>
      <c r="Q913" s="2"/>
      <c r="R913" s="2"/>
      <c r="S913" s="2"/>
      <c r="T913" s="2"/>
      <c r="U913" s="2"/>
      <c r="V913" s="2"/>
      <c r="W913" s="2"/>
      <c r="X913" s="2"/>
      <c r="Y913" s="2"/>
      <c r="Z913" s="2"/>
      <c r="AA913" s="2"/>
    </row>
    <row r="914">
      <c r="A914" s="2"/>
      <c r="B914" s="2"/>
      <c r="D914" s="2"/>
      <c r="E914" s="2"/>
      <c r="F914" s="10"/>
      <c r="G914" s="10"/>
      <c r="I914" s="2"/>
      <c r="J914" s="2"/>
      <c r="K914" s="2"/>
      <c r="L914" s="2"/>
      <c r="M914" s="2"/>
      <c r="N914" s="2"/>
      <c r="O914" s="2"/>
      <c r="P914" s="2"/>
      <c r="Q914" s="2"/>
      <c r="R914" s="2"/>
      <c r="S914" s="2"/>
      <c r="T914" s="2"/>
      <c r="U914" s="2"/>
      <c r="V914" s="2"/>
      <c r="W914" s="2"/>
      <c r="X914" s="2"/>
      <c r="Y914" s="2"/>
      <c r="Z914" s="2"/>
      <c r="AA914" s="2"/>
    </row>
    <row r="915">
      <c r="A915" s="2"/>
      <c r="B915" s="2"/>
      <c r="D915" s="2"/>
      <c r="E915" s="2"/>
      <c r="F915" s="10"/>
      <c r="G915" s="10"/>
      <c r="I915" s="2"/>
      <c r="J915" s="2"/>
      <c r="K915" s="2"/>
      <c r="L915" s="2"/>
      <c r="M915" s="2"/>
      <c r="N915" s="2"/>
      <c r="O915" s="2"/>
      <c r="P915" s="2"/>
      <c r="Q915" s="2"/>
      <c r="R915" s="2"/>
      <c r="S915" s="2"/>
      <c r="T915" s="2"/>
      <c r="U915" s="2"/>
      <c r="V915" s="2"/>
      <c r="W915" s="2"/>
      <c r="X915" s="2"/>
      <c r="Y915" s="2"/>
      <c r="Z915" s="2"/>
      <c r="AA915" s="2"/>
    </row>
    <row r="916">
      <c r="A916" s="2"/>
      <c r="B916" s="2"/>
      <c r="D916" s="2"/>
      <c r="E916" s="2"/>
      <c r="F916" s="10"/>
      <c r="G916" s="10"/>
      <c r="I916" s="2"/>
      <c r="J916" s="2"/>
      <c r="K916" s="2"/>
      <c r="L916" s="2"/>
      <c r="M916" s="2"/>
      <c r="N916" s="2"/>
      <c r="O916" s="2"/>
      <c r="P916" s="2"/>
      <c r="Q916" s="2"/>
      <c r="R916" s="2"/>
      <c r="S916" s="2"/>
      <c r="T916" s="2"/>
      <c r="U916" s="2"/>
      <c r="V916" s="2"/>
      <c r="W916" s="2"/>
      <c r="X916" s="2"/>
      <c r="Y916" s="2"/>
      <c r="Z916" s="2"/>
      <c r="AA916" s="2"/>
    </row>
    <row r="917">
      <c r="A917" s="2"/>
      <c r="B917" s="2"/>
      <c r="D917" s="2"/>
      <c r="E917" s="2"/>
      <c r="F917" s="10"/>
      <c r="G917" s="10"/>
      <c r="I917" s="2"/>
      <c r="J917" s="2"/>
      <c r="K917" s="2"/>
      <c r="L917" s="2"/>
      <c r="M917" s="2"/>
      <c r="N917" s="2"/>
      <c r="O917" s="2"/>
      <c r="P917" s="2"/>
      <c r="Q917" s="2"/>
      <c r="R917" s="2"/>
      <c r="S917" s="2"/>
      <c r="T917" s="2"/>
      <c r="U917" s="2"/>
      <c r="V917" s="2"/>
      <c r="W917" s="2"/>
      <c r="X917" s="2"/>
      <c r="Y917" s="2"/>
      <c r="Z917" s="2"/>
      <c r="AA917" s="2"/>
    </row>
    <row r="918">
      <c r="A918" s="2"/>
      <c r="B918" s="2"/>
      <c r="D918" s="2"/>
      <c r="E918" s="2"/>
      <c r="F918" s="10"/>
      <c r="G918" s="10"/>
      <c r="I918" s="2"/>
      <c r="J918" s="2"/>
      <c r="K918" s="2"/>
      <c r="L918" s="2"/>
      <c r="M918" s="2"/>
      <c r="N918" s="2"/>
      <c r="O918" s="2"/>
      <c r="P918" s="2"/>
      <c r="Q918" s="2"/>
      <c r="R918" s="2"/>
      <c r="S918" s="2"/>
      <c r="T918" s="2"/>
      <c r="U918" s="2"/>
      <c r="V918" s="2"/>
      <c r="W918" s="2"/>
      <c r="X918" s="2"/>
      <c r="Y918" s="2"/>
      <c r="Z918" s="2"/>
      <c r="AA918" s="2"/>
    </row>
    <row r="919">
      <c r="A919" s="2"/>
      <c r="B919" s="2"/>
      <c r="D919" s="2"/>
      <c r="E919" s="2"/>
      <c r="F919" s="10"/>
      <c r="G919" s="10"/>
      <c r="I919" s="2"/>
      <c r="J919" s="2"/>
      <c r="K919" s="2"/>
      <c r="L919" s="2"/>
      <c r="M919" s="2"/>
      <c r="N919" s="2"/>
      <c r="O919" s="2"/>
      <c r="P919" s="2"/>
      <c r="Q919" s="2"/>
      <c r="R919" s="2"/>
      <c r="S919" s="2"/>
      <c r="T919" s="2"/>
      <c r="U919" s="2"/>
      <c r="V919" s="2"/>
      <c r="W919" s="2"/>
      <c r="X919" s="2"/>
      <c r="Y919" s="2"/>
      <c r="Z919" s="2"/>
      <c r="AA919" s="2"/>
    </row>
    <row r="920">
      <c r="A920" s="2"/>
      <c r="B920" s="2"/>
      <c r="D920" s="2"/>
      <c r="E920" s="2"/>
      <c r="F920" s="10"/>
      <c r="G920" s="10"/>
      <c r="I920" s="2"/>
      <c r="J920" s="2"/>
      <c r="K920" s="2"/>
      <c r="L920" s="2"/>
      <c r="M920" s="2"/>
      <c r="N920" s="2"/>
      <c r="O920" s="2"/>
      <c r="P920" s="2"/>
      <c r="Q920" s="2"/>
      <c r="R920" s="2"/>
      <c r="S920" s="2"/>
      <c r="T920" s="2"/>
      <c r="U920" s="2"/>
      <c r="V920" s="2"/>
      <c r="W920" s="2"/>
      <c r="X920" s="2"/>
      <c r="Y920" s="2"/>
      <c r="Z920" s="2"/>
      <c r="AA920" s="2"/>
    </row>
    <row r="921">
      <c r="A921" s="2"/>
      <c r="B921" s="2"/>
      <c r="D921" s="2"/>
      <c r="E921" s="2"/>
      <c r="F921" s="10"/>
      <c r="G921" s="10"/>
      <c r="I921" s="2"/>
      <c r="J921" s="2"/>
      <c r="K921" s="2"/>
      <c r="L921" s="2"/>
      <c r="M921" s="2"/>
      <c r="N921" s="2"/>
      <c r="O921" s="2"/>
      <c r="P921" s="2"/>
      <c r="Q921" s="2"/>
      <c r="R921" s="2"/>
      <c r="S921" s="2"/>
      <c r="T921" s="2"/>
      <c r="U921" s="2"/>
      <c r="V921" s="2"/>
      <c r="W921" s="2"/>
      <c r="X921" s="2"/>
      <c r="Y921" s="2"/>
      <c r="Z921" s="2"/>
      <c r="AA921" s="2"/>
    </row>
    <row r="922">
      <c r="A922" s="2"/>
      <c r="B922" s="2"/>
      <c r="D922" s="2"/>
      <c r="E922" s="2"/>
      <c r="F922" s="10"/>
      <c r="G922" s="10"/>
      <c r="I922" s="2"/>
      <c r="J922" s="2"/>
      <c r="K922" s="2"/>
      <c r="L922" s="2"/>
      <c r="M922" s="2"/>
      <c r="N922" s="2"/>
      <c r="O922" s="2"/>
      <c r="P922" s="2"/>
      <c r="Q922" s="2"/>
      <c r="R922" s="2"/>
      <c r="S922" s="2"/>
      <c r="T922" s="2"/>
      <c r="U922" s="2"/>
      <c r="V922" s="2"/>
      <c r="W922" s="2"/>
      <c r="X922" s="2"/>
      <c r="Y922" s="2"/>
      <c r="Z922" s="2"/>
      <c r="AA922" s="2"/>
    </row>
    <row r="923">
      <c r="A923" s="2"/>
      <c r="B923" s="2"/>
      <c r="D923" s="2"/>
      <c r="E923" s="2"/>
      <c r="F923" s="10"/>
      <c r="G923" s="10"/>
      <c r="I923" s="2"/>
      <c r="J923" s="2"/>
      <c r="K923" s="2"/>
      <c r="L923" s="2"/>
      <c r="M923" s="2"/>
      <c r="N923" s="2"/>
      <c r="O923" s="2"/>
      <c r="P923" s="2"/>
      <c r="Q923" s="2"/>
      <c r="R923" s="2"/>
      <c r="S923" s="2"/>
      <c r="T923" s="2"/>
      <c r="U923" s="2"/>
      <c r="V923" s="2"/>
      <c r="W923" s="2"/>
      <c r="X923" s="2"/>
      <c r="Y923" s="2"/>
      <c r="Z923" s="2"/>
      <c r="AA923" s="2"/>
    </row>
    <row r="924">
      <c r="A924" s="2"/>
      <c r="B924" s="2"/>
      <c r="D924" s="2"/>
      <c r="E924" s="2"/>
      <c r="F924" s="10"/>
      <c r="G924" s="10"/>
      <c r="I924" s="2"/>
      <c r="J924" s="2"/>
      <c r="K924" s="2"/>
      <c r="L924" s="2"/>
      <c r="M924" s="2"/>
      <c r="N924" s="2"/>
      <c r="O924" s="2"/>
      <c r="P924" s="2"/>
      <c r="Q924" s="2"/>
      <c r="R924" s="2"/>
      <c r="S924" s="2"/>
      <c r="T924" s="2"/>
      <c r="U924" s="2"/>
      <c r="V924" s="2"/>
      <c r="W924" s="2"/>
      <c r="X924" s="2"/>
      <c r="Y924" s="2"/>
      <c r="Z924" s="2"/>
      <c r="AA924" s="2"/>
    </row>
    <row r="925">
      <c r="A925" s="2"/>
      <c r="B925" s="2"/>
      <c r="D925" s="2"/>
      <c r="E925" s="2"/>
      <c r="F925" s="10"/>
      <c r="G925" s="10"/>
      <c r="I925" s="2"/>
      <c r="J925" s="2"/>
      <c r="K925" s="2"/>
      <c r="L925" s="2"/>
      <c r="M925" s="2"/>
      <c r="N925" s="2"/>
      <c r="O925" s="2"/>
      <c r="P925" s="2"/>
      <c r="Q925" s="2"/>
      <c r="R925" s="2"/>
      <c r="S925" s="2"/>
      <c r="T925" s="2"/>
      <c r="U925" s="2"/>
      <c r="V925" s="2"/>
      <c r="W925" s="2"/>
      <c r="X925" s="2"/>
      <c r="Y925" s="2"/>
      <c r="Z925" s="2"/>
      <c r="AA925" s="2"/>
    </row>
    <row r="926">
      <c r="A926" s="2"/>
      <c r="B926" s="2"/>
      <c r="D926" s="2"/>
      <c r="E926" s="2"/>
      <c r="F926" s="10"/>
      <c r="G926" s="10"/>
      <c r="I926" s="2"/>
      <c r="J926" s="2"/>
      <c r="K926" s="2"/>
      <c r="L926" s="2"/>
      <c r="M926" s="2"/>
      <c r="N926" s="2"/>
      <c r="O926" s="2"/>
      <c r="P926" s="2"/>
      <c r="Q926" s="2"/>
      <c r="R926" s="2"/>
      <c r="S926" s="2"/>
      <c r="T926" s="2"/>
      <c r="U926" s="2"/>
      <c r="V926" s="2"/>
      <c r="W926" s="2"/>
      <c r="X926" s="2"/>
      <c r="Y926" s="2"/>
      <c r="Z926" s="2"/>
      <c r="AA926" s="2"/>
    </row>
    <row r="927">
      <c r="A927" s="2"/>
      <c r="B927" s="2"/>
      <c r="D927" s="2"/>
      <c r="E927" s="2"/>
      <c r="F927" s="10"/>
      <c r="G927" s="10"/>
      <c r="I927" s="2"/>
      <c r="J927" s="2"/>
      <c r="K927" s="2"/>
      <c r="L927" s="2"/>
      <c r="M927" s="2"/>
      <c r="N927" s="2"/>
      <c r="O927" s="2"/>
      <c r="P927" s="2"/>
      <c r="Q927" s="2"/>
      <c r="R927" s="2"/>
      <c r="S927" s="2"/>
      <c r="T927" s="2"/>
      <c r="U927" s="2"/>
      <c r="V927" s="2"/>
      <c r="W927" s="2"/>
      <c r="X927" s="2"/>
      <c r="Y927" s="2"/>
      <c r="Z927" s="2"/>
      <c r="AA927" s="2"/>
    </row>
    <row r="928">
      <c r="A928" s="2"/>
      <c r="B928" s="2"/>
      <c r="D928" s="2"/>
      <c r="E928" s="2"/>
      <c r="F928" s="10"/>
      <c r="G928" s="10"/>
      <c r="I928" s="2"/>
      <c r="J928" s="2"/>
      <c r="K928" s="2"/>
      <c r="L928" s="2"/>
      <c r="M928" s="2"/>
      <c r="N928" s="2"/>
      <c r="O928" s="2"/>
      <c r="P928" s="2"/>
      <c r="Q928" s="2"/>
      <c r="R928" s="2"/>
      <c r="S928" s="2"/>
      <c r="T928" s="2"/>
      <c r="U928" s="2"/>
      <c r="V928" s="2"/>
      <c r="W928" s="2"/>
      <c r="X928" s="2"/>
      <c r="Y928" s="2"/>
      <c r="Z928" s="2"/>
      <c r="AA928" s="2"/>
    </row>
    <row r="929">
      <c r="A929" s="2"/>
      <c r="B929" s="2"/>
      <c r="D929" s="2"/>
      <c r="E929" s="2"/>
      <c r="F929" s="10"/>
      <c r="G929" s="10"/>
      <c r="I929" s="2"/>
      <c r="J929" s="2"/>
      <c r="K929" s="2"/>
      <c r="L929" s="2"/>
      <c r="M929" s="2"/>
      <c r="N929" s="2"/>
      <c r="O929" s="2"/>
      <c r="P929" s="2"/>
      <c r="Q929" s="2"/>
      <c r="R929" s="2"/>
      <c r="S929" s="2"/>
      <c r="T929" s="2"/>
      <c r="U929" s="2"/>
      <c r="V929" s="2"/>
      <c r="W929" s="2"/>
      <c r="X929" s="2"/>
      <c r="Y929" s="2"/>
      <c r="Z929" s="2"/>
      <c r="AA929" s="2"/>
    </row>
    <row r="930">
      <c r="A930" s="2"/>
      <c r="B930" s="2"/>
      <c r="D930" s="2"/>
      <c r="E930" s="2"/>
      <c r="F930" s="10"/>
      <c r="G930" s="10"/>
      <c r="I930" s="2"/>
      <c r="J930" s="2"/>
      <c r="K930" s="2"/>
      <c r="L930" s="2"/>
      <c r="M930" s="2"/>
      <c r="N930" s="2"/>
      <c r="O930" s="2"/>
      <c r="P930" s="2"/>
      <c r="Q930" s="2"/>
      <c r="R930" s="2"/>
      <c r="S930" s="2"/>
      <c r="T930" s="2"/>
      <c r="U930" s="2"/>
      <c r="V930" s="2"/>
      <c r="W930" s="2"/>
      <c r="X930" s="2"/>
      <c r="Y930" s="2"/>
      <c r="Z930" s="2"/>
      <c r="AA930" s="2"/>
    </row>
    <row r="931">
      <c r="A931" s="2"/>
      <c r="B931" s="2"/>
      <c r="D931" s="2"/>
      <c r="E931" s="2"/>
      <c r="F931" s="10"/>
      <c r="G931" s="10"/>
      <c r="I931" s="2"/>
      <c r="J931" s="2"/>
      <c r="K931" s="2"/>
      <c r="L931" s="2"/>
      <c r="M931" s="2"/>
      <c r="N931" s="2"/>
      <c r="O931" s="2"/>
      <c r="P931" s="2"/>
      <c r="Q931" s="2"/>
      <c r="R931" s="2"/>
      <c r="S931" s="2"/>
      <c r="T931" s="2"/>
      <c r="U931" s="2"/>
      <c r="V931" s="2"/>
      <c r="W931" s="2"/>
      <c r="X931" s="2"/>
      <c r="Y931" s="2"/>
      <c r="Z931" s="2"/>
      <c r="AA931" s="2"/>
    </row>
    <row r="932">
      <c r="A932" s="2"/>
      <c r="B932" s="2"/>
      <c r="D932" s="2"/>
      <c r="E932" s="2"/>
      <c r="F932" s="10"/>
      <c r="G932" s="10"/>
      <c r="I932" s="2"/>
      <c r="J932" s="2"/>
      <c r="K932" s="2"/>
      <c r="L932" s="2"/>
      <c r="M932" s="2"/>
      <c r="N932" s="2"/>
      <c r="O932" s="2"/>
      <c r="P932" s="2"/>
      <c r="Q932" s="2"/>
      <c r="R932" s="2"/>
      <c r="S932" s="2"/>
      <c r="T932" s="2"/>
      <c r="U932" s="2"/>
      <c r="V932" s="2"/>
      <c r="W932" s="2"/>
      <c r="X932" s="2"/>
      <c r="Y932" s="2"/>
      <c r="Z932" s="2"/>
      <c r="AA932" s="2"/>
    </row>
    <row r="933">
      <c r="A933" s="2"/>
      <c r="B933" s="2"/>
      <c r="D933" s="2"/>
      <c r="E933" s="2"/>
      <c r="F933" s="10"/>
      <c r="G933" s="10"/>
      <c r="I933" s="2"/>
      <c r="J933" s="2"/>
      <c r="K933" s="2"/>
      <c r="L933" s="2"/>
      <c r="M933" s="2"/>
      <c r="N933" s="2"/>
      <c r="O933" s="2"/>
      <c r="P933" s="2"/>
      <c r="Q933" s="2"/>
      <c r="R933" s="2"/>
      <c r="S933" s="2"/>
      <c r="T933" s="2"/>
      <c r="U933" s="2"/>
      <c r="V933" s="2"/>
      <c r="W933" s="2"/>
      <c r="X933" s="2"/>
      <c r="Y933" s="2"/>
      <c r="Z933" s="2"/>
      <c r="AA933" s="2"/>
    </row>
    <row r="934">
      <c r="A934" s="2"/>
      <c r="B934" s="2"/>
      <c r="D934" s="2"/>
      <c r="E934" s="2"/>
      <c r="F934" s="10"/>
      <c r="G934" s="10"/>
      <c r="I934" s="2"/>
      <c r="J934" s="2"/>
      <c r="K934" s="2"/>
      <c r="L934" s="2"/>
      <c r="M934" s="2"/>
      <c r="N934" s="2"/>
      <c r="O934" s="2"/>
      <c r="P934" s="2"/>
      <c r="Q934" s="2"/>
      <c r="R934" s="2"/>
      <c r="S934" s="2"/>
      <c r="T934" s="2"/>
      <c r="U934" s="2"/>
      <c r="V934" s="2"/>
      <c r="W934" s="2"/>
      <c r="X934" s="2"/>
      <c r="Y934" s="2"/>
      <c r="Z934" s="2"/>
      <c r="AA934" s="2"/>
    </row>
    <row r="935">
      <c r="A935" s="2"/>
      <c r="B935" s="2"/>
      <c r="D935" s="2"/>
      <c r="E935" s="2"/>
      <c r="F935" s="10"/>
      <c r="G935" s="10"/>
      <c r="I935" s="2"/>
      <c r="J935" s="2"/>
      <c r="K935" s="2"/>
      <c r="L935" s="2"/>
      <c r="M935" s="2"/>
      <c r="N935" s="2"/>
      <c r="O935" s="2"/>
      <c r="P935" s="2"/>
      <c r="Q935" s="2"/>
      <c r="R935" s="2"/>
      <c r="S935" s="2"/>
      <c r="T935" s="2"/>
      <c r="U935" s="2"/>
      <c r="V935" s="2"/>
      <c r="W935" s="2"/>
      <c r="X935" s="2"/>
      <c r="Y935" s="2"/>
      <c r="Z935" s="2"/>
      <c r="AA935" s="2"/>
    </row>
    <row r="936">
      <c r="A936" s="2"/>
      <c r="B936" s="2"/>
      <c r="D936" s="2"/>
      <c r="E936" s="2"/>
      <c r="F936" s="10"/>
      <c r="G936" s="10"/>
      <c r="I936" s="2"/>
      <c r="J936" s="2"/>
      <c r="K936" s="2"/>
      <c r="L936" s="2"/>
      <c r="M936" s="2"/>
      <c r="N936" s="2"/>
      <c r="O936" s="2"/>
      <c r="P936" s="2"/>
      <c r="Q936" s="2"/>
      <c r="R936" s="2"/>
      <c r="S936" s="2"/>
      <c r="T936" s="2"/>
      <c r="U936" s="2"/>
      <c r="V936" s="2"/>
      <c r="W936" s="2"/>
      <c r="X936" s="2"/>
      <c r="Y936" s="2"/>
      <c r="Z936" s="2"/>
      <c r="AA936" s="2"/>
    </row>
    <row r="937">
      <c r="A937" s="2"/>
      <c r="B937" s="2"/>
      <c r="D937" s="2"/>
      <c r="E937" s="2"/>
      <c r="F937" s="10"/>
      <c r="G937" s="10"/>
      <c r="I937" s="2"/>
      <c r="J937" s="2"/>
      <c r="K937" s="2"/>
      <c r="L937" s="2"/>
      <c r="M937" s="2"/>
      <c r="N937" s="2"/>
      <c r="O937" s="2"/>
      <c r="P937" s="2"/>
      <c r="Q937" s="2"/>
      <c r="R937" s="2"/>
      <c r="S937" s="2"/>
      <c r="T937" s="2"/>
      <c r="U937" s="2"/>
      <c r="V937" s="2"/>
      <c r="W937" s="2"/>
      <c r="X937" s="2"/>
      <c r="Y937" s="2"/>
      <c r="Z937" s="2"/>
      <c r="AA937" s="2"/>
    </row>
    <row r="938">
      <c r="A938" s="2"/>
      <c r="B938" s="2"/>
      <c r="D938" s="2"/>
      <c r="E938" s="2"/>
      <c r="F938" s="10"/>
      <c r="G938" s="10"/>
      <c r="I938" s="2"/>
      <c r="J938" s="2"/>
      <c r="K938" s="2"/>
      <c r="L938" s="2"/>
      <c r="M938" s="2"/>
      <c r="N938" s="2"/>
      <c r="O938" s="2"/>
      <c r="P938" s="2"/>
      <c r="Q938" s="2"/>
      <c r="R938" s="2"/>
      <c r="S938" s="2"/>
      <c r="T938" s="2"/>
      <c r="U938" s="2"/>
      <c r="V938" s="2"/>
      <c r="W938" s="2"/>
      <c r="X938" s="2"/>
      <c r="Y938" s="2"/>
      <c r="Z938" s="2"/>
      <c r="AA938" s="2"/>
    </row>
    <row r="939">
      <c r="A939" s="2"/>
      <c r="B939" s="2"/>
      <c r="D939" s="2"/>
      <c r="E939" s="2"/>
      <c r="F939" s="10"/>
      <c r="G939" s="10"/>
      <c r="I939" s="2"/>
      <c r="J939" s="2"/>
      <c r="K939" s="2"/>
      <c r="L939" s="2"/>
      <c r="M939" s="2"/>
      <c r="N939" s="2"/>
      <c r="O939" s="2"/>
      <c r="P939" s="2"/>
      <c r="Q939" s="2"/>
      <c r="R939" s="2"/>
      <c r="S939" s="2"/>
      <c r="T939" s="2"/>
      <c r="U939" s="2"/>
      <c r="V939" s="2"/>
      <c r="W939" s="2"/>
      <c r="X939" s="2"/>
      <c r="Y939" s="2"/>
      <c r="Z939" s="2"/>
      <c r="AA939" s="2"/>
    </row>
    <row r="940">
      <c r="A940" s="2"/>
      <c r="B940" s="2"/>
      <c r="D940" s="2"/>
      <c r="E940" s="2"/>
      <c r="F940" s="10"/>
      <c r="G940" s="10"/>
      <c r="I940" s="2"/>
      <c r="J940" s="2"/>
      <c r="K940" s="2"/>
      <c r="L940" s="2"/>
      <c r="M940" s="2"/>
      <c r="N940" s="2"/>
      <c r="O940" s="2"/>
      <c r="P940" s="2"/>
      <c r="Q940" s="2"/>
      <c r="R940" s="2"/>
      <c r="S940" s="2"/>
      <c r="T940" s="2"/>
      <c r="U940" s="2"/>
      <c r="V940" s="2"/>
      <c r="W940" s="2"/>
      <c r="X940" s="2"/>
      <c r="Y940" s="2"/>
      <c r="Z940" s="2"/>
      <c r="AA940" s="2"/>
    </row>
    <row r="941">
      <c r="A941" s="2"/>
      <c r="B941" s="2"/>
      <c r="D941" s="2"/>
      <c r="E941" s="2"/>
      <c r="F941" s="10"/>
      <c r="G941" s="10"/>
      <c r="I941" s="2"/>
      <c r="J941" s="2"/>
      <c r="K941" s="2"/>
      <c r="L941" s="2"/>
      <c r="M941" s="2"/>
      <c r="N941" s="2"/>
      <c r="O941" s="2"/>
      <c r="P941" s="2"/>
      <c r="Q941" s="2"/>
      <c r="R941" s="2"/>
      <c r="S941" s="2"/>
      <c r="T941" s="2"/>
      <c r="U941" s="2"/>
      <c r="V941" s="2"/>
      <c r="W941" s="2"/>
      <c r="X941" s="2"/>
      <c r="Y941" s="2"/>
      <c r="Z941" s="2"/>
      <c r="AA941" s="2"/>
    </row>
    <row r="942">
      <c r="A942" s="2"/>
      <c r="B942" s="2"/>
      <c r="D942" s="2"/>
      <c r="E942" s="2"/>
      <c r="F942" s="10"/>
      <c r="G942" s="10"/>
      <c r="I942" s="2"/>
      <c r="J942" s="2"/>
      <c r="K942" s="2"/>
      <c r="L942" s="2"/>
      <c r="M942" s="2"/>
      <c r="N942" s="2"/>
      <c r="O942" s="2"/>
      <c r="P942" s="2"/>
      <c r="Q942" s="2"/>
      <c r="R942" s="2"/>
      <c r="S942" s="2"/>
      <c r="T942" s="2"/>
      <c r="U942" s="2"/>
      <c r="V942" s="2"/>
      <c r="W942" s="2"/>
      <c r="X942" s="2"/>
      <c r="Y942" s="2"/>
      <c r="Z942" s="2"/>
      <c r="AA942" s="2"/>
    </row>
    <row r="943">
      <c r="A943" s="2"/>
      <c r="B943" s="2"/>
      <c r="D943" s="2"/>
      <c r="E943" s="2"/>
      <c r="F943" s="10"/>
      <c r="G943" s="10"/>
      <c r="I943" s="2"/>
      <c r="J943" s="2"/>
      <c r="K943" s="2"/>
      <c r="L943" s="2"/>
      <c r="M943" s="2"/>
      <c r="N943" s="2"/>
      <c r="O943" s="2"/>
      <c r="P943" s="2"/>
      <c r="Q943" s="2"/>
      <c r="R943" s="2"/>
      <c r="S943" s="2"/>
      <c r="T943" s="2"/>
      <c r="U943" s="2"/>
      <c r="V943" s="2"/>
      <c r="W943" s="2"/>
      <c r="X943" s="2"/>
      <c r="Y943" s="2"/>
      <c r="Z943" s="2"/>
      <c r="AA943" s="2"/>
    </row>
    <row r="944">
      <c r="A944" s="2"/>
      <c r="B944" s="2"/>
      <c r="D944" s="2"/>
      <c r="E944" s="2"/>
      <c r="F944" s="10"/>
      <c r="G944" s="10"/>
      <c r="I944" s="2"/>
      <c r="J944" s="2"/>
      <c r="K944" s="2"/>
      <c r="L944" s="2"/>
      <c r="M944" s="2"/>
      <c r="N944" s="2"/>
      <c r="O944" s="2"/>
      <c r="P944" s="2"/>
      <c r="Q944" s="2"/>
      <c r="R944" s="2"/>
      <c r="S944" s="2"/>
      <c r="T944" s="2"/>
      <c r="U944" s="2"/>
      <c r="V944" s="2"/>
      <c r="W944" s="2"/>
      <c r="X944" s="2"/>
      <c r="Y944" s="2"/>
      <c r="Z944" s="2"/>
      <c r="AA944" s="2"/>
    </row>
    <row r="945">
      <c r="A945" s="2"/>
      <c r="B945" s="2"/>
      <c r="D945" s="2"/>
      <c r="E945" s="2"/>
      <c r="F945" s="10"/>
      <c r="G945" s="10"/>
      <c r="I945" s="2"/>
      <c r="J945" s="2"/>
      <c r="K945" s="2"/>
      <c r="L945" s="2"/>
      <c r="M945" s="2"/>
      <c r="N945" s="2"/>
      <c r="O945" s="2"/>
      <c r="P945" s="2"/>
      <c r="Q945" s="2"/>
      <c r="R945" s="2"/>
      <c r="S945" s="2"/>
      <c r="T945" s="2"/>
      <c r="U945" s="2"/>
      <c r="V945" s="2"/>
      <c r="W945" s="2"/>
      <c r="X945" s="2"/>
      <c r="Y945" s="2"/>
      <c r="Z945" s="2"/>
      <c r="AA945" s="2"/>
    </row>
    <row r="946">
      <c r="A946" s="2"/>
      <c r="B946" s="2"/>
      <c r="D946" s="2"/>
      <c r="E946" s="2"/>
      <c r="F946" s="10"/>
      <c r="G946" s="10"/>
      <c r="I946" s="2"/>
      <c r="J946" s="2"/>
      <c r="K946" s="2"/>
      <c r="L946" s="2"/>
      <c r="M946" s="2"/>
      <c r="N946" s="2"/>
      <c r="O946" s="2"/>
      <c r="P946" s="2"/>
      <c r="Q946" s="2"/>
      <c r="R946" s="2"/>
      <c r="S946" s="2"/>
      <c r="T946" s="2"/>
      <c r="U946" s="2"/>
      <c r="V946" s="2"/>
      <c r="W946" s="2"/>
      <c r="X946" s="2"/>
      <c r="Y946" s="2"/>
      <c r="Z946" s="2"/>
      <c r="AA946" s="2"/>
    </row>
    <row r="947">
      <c r="A947" s="2"/>
      <c r="B947" s="2"/>
      <c r="D947" s="2"/>
      <c r="E947" s="2"/>
      <c r="F947" s="10"/>
      <c r="G947" s="10"/>
      <c r="I947" s="2"/>
      <c r="J947" s="2"/>
      <c r="K947" s="2"/>
      <c r="L947" s="2"/>
      <c r="M947" s="2"/>
      <c r="N947" s="2"/>
      <c r="O947" s="2"/>
      <c r="P947" s="2"/>
      <c r="Q947" s="2"/>
      <c r="R947" s="2"/>
      <c r="S947" s="2"/>
      <c r="T947" s="2"/>
      <c r="U947" s="2"/>
      <c r="V947" s="2"/>
      <c r="W947" s="2"/>
      <c r="X947" s="2"/>
      <c r="Y947" s="2"/>
      <c r="Z947" s="2"/>
      <c r="AA947" s="2"/>
    </row>
    <row r="948">
      <c r="A948" s="2"/>
      <c r="B948" s="2"/>
      <c r="D948" s="2"/>
      <c r="E948" s="2"/>
      <c r="F948" s="10"/>
      <c r="G948" s="10"/>
      <c r="I948" s="2"/>
      <c r="J948" s="2"/>
      <c r="K948" s="2"/>
      <c r="L948" s="2"/>
      <c r="M948" s="2"/>
      <c r="N948" s="2"/>
      <c r="O948" s="2"/>
      <c r="P948" s="2"/>
      <c r="Q948" s="2"/>
      <c r="R948" s="2"/>
      <c r="S948" s="2"/>
      <c r="T948" s="2"/>
      <c r="U948" s="2"/>
      <c r="V948" s="2"/>
      <c r="W948" s="2"/>
      <c r="X948" s="2"/>
      <c r="Y948" s="2"/>
      <c r="Z948" s="2"/>
      <c r="AA948" s="2"/>
    </row>
    <row r="949">
      <c r="A949" s="2"/>
      <c r="B949" s="2"/>
      <c r="D949" s="2"/>
      <c r="E949" s="2"/>
      <c r="F949" s="10"/>
      <c r="G949" s="10"/>
      <c r="I949" s="2"/>
      <c r="J949" s="2"/>
      <c r="K949" s="2"/>
      <c r="L949" s="2"/>
      <c r="M949" s="2"/>
      <c r="N949" s="2"/>
      <c r="O949" s="2"/>
      <c r="P949" s="2"/>
      <c r="Q949" s="2"/>
      <c r="R949" s="2"/>
      <c r="S949" s="2"/>
      <c r="T949" s="2"/>
      <c r="U949" s="2"/>
      <c r="V949" s="2"/>
      <c r="W949" s="2"/>
      <c r="X949" s="2"/>
      <c r="Y949" s="2"/>
      <c r="Z949" s="2"/>
      <c r="AA949" s="2"/>
    </row>
    <row r="950">
      <c r="A950" s="2"/>
      <c r="B950" s="2"/>
      <c r="D950" s="2"/>
      <c r="E950" s="2"/>
      <c r="F950" s="10"/>
      <c r="G950" s="10"/>
      <c r="I950" s="2"/>
      <c r="J950" s="2"/>
      <c r="K950" s="2"/>
      <c r="L950" s="2"/>
      <c r="M950" s="2"/>
      <c r="N950" s="2"/>
      <c r="O950" s="2"/>
      <c r="P950" s="2"/>
      <c r="Q950" s="2"/>
      <c r="R950" s="2"/>
      <c r="S950" s="2"/>
      <c r="T950" s="2"/>
      <c r="U950" s="2"/>
      <c r="V950" s="2"/>
      <c r="W950" s="2"/>
      <c r="X950" s="2"/>
      <c r="Y950" s="2"/>
      <c r="Z950" s="2"/>
      <c r="AA950" s="2"/>
    </row>
    <row r="951">
      <c r="A951" s="2"/>
      <c r="B951" s="2"/>
      <c r="D951" s="2"/>
      <c r="E951" s="2"/>
      <c r="F951" s="10"/>
      <c r="G951" s="10"/>
      <c r="I951" s="2"/>
      <c r="J951" s="2"/>
      <c r="K951" s="2"/>
      <c r="L951" s="2"/>
      <c r="M951" s="2"/>
      <c r="N951" s="2"/>
      <c r="O951" s="2"/>
      <c r="P951" s="2"/>
      <c r="Q951" s="2"/>
      <c r="R951" s="2"/>
      <c r="S951" s="2"/>
      <c r="T951" s="2"/>
      <c r="U951" s="2"/>
      <c r="V951" s="2"/>
      <c r="W951" s="2"/>
      <c r="X951" s="2"/>
      <c r="Y951" s="2"/>
      <c r="Z951" s="2"/>
      <c r="AA951" s="2"/>
    </row>
    <row r="952">
      <c r="A952" s="2"/>
      <c r="B952" s="2"/>
      <c r="D952" s="2"/>
      <c r="E952" s="2"/>
      <c r="F952" s="10"/>
      <c r="G952" s="10"/>
      <c r="I952" s="2"/>
      <c r="J952" s="2"/>
      <c r="K952" s="2"/>
      <c r="L952" s="2"/>
      <c r="M952" s="2"/>
      <c r="N952" s="2"/>
      <c r="O952" s="2"/>
      <c r="P952" s="2"/>
      <c r="Q952" s="2"/>
      <c r="R952" s="2"/>
      <c r="S952" s="2"/>
      <c r="T952" s="2"/>
      <c r="U952" s="2"/>
      <c r="V952" s="2"/>
      <c r="W952" s="2"/>
      <c r="X952" s="2"/>
      <c r="Y952" s="2"/>
      <c r="Z952" s="2"/>
      <c r="AA952" s="2"/>
    </row>
    <row r="953">
      <c r="A953" s="2"/>
      <c r="B953" s="2"/>
      <c r="D953" s="2"/>
      <c r="E953" s="2"/>
      <c r="F953" s="10"/>
      <c r="G953" s="10"/>
      <c r="I953" s="2"/>
      <c r="J953" s="2"/>
      <c r="K953" s="2"/>
      <c r="L953" s="2"/>
      <c r="M953" s="2"/>
      <c r="N953" s="2"/>
      <c r="O953" s="2"/>
      <c r="P953" s="2"/>
      <c r="Q953" s="2"/>
      <c r="R953" s="2"/>
      <c r="S953" s="2"/>
      <c r="T953" s="2"/>
      <c r="U953" s="2"/>
      <c r="V953" s="2"/>
      <c r="W953" s="2"/>
      <c r="X953" s="2"/>
      <c r="Y953" s="2"/>
      <c r="Z953" s="2"/>
      <c r="AA953" s="2"/>
    </row>
    <row r="954">
      <c r="A954" s="2"/>
      <c r="B954" s="2"/>
      <c r="D954" s="2"/>
      <c r="E954" s="2"/>
      <c r="F954" s="10"/>
      <c r="G954" s="10"/>
      <c r="I954" s="2"/>
      <c r="J954" s="2"/>
      <c r="K954" s="2"/>
      <c r="L954" s="2"/>
      <c r="M954" s="2"/>
      <c r="N954" s="2"/>
      <c r="O954" s="2"/>
      <c r="P954" s="2"/>
      <c r="Q954" s="2"/>
      <c r="R954" s="2"/>
      <c r="S954" s="2"/>
      <c r="T954" s="2"/>
      <c r="U954" s="2"/>
      <c r="V954" s="2"/>
      <c r="W954" s="2"/>
      <c r="X954" s="2"/>
      <c r="Y954" s="2"/>
      <c r="Z954" s="2"/>
      <c r="AA954" s="2"/>
    </row>
    <row r="955">
      <c r="A955" s="2"/>
      <c r="B955" s="2"/>
      <c r="D955" s="2"/>
      <c r="E955" s="2"/>
      <c r="F955" s="10"/>
      <c r="G955" s="10"/>
      <c r="I955" s="2"/>
      <c r="J955" s="2"/>
      <c r="K955" s="2"/>
      <c r="L955" s="2"/>
      <c r="M955" s="2"/>
      <c r="N955" s="2"/>
      <c r="O955" s="2"/>
      <c r="P955" s="2"/>
      <c r="Q955" s="2"/>
      <c r="R955" s="2"/>
      <c r="S955" s="2"/>
      <c r="T955" s="2"/>
      <c r="U955" s="2"/>
      <c r="V955" s="2"/>
      <c r="W955" s="2"/>
      <c r="X955" s="2"/>
      <c r="Y955" s="2"/>
      <c r="Z955" s="2"/>
      <c r="AA955" s="2"/>
    </row>
    <row r="956">
      <c r="A956" s="2"/>
      <c r="B956" s="2"/>
      <c r="D956" s="2"/>
      <c r="E956" s="2"/>
      <c r="F956" s="10"/>
      <c r="G956" s="10"/>
      <c r="I956" s="2"/>
      <c r="J956" s="2"/>
      <c r="K956" s="2"/>
      <c r="L956" s="2"/>
      <c r="M956" s="2"/>
      <c r="N956" s="2"/>
      <c r="O956" s="2"/>
      <c r="P956" s="2"/>
      <c r="Q956" s="2"/>
      <c r="R956" s="2"/>
      <c r="S956" s="2"/>
      <c r="T956" s="2"/>
      <c r="U956" s="2"/>
      <c r="V956" s="2"/>
      <c r="W956" s="2"/>
      <c r="X956" s="2"/>
      <c r="Y956" s="2"/>
      <c r="Z956" s="2"/>
      <c r="AA956" s="2"/>
    </row>
    <row r="957">
      <c r="A957" s="2"/>
      <c r="B957" s="2"/>
      <c r="D957" s="2"/>
      <c r="E957" s="2"/>
      <c r="F957" s="10"/>
      <c r="G957" s="10"/>
      <c r="I957" s="2"/>
      <c r="J957" s="2"/>
      <c r="K957" s="2"/>
      <c r="L957" s="2"/>
      <c r="M957" s="2"/>
      <c r="N957" s="2"/>
      <c r="O957" s="2"/>
      <c r="P957" s="2"/>
      <c r="Q957" s="2"/>
      <c r="R957" s="2"/>
      <c r="S957" s="2"/>
      <c r="T957" s="2"/>
      <c r="U957" s="2"/>
      <c r="V957" s="2"/>
      <c r="W957" s="2"/>
      <c r="X957" s="2"/>
      <c r="Y957" s="2"/>
      <c r="Z957" s="2"/>
      <c r="AA957" s="2"/>
    </row>
    <row r="958">
      <c r="A958" s="2"/>
      <c r="B958" s="2"/>
      <c r="D958" s="2"/>
      <c r="E958" s="2"/>
      <c r="F958" s="10"/>
      <c r="G958" s="10"/>
      <c r="I958" s="2"/>
      <c r="J958" s="2"/>
      <c r="K958" s="2"/>
      <c r="L958" s="2"/>
      <c r="M958" s="2"/>
      <c r="N958" s="2"/>
      <c r="O958" s="2"/>
      <c r="P958" s="2"/>
      <c r="Q958" s="2"/>
      <c r="R958" s="2"/>
      <c r="S958" s="2"/>
      <c r="T958" s="2"/>
      <c r="U958" s="2"/>
      <c r="V958" s="2"/>
      <c r="W958" s="2"/>
      <c r="X958" s="2"/>
      <c r="Y958" s="2"/>
      <c r="Z958" s="2"/>
      <c r="AA958" s="2"/>
    </row>
    <row r="959">
      <c r="A959" s="2"/>
      <c r="B959" s="2"/>
      <c r="D959" s="2"/>
      <c r="E959" s="2"/>
      <c r="F959" s="10"/>
      <c r="G959" s="10"/>
      <c r="I959" s="2"/>
      <c r="J959" s="2"/>
      <c r="K959" s="2"/>
      <c r="L959" s="2"/>
      <c r="M959" s="2"/>
      <c r="N959" s="2"/>
      <c r="O959" s="2"/>
      <c r="P959" s="2"/>
      <c r="Q959" s="2"/>
      <c r="R959" s="2"/>
      <c r="S959" s="2"/>
      <c r="T959" s="2"/>
      <c r="U959" s="2"/>
      <c r="V959" s="2"/>
      <c r="W959" s="2"/>
      <c r="X959" s="2"/>
      <c r="Y959" s="2"/>
      <c r="Z959" s="2"/>
      <c r="AA959" s="2"/>
    </row>
    <row r="960">
      <c r="A960" s="2"/>
      <c r="B960" s="2"/>
      <c r="D960" s="2"/>
      <c r="E960" s="2"/>
      <c r="F960" s="10"/>
      <c r="G960" s="10"/>
      <c r="I960" s="2"/>
      <c r="J960" s="2"/>
      <c r="K960" s="2"/>
      <c r="L960" s="2"/>
      <c r="M960" s="2"/>
      <c r="N960" s="2"/>
      <c r="O960" s="2"/>
      <c r="P960" s="2"/>
      <c r="Q960" s="2"/>
      <c r="R960" s="2"/>
      <c r="S960" s="2"/>
      <c r="T960" s="2"/>
      <c r="U960" s="2"/>
      <c r="V960" s="2"/>
      <c r="W960" s="2"/>
      <c r="X960" s="2"/>
      <c r="Y960" s="2"/>
      <c r="Z960" s="2"/>
      <c r="AA960" s="2"/>
    </row>
    <row r="961">
      <c r="A961" s="2"/>
      <c r="B961" s="2"/>
      <c r="D961" s="2"/>
      <c r="E961" s="2"/>
      <c r="F961" s="10"/>
      <c r="G961" s="10"/>
      <c r="I961" s="2"/>
      <c r="J961" s="2"/>
      <c r="K961" s="2"/>
      <c r="L961" s="2"/>
      <c r="M961" s="2"/>
      <c r="N961" s="2"/>
      <c r="O961" s="2"/>
      <c r="P961" s="2"/>
      <c r="Q961" s="2"/>
      <c r="R961" s="2"/>
      <c r="S961" s="2"/>
      <c r="T961" s="2"/>
      <c r="U961" s="2"/>
      <c r="V961" s="2"/>
      <c r="W961" s="2"/>
      <c r="X961" s="2"/>
      <c r="Y961" s="2"/>
      <c r="Z961" s="2"/>
      <c r="AA961" s="2"/>
    </row>
    <row r="962">
      <c r="A962" s="2"/>
      <c r="B962" s="2"/>
      <c r="D962" s="2"/>
      <c r="E962" s="2"/>
      <c r="F962" s="10"/>
      <c r="G962" s="10"/>
      <c r="I962" s="2"/>
      <c r="J962" s="2"/>
      <c r="K962" s="2"/>
      <c r="L962" s="2"/>
      <c r="M962" s="2"/>
      <c r="N962" s="2"/>
      <c r="O962" s="2"/>
      <c r="P962" s="2"/>
      <c r="Q962" s="2"/>
      <c r="R962" s="2"/>
      <c r="S962" s="2"/>
      <c r="T962" s="2"/>
      <c r="U962" s="2"/>
      <c r="V962" s="2"/>
      <c r="W962" s="2"/>
      <c r="X962" s="2"/>
      <c r="Y962" s="2"/>
      <c r="Z962" s="2"/>
      <c r="AA962" s="2"/>
    </row>
    <row r="963">
      <c r="A963" s="2"/>
      <c r="B963" s="2"/>
      <c r="D963" s="2"/>
      <c r="E963" s="2"/>
      <c r="F963" s="10"/>
      <c r="G963" s="10"/>
      <c r="I963" s="2"/>
      <c r="J963" s="2"/>
      <c r="K963" s="2"/>
      <c r="L963" s="2"/>
      <c r="M963" s="2"/>
      <c r="N963" s="2"/>
      <c r="O963" s="2"/>
      <c r="P963" s="2"/>
      <c r="Q963" s="2"/>
      <c r="R963" s="2"/>
      <c r="S963" s="2"/>
      <c r="T963" s="2"/>
      <c r="U963" s="2"/>
      <c r="V963" s="2"/>
      <c r="W963" s="2"/>
      <c r="X963" s="2"/>
      <c r="Y963" s="2"/>
      <c r="Z963" s="2"/>
      <c r="AA963" s="2"/>
    </row>
    <row r="964">
      <c r="A964" s="2"/>
      <c r="B964" s="2"/>
      <c r="D964" s="2"/>
      <c r="E964" s="2"/>
      <c r="F964" s="10"/>
      <c r="G964" s="10"/>
      <c r="I964" s="2"/>
      <c r="J964" s="2"/>
      <c r="K964" s="2"/>
      <c r="L964" s="2"/>
      <c r="M964" s="2"/>
      <c r="N964" s="2"/>
      <c r="O964" s="2"/>
      <c r="P964" s="2"/>
      <c r="Q964" s="2"/>
      <c r="R964" s="2"/>
      <c r="S964" s="2"/>
      <c r="T964" s="2"/>
      <c r="U964" s="2"/>
      <c r="V964" s="2"/>
      <c r="W964" s="2"/>
      <c r="X964" s="2"/>
      <c r="Y964" s="2"/>
      <c r="Z964" s="2"/>
      <c r="AA964" s="2"/>
    </row>
    <row r="965">
      <c r="A965" s="2"/>
      <c r="B965" s="2"/>
      <c r="D965" s="2"/>
      <c r="E965" s="2"/>
      <c r="F965" s="10"/>
      <c r="G965" s="10"/>
      <c r="I965" s="2"/>
      <c r="J965" s="2"/>
      <c r="K965" s="2"/>
      <c r="L965" s="2"/>
      <c r="M965" s="2"/>
      <c r="N965" s="2"/>
      <c r="O965" s="2"/>
      <c r="P965" s="2"/>
      <c r="Q965" s="2"/>
      <c r="R965" s="2"/>
      <c r="S965" s="2"/>
      <c r="T965" s="2"/>
      <c r="U965" s="2"/>
      <c r="V965" s="2"/>
      <c r="W965" s="2"/>
      <c r="X965" s="2"/>
      <c r="Y965" s="2"/>
      <c r="Z965" s="2"/>
      <c r="AA965" s="2"/>
    </row>
    <row r="966">
      <c r="A966" s="2"/>
      <c r="B966" s="2"/>
      <c r="D966" s="2"/>
      <c r="E966" s="2"/>
      <c r="F966" s="10"/>
      <c r="G966" s="10"/>
      <c r="I966" s="2"/>
      <c r="J966" s="2"/>
      <c r="K966" s="2"/>
      <c r="L966" s="2"/>
      <c r="M966" s="2"/>
      <c r="N966" s="2"/>
      <c r="O966" s="2"/>
      <c r="P966" s="2"/>
      <c r="Q966" s="2"/>
      <c r="R966" s="2"/>
      <c r="S966" s="2"/>
      <c r="T966" s="2"/>
      <c r="U966" s="2"/>
      <c r="V966" s="2"/>
      <c r="W966" s="2"/>
      <c r="X966" s="2"/>
      <c r="Y966" s="2"/>
      <c r="Z966" s="2"/>
      <c r="AA966" s="2"/>
    </row>
    <row r="967">
      <c r="A967" s="2"/>
      <c r="B967" s="2"/>
      <c r="D967" s="2"/>
      <c r="E967" s="2"/>
      <c r="F967" s="10"/>
      <c r="G967" s="10"/>
      <c r="I967" s="2"/>
      <c r="J967" s="2"/>
      <c r="K967" s="2"/>
      <c r="L967" s="2"/>
      <c r="M967" s="2"/>
      <c r="N967" s="2"/>
      <c r="O967" s="2"/>
      <c r="P967" s="2"/>
      <c r="Q967" s="2"/>
      <c r="R967" s="2"/>
      <c r="S967" s="2"/>
      <c r="T967" s="2"/>
      <c r="U967" s="2"/>
      <c r="V967" s="2"/>
      <c r="W967" s="2"/>
      <c r="X967" s="2"/>
      <c r="Y967" s="2"/>
      <c r="Z967" s="2"/>
      <c r="AA967" s="2"/>
    </row>
    <row r="968">
      <c r="A968" s="2"/>
      <c r="B968" s="2"/>
      <c r="D968" s="2"/>
      <c r="E968" s="2"/>
      <c r="F968" s="10"/>
      <c r="G968" s="10"/>
      <c r="I968" s="2"/>
      <c r="J968" s="2"/>
      <c r="K968" s="2"/>
      <c r="L968" s="2"/>
      <c r="M968" s="2"/>
      <c r="N968" s="2"/>
      <c r="O968" s="2"/>
      <c r="P968" s="2"/>
      <c r="Q968" s="2"/>
      <c r="R968" s="2"/>
      <c r="S968" s="2"/>
      <c r="T968" s="2"/>
      <c r="U968" s="2"/>
      <c r="V968" s="2"/>
      <c r="W968" s="2"/>
      <c r="X968" s="2"/>
      <c r="Y968" s="2"/>
      <c r="Z968" s="2"/>
      <c r="AA968" s="2"/>
    </row>
    <row r="969">
      <c r="A969" s="2"/>
      <c r="B969" s="2"/>
      <c r="D969" s="2"/>
      <c r="E969" s="2"/>
      <c r="F969" s="10"/>
      <c r="G969" s="10"/>
      <c r="I969" s="2"/>
      <c r="J969" s="2"/>
      <c r="K969" s="2"/>
      <c r="L969" s="2"/>
      <c r="M969" s="2"/>
      <c r="N969" s="2"/>
      <c r="O969" s="2"/>
      <c r="P969" s="2"/>
      <c r="Q969" s="2"/>
      <c r="R969" s="2"/>
      <c r="S969" s="2"/>
      <c r="T969" s="2"/>
      <c r="U969" s="2"/>
      <c r="V969" s="2"/>
      <c r="W969" s="2"/>
      <c r="X969" s="2"/>
      <c r="Y969" s="2"/>
      <c r="Z969" s="2"/>
      <c r="AA969" s="2"/>
    </row>
    <row r="970">
      <c r="A970" s="2"/>
      <c r="B970" s="2"/>
      <c r="D970" s="2"/>
      <c r="E970" s="2"/>
      <c r="F970" s="10"/>
      <c r="G970" s="10"/>
      <c r="I970" s="2"/>
      <c r="J970" s="2"/>
      <c r="K970" s="2"/>
      <c r="L970" s="2"/>
      <c r="M970" s="2"/>
      <c r="N970" s="2"/>
      <c r="O970" s="2"/>
      <c r="P970" s="2"/>
      <c r="Q970" s="2"/>
      <c r="R970" s="2"/>
      <c r="S970" s="2"/>
      <c r="T970" s="2"/>
      <c r="U970" s="2"/>
      <c r="V970" s="2"/>
      <c r="W970" s="2"/>
      <c r="X970" s="2"/>
      <c r="Y970" s="2"/>
      <c r="Z970" s="2"/>
      <c r="AA970" s="2"/>
    </row>
    <row r="971">
      <c r="A971" s="2"/>
      <c r="B971" s="2"/>
      <c r="D971" s="2"/>
      <c r="E971" s="2"/>
      <c r="F971" s="10"/>
      <c r="G971" s="10"/>
      <c r="I971" s="2"/>
      <c r="J971" s="2"/>
      <c r="K971" s="2"/>
      <c r="L971" s="2"/>
      <c r="M971" s="2"/>
      <c r="N971" s="2"/>
      <c r="O971" s="2"/>
      <c r="P971" s="2"/>
      <c r="Q971" s="2"/>
      <c r="R971" s="2"/>
      <c r="S971" s="2"/>
      <c r="T971" s="2"/>
      <c r="U971" s="2"/>
      <c r="V971" s="2"/>
      <c r="W971" s="2"/>
      <c r="X971" s="2"/>
      <c r="Y971" s="2"/>
      <c r="Z971" s="2"/>
      <c r="AA971" s="2"/>
    </row>
    <row r="972">
      <c r="A972" s="2"/>
      <c r="B972" s="2"/>
      <c r="D972" s="2"/>
      <c r="E972" s="2"/>
      <c r="F972" s="10"/>
      <c r="G972" s="10"/>
      <c r="I972" s="2"/>
      <c r="J972" s="2"/>
      <c r="K972" s="2"/>
      <c r="L972" s="2"/>
      <c r="M972" s="2"/>
      <c r="N972" s="2"/>
      <c r="O972" s="2"/>
      <c r="P972" s="2"/>
      <c r="Q972" s="2"/>
      <c r="R972" s="2"/>
      <c r="S972" s="2"/>
      <c r="T972" s="2"/>
      <c r="U972" s="2"/>
      <c r="V972" s="2"/>
      <c r="W972" s="2"/>
      <c r="X972" s="2"/>
      <c r="Y972" s="2"/>
      <c r="Z972" s="2"/>
      <c r="AA972" s="2"/>
    </row>
    <row r="973">
      <c r="A973" s="2"/>
      <c r="B973" s="2"/>
      <c r="D973" s="2"/>
      <c r="E973" s="2"/>
      <c r="F973" s="10"/>
      <c r="G973" s="10"/>
      <c r="I973" s="2"/>
      <c r="J973" s="2"/>
      <c r="K973" s="2"/>
      <c r="L973" s="2"/>
      <c r="M973" s="2"/>
      <c r="N973" s="2"/>
      <c r="O973" s="2"/>
      <c r="P973" s="2"/>
      <c r="Q973" s="2"/>
      <c r="R973" s="2"/>
      <c r="S973" s="2"/>
      <c r="T973" s="2"/>
      <c r="U973" s="2"/>
      <c r="V973" s="2"/>
      <c r="W973" s="2"/>
      <c r="X973" s="2"/>
      <c r="Y973" s="2"/>
      <c r="Z973" s="2"/>
      <c r="AA973" s="2"/>
    </row>
    <row r="974">
      <c r="A974" s="2"/>
      <c r="B974" s="2"/>
      <c r="D974" s="2"/>
      <c r="E974" s="2"/>
      <c r="F974" s="10"/>
      <c r="G974" s="10"/>
      <c r="I974" s="2"/>
      <c r="J974" s="2"/>
      <c r="K974" s="2"/>
      <c r="L974" s="2"/>
      <c r="M974" s="2"/>
      <c r="N974" s="2"/>
      <c r="O974" s="2"/>
      <c r="P974" s="2"/>
      <c r="Q974" s="2"/>
      <c r="R974" s="2"/>
      <c r="S974" s="2"/>
      <c r="T974" s="2"/>
      <c r="U974" s="2"/>
      <c r="V974" s="2"/>
      <c r="W974" s="2"/>
      <c r="X974" s="2"/>
      <c r="Y974" s="2"/>
      <c r="Z974" s="2"/>
      <c r="AA974" s="2"/>
    </row>
    <row r="975">
      <c r="A975" s="2"/>
      <c r="B975" s="2"/>
      <c r="D975" s="2"/>
      <c r="E975" s="2"/>
      <c r="F975" s="10"/>
      <c r="G975" s="10"/>
      <c r="I975" s="2"/>
      <c r="J975" s="2"/>
      <c r="K975" s="2"/>
      <c r="L975" s="2"/>
      <c r="M975" s="2"/>
      <c r="N975" s="2"/>
      <c r="O975" s="2"/>
      <c r="P975" s="2"/>
      <c r="Q975" s="2"/>
      <c r="R975" s="2"/>
      <c r="S975" s="2"/>
      <c r="T975" s="2"/>
      <c r="U975" s="2"/>
      <c r="V975" s="2"/>
      <c r="W975" s="2"/>
      <c r="X975" s="2"/>
      <c r="Y975" s="2"/>
      <c r="Z975" s="2"/>
      <c r="AA975" s="2"/>
    </row>
    <row r="976">
      <c r="A976" s="2"/>
      <c r="B976" s="2"/>
      <c r="D976" s="2"/>
      <c r="E976" s="2"/>
      <c r="F976" s="10"/>
      <c r="G976" s="10"/>
      <c r="I976" s="2"/>
      <c r="J976" s="2"/>
      <c r="K976" s="2"/>
      <c r="L976" s="2"/>
      <c r="M976" s="2"/>
      <c r="N976" s="2"/>
      <c r="O976" s="2"/>
      <c r="P976" s="2"/>
      <c r="Q976" s="2"/>
      <c r="R976" s="2"/>
      <c r="S976" s="2"/>
      <c r="T976" s="2"/>
      <c r="U976" s="2"/>
      <c r="V976" s="2"/>
      <c r="W976" s="2"/>
      <c r="X976" s="2"/>
      <c r="Y976" s="2"/>
      <c r="Z976" s="2"/>
      <c r="AA976" s="2"/>
    </row>
    <row r="977">
      <c r="A977" s="2"/>
      <c r="B977" s="2"/>
      <c r="D977" s="2"/>
      <c r="E977" s="2"/>
      <c r="F977" s="10"/>
      <c r="G977" s="10"/>
      <c r="I977" s="2"/>
      <c r="J977" s="2"/>
      <c r="K977" s="2"/>
      <c r="L977" s="2"/>
      <c r="M977" s="2"/>
      <c r="N977" s="2"/>
      <c r="O977" s="2"/>
      <c r="P977" s="2"/>
      <c r="Q977" s="2"/>
      <c r="R977" s="2"/>
      <c r="S977" s="2"/>
      <c r="T977" s="2"/>
      <c r="U977" s="2"/>
      <c r="V977" s="2"/>
      <c r="W977" s="2"/>
      <c r="X977" s="2"/>
      <c r="Y977" s="2"/>
      <c r="Z977" s="2"/>
      <c r="AA977" s="2"/>
    </row>
    <row r="978">
      <c r="A978" s="2"/>
      <c r="B978" s="2"/>
      <c r="D978" s="2"/>
      <c r="E978" s="2"/>
      <c r="F978" s="10"/>
      <c r="G978" s="10"/>
      <c r="I978" s="2"/>
      <c r="J978" s="2"/>
      <c r="K978" s="2"/>
      <c r="L978" s="2"/>
      <c r="M978" s="2"/>
      <c r="N978" s="2"/>
      <c r="O978" s="2"/>
      <c r="P978" s="2"/>
      <c r="Q978" s="2"/>
      <c r="R978" s="2"/>
      <c r="S978" s="2"/>
      <c r="T978" s="2"/>
      <c r="U978" s="2"/>
      <c r="V978" s="2"/>
      <c r="W978" s="2"/>
      <c r="X978" s="2"/>
      <c r="Y978" s="2"/>
      <c r="Z978" s="2"/>
      <c r="AA978" s="2"/>
    </row>
    <row r="979">
      <c r="A979" s="2"/>
      <c r="B979" s="2"/>
      <c r="D979" s="2"/>
      <c r="E979" s="2"/>
      <c r="F979" s="10"/>
      <c r="G979" s="10"/>
      <c r="I979" s="2"/>
      <c r="J979" s="2"/>
      <c r="K979" s="2"/>
      <c r="L979" s="2"/>
      <c r="M979" s="2"/>
      <c r="N979" s="2"/>
      <c r="O979" s="2"/>
      <c r="P979" s="2"/>
      <c r="Q979" s="2"/>
      <c r="R979" s="2"/>
      <c r="S979" s="2"/>
      <c r="T979" s="2"/>
      <c r="U979" s="2"/>
      <c r="V979" s="2"/>
      <c r="W979" s="2"/>
      <c r="X979" s="2"/>
      <c r="Y979" s="2"/>
      <c r="Z979" s="2"/>
      <c r="AA979" s="2"/>
    </row>
    <row r="980">
      <c r="A980" s="2"/>
      <c r="B980" s="2"/>
      <c r="D980" s="2"/>
      <c r="E980" s="2"/>
      <c r="F980" s="10"/>
      <c r="G980" s="10"/>
      <c r="I980" s="2"/>
      <c r="J980" s="2"/>
      <c r="K980" s="2"/>
      <c r="L980" s="2"/>
      <c r="M980" s="2"/>
      <c r="N980" s="2"/>
      <c r="O980" s="2"/>
      <c r="P980" s="2"/>
      <c r="Q980" s="2"/>
      <c r="R980" s="2"/>
      <c r="S980" s="2"/>
      <c r="T980" s="2"/>
      <c r="U980" s="2"/>
      <c r="V980" s="2"/>
      <c r="W980" s="2"/>
      <c r="X980" s="2"/>
      <c r="Y980" s="2"/>
      <c r="Z980" s="2"/>
      <c r="AA980" s="2"/>
    </row>
    <row r="981">
      <c r="A981" s="2"/>
      <c r="B981" s="2"/>
      <c r="D981" s="2"/>
      <c r="E981" s="2"/>
      <c r="F981" s="10"/>
      <c r="G981" s="10"/>
      <c r="I981" s="2"/>
      <c r="J981" s="2"/>
      <c r="K981" s="2"/>
      <c r="L981" s="2"/>
      <c r="M981" s="2"/>
      <c r="N981" s="2"/>
      <c r="O981" s="2"/>
      <c r="P981" s="2"/>
      <c r="Q981" s="2"/>
      <c r="R981" s="2"/>
      <c r="S981" s="2"/>
      <c r="T981" s="2"/>
      <c r="U981" s="2"/>
      <c r="V981" s="2"/>
      <c r="W981" s="2"/>
      <c r="X981" s="2"/>
      <c r="Y981" s="2"/>
      <c r="Z981" s="2"/>
      <c r="AA981" s="2"/>
    </row>
    <row r="982">
      <c r="A982" s="2"/>
      <c r="B982" s="2"/>
      <c r="D982" s="2"/>
      <c r="E982" s="2"/>
      <c r="F982" s="10"/>
      <c r="G982" s="10"/>
      <c r="I982" s="2"/>
      <c r="J982" s="2"/>
      <c r="K982" s="2"/>
      <c r="L982" s="2"/>
      <c r="M982" s="2"/>
      <c r="N982" s="2"/>
      <c r="O982" s="2"/>
      <c r="P982" s="2"/>
      <c r="Q982" s="2"/>
      <c r="R982" s="2"/>
      <c r="S982" s="2"/>
      <c r="T982" s="2"/>
      <c r="U982" s="2"/>
      <c r="V982" s="2"/>
      <c r="W982" s="2"/>
      <c r="X982" s="2"/>
      <c r="Y982" s="2"/>
      <c r="Z982" s="2"/>
      <c r="AA982" s="2"/>
    </row>
    <row r="983">
      <c r="A983" s="2"/>
      <c r="B983" s="2"/>
      <c r="D983" s="2"/>
      <c r="E983" s="2"/>
      <c r="F983" s="10"/>
      <c r="G983" s="10"/>
      <c r="I983" s="2"/>
      <c r="J983" s="2"/>
      <c r="K983" s="2"/>
      <c r="L983" s="2"/>
      <c r="M983" s="2"/>
      <c r="N983" s="2"/>
      <c r="O983" s="2"/>
      <c r="P983" s="2"/>
      <c r="Q983" s="2"/>
      <c r="R983" s="2"/>
      <c r="S983" s="2"/>
      <c r="T983" s="2"/>
      <c r="U983" s="2"/>
      <c r="V983" s="2"/>
      <c r="W983" s="2"/>
      <c r="X983" s="2"/>
      <c r="Y983" s="2"/>
      <c r="Z983" s="2"/>
      <c r="AA983" s="2"/>
    </row>
    <row r="984">
      <c r="A984" s="2"/>
      <c r="B984" s="2"/>
      <c r="D984" s="2"/>
      <c r="E984" s="2"/>
      <c r="F984" s="10"/>
      <c r="G984" s="10"/>
      <c r="I984" s="2"/>
      <c r="J984" s="2"/>
      <c r="K984" s="2"/>
      <c r="L984" s="2"/>
      <c r="M984" s="2"/>
      <c r="N984" s="2"/>
      <c r="O984" s="2"/>
      <c r="P984" s="2"/>
      <c r="Q984" s="2"/>
      <c r="R984" s="2"/>
      <c r="S984" s="2"/>
      <c r="T984" s="2"/>
      <c r="U984" s="2"/>
      <c r="V984" s="2"/>
      <c r="W984" s="2"/>
      <c r="X984" s="2"/>
      <c r="Y984" s="2"/>
      <c r="Z984" s="2"/>
      <c r="AA984" s="2"/>
    </row>
    <row r="985">
      <c r="A985" s="2"/>
      <c r="B985" s="2"/>
      <c r="D985" s="2"/>
      <c r="E985" s="2"/>
      <c r="F985" s="10"/>
      <c r="G985" s="10"/>
      <c r="I985" s="2"/>
      <c r="J985" s="2"/>
      <c r="K985" s="2"/>
      <c r="L985" s="2"/>
      <c r="M985" s="2"/>
      <c r="N985" s="2"/>
      <c r="O985" s="2"/>
      <c r="P985" s="2"/>
      <c r="Q985" s="2"/>
      <c r="R985" s="2"/>
      <c r="S985" s="2"/>
      <c r="T985" s="2"/>
      <c r="U985" s="2"/>
      <c r="V985" s="2"/>
      <c r="W985" s="2"/>
      <c r="X985" s="2"/>
      <c r="Y985" s="2"/>
      <c r="Z985" s="2"/>
      <c r="AA985" s="2"/>
    </row>
    <row r="986">
      <c r="A986" s="2"/>
      <c r="B986" s="2"/>
      <c r="D986" s="2"/>
      <c r="E986" s="2"/>
      <c r="F986" s="10"/>
      <c r="G986" s="10"/>
      <c r="I986" s="2"/>
      <c r="J986" s="2"/>
      <c r="K986" s="2"/>
      <c r="L986" s="2"/>
      <c r="M986" s="2"/>
      <c r="N986" s="2"/>
      <c r="O986" s="2"/>
      <c r="P986" s="2"/>
      <c r="Q986" s="2"/>
      <c r="R986" s="2"/>
      <c r="S986" s="2"/>
      <c r="T986" s="2"/>
      <c r="U986" s="2"/>
      <c r="V986" s="2"/>
      <c r="W986" s="2"/>
      <c r="X986" s="2"/>
      <c r="Y986" s="2"/>
      <c r="Z986" s="2"/>
      <c r="AA986" s="2"/>
    </row>
    <row r="987">
      <c r="A987" s="2"/>
      <c r="B987" s="2"/>
      <c r="D987" s="2"/>
      <c r="E987" s="2"/>
      <c r="F987" s="10"/>
      <c r="G987" s="10"/>
      <c r="I987" s="2"/>
      <c r="J987" s="2"/>
      <c r="K987" s="2"/>
      <c r="L987" s="2"/>
      <c r="M987" s="2"/>
      <c r="N987" s="2"/>
      <c r="O987" s="2"/>
      <c r="P987" s="2"/>
      <c r="Q987" s="2"/>
      <c r="R987" s="2"/>
      <c r="S987" s="2"/>
      <c r="T987" s="2"/>
      <c r="U987" s="2"/>
      <c r="V987" s="2"/>
      <c r="W987" s="2"/>
      <c r="X987" s="2"/>
      <c r="Y987" s="2"/>
      <c r="Z987" s="2"/>
      <c r="AA987" s="2"/>
    </row>
    <row r="988">
      <c r="A988" s="2"/>
      <c r="B988" s="2"/>
      <c r="D988" s="2"/>
      <c r="E988" s="2"/>
      <c r="F988" s="10"/>
      <c r="G988" s="10"/>
      <c r="I988" s="2"/>
      <c r="J988" s="2"/>
      <c r="K988" s="2"/>
      <c r="L988" s="2"/>
      <c r="M988" s="2"/>
      <c r="N988" s="2"/>
      <c r="O988" s="2"/>
      <c r="P988" s="2"/>
      <c r="Q988" s="2"/>
      <c r="R988" s="2"/>
      <c r="S988" s="2"/>
      <c r="T988" s="2"/>
      <c r="U988" s="2"/>
      <c r="V988" s="2"/>
      <c r="W988" s="2"/>
      <c r="X988" s="2"/>
      <c r="Y988" s="2"/>
      <c r="Z988" s="2"/>
      <c r="AA988" s="2"/>
    </row>
    <row r="989">
      <c r="A989" s="2"/>
      <c r="B989" s="2"/>
      <c r="D989" s="2"/>
      <c r="E989" s="2"/>
      <c r="F989" s="10"/>
      <c r="G989" s="10"/>
      <c r="I989" s="2"/>
      <c r="J989" s="2"/>
      <c r="K989" s="2"/>
      <c r="L989" s="2"/>
      <c r="M989" s="2"/>
      <c r="N989" s="2"/>
      <c r="O989" s="2"/>
      <c r="P989" s="2"/>
      <c r="Q989" s="2"/>
      <c r="R989" s="2"/>
      <c r="S989" s="2"/>
      <c r="T989" s="2"/>
      <c r="U989" s="2"/>
      <c r="V989" s="2"/>
      <c r="W989" s="2"/>
      <c r="X989" s="2"/>
      <c r="Y989" s="2"/>
      <c r="Z989" s="2"/>
      <c r="AA989" s="2"/>
    </row>
    <row r="990">
      <c r="A990" s="2"/>
      <c r="B990" s="2"/>
      <c r="D990" s="2"/>
      <c r="E990" s="2"/>
      <c r="F990" s="10"/>
      <c r="G990" s="10"/>
      <c r="I990" s="2"/>
      <c r="J990" s="2"/>
      <c r="K990" s="2"/>
      <c r="L990" s="2"/>
      <c r="M990" s="2"/>
      <c r="N990" s="2"/>
      <c r="O990" s="2"/>
      <c r="P990" s="2"/>
      <c r="Q990" s="2"/>
      <c r="R990" s="2"/>
      <c r="S990" s="2"/>
      <c r="T990" s="2"/>
      <c r="U990" s="2"/>
      <c r="V990" s="2"/>
      <c r="W990" s="2"/>
      <c r="X990" s="2"/>
      <c r="Y990" s="2"/>
      <c r="Z990" s="2"/>
      <c r="AA990" s="2"/>
    </row>
    <row r="991">
      <c r="A991" s="2"/>
      <c r="B991" s="2"/>
      <c r="D991" s="2"/>
      <c r="E991" s="2"/>
      <c r="F991" s="10"/>
      <c r="G991" s="10"/>
      <c r="I991" s="2"/>
      <c r="J991" s="2"/>
      <c r="K991" s="2"/>
      <c r="L991" s="2"/>
      <c r="M991" s="2"/>
      <c r="N991" s="2"/>
      <c r="O991" s="2"/>
      <c r="P991" s="2"/>
      <c r="Q991" s="2"/>
      <c r="R991" s="2"/>
      <c r="S991" s="2"/>
      <c r="T991" s="2"/>
      <c r="U991" s="2"/>
      <c r="V991" s="2"/>
      <c r="W991" s="2"/>
      <c r="X991" s="2"/>
      <c r="Y991" s="2"/>
      <c r="Z991" s="2"/>
      <c r="AA991" s="2"/>
    </row>
    <row r="992">
      <c r="A992" s="2"/>
      <c r="B992" s="2"/>
      <c r="D992" s="2"/>
      <c r="E992" s="2"/>
      <c r="F992" s="10"/>
      <c r="G992" s="10"/>
      <c r="I992" s="2"/>
      <c r="J992" s="2"/>
      <c r="K992" s="2"/>
      <c r="L992" s="2"/>
      <c r="M992" s="2"/>
      <c r="N992" s="2"/>
      <c r="O992" s="2"/>
      <c r="P992" s="2"/>
      <c r="Q992" s="2"/>
      <c r="R992" s="2"/>
      <c r="S992" s="2"/>
      <c r="T992" s="2"/>
      <c r="U992" s="2"/>
      <c r="V992" s="2"/>
      <c r="W992" s="2"/>
      <c r="X992" s="2"/>
      <c r="Y992" s="2"/>
      <c r="Z992" s="2"/>
      <c r="AA992" s="2"/>
    </row>
    <row r="993">
      <c r="A993" s="2"/>
      <c r="B993" s="2"/>
      <c r="D993" s="2"/>
      <c r="E993" s="2"/>
      <c r="F993" s="10"/>
      <c r="G993" s="10"/>
      <c r="I993" s="2"/>
      <c r="J993" s="2"/>
      <c r="K993" s="2"/>
      <c r="L993" s="2"/>
      <c r="M993" s="2"/>
      <c r="N993" s="2"/>
      <c r="O993" s="2"/>
      <c r="P993" s="2"/>
      <c r="Q993" s="2"/>
      <c r="R993" s="2"/>
      <c r="S993" s="2"/>
      <c r="T993" s="2"/>
      <c r="U993" s="2"/>
      <c r="V993" s="2"/>
      <c r="W993" s="2"/>
      <c r="X993" s="2"/>
      <c r="Y993" s="2"/>
      <c r="Z993" s="2"/>
      <c r="AA993" s="2"/>
    </row>
    <row r="994">
      <c r="A994" s="2"/>
      <c r="B994" s="2"/>
      <c r="D994" s="2"/>
      <c r="E994" s="2"/>
      <c r="F994" s="10"/>
      <c r="G994" s="10"/>
      <c r="I994" s="2"/>
      <c r="J994" s="2"/>
      <c r="K994" s="2"/>
      <c r="L994" s="2"/>
      <c r="M994" s="2"/>
      <c r="N994" s="2"/>
      <c r="O994" s="2"/>
      <c r="P994" s="2"/>
      <c r="Q994" s="2"/>
      <c r="R994" s="2"/>
      <c r="S994" s="2"/>
      <c r="T994" s="2"/>
      <c r="U994" s="2"/>
      <c r="V994" s="2"/>
      <c r="W994" s="2"/>
      <c r="X994" s="2"/>
      <c r="Y994" s="2"/>
      <c r="Z994" s="2"/>
      <c r="AA994" s="2"/>
    </row>
    <row r="995">
      <c r="A995" s="2"/>
      <c r="B995" s="2"/>
      <c r="D995" s="2"/>
      <c r="E995" s="2"/>
      <c r="F995" s="10"/>
      <c r="G995" s="10"/>
      <c r="I995" s="2"/>
      <c r="J995" s="2"/>
      <c r="K995" s="2"/>
      <c r="L995" s="2"/>
      <c r="M995" s="2"/>
      <c r="N995" s="2"/>
      <c r="O995" s="2"/>
      <c r="P995" s="2"/>
      <c r="Q995" s="2"/>
      <c r="R995" s="2"/>
      <c r="S995" s="2"/>
      <c r="T995" s="2"/>
      <c r="U995" s="2"/>
      <c r="V995" s="2"/>
      <c r="W995" s="2"/>
      <c r="X995" s="2"/>
      <c r="Y995" s="2"/>
      <c r="Z995" s="2"/>
      <c r="AA995" s="2"/>
    </row>
    <row r="996">
      <c r="A996" s="2"/>
      <c r="B996" s="2"/>
      <c r="D996" s="2"/>
      <c r="E996" s="2"/>
      <c r="F996" s="10"/>
      <c r="G996" s="10"/>
      <c r="I996" s="2"/>
      <c r="J996" s="2"/>
      <c r="K996" s="2"/>
      <c r="L996" s="2"/>
      <c r="M996" s="2"/>
      <c r="N996" s="2"/>
      <c r="O996" s="2"/>
      <c r="P996" s="2"/>
      <c r="Q996" s="2"/>
      <c r="R996" s="2"/>
      <c r="S996" s="2"/>
      <c r="T996" s="2"/>
      <c r="U996" s="2"/>
      <c r="V996" s="2"/>
      <c r="W996" s="2"/>
      <c r="X996" s="2"/>
      <c r="Y996" s="2"/>
      <c r="Z996" s="2"/>
      <c r="AA996" s="2"/>
    </row>
    <row r="997">
      <c r="A997" s="2"/>
      <c r="B997" s="2"/>
      <c r="D997" s="2"/>
      <c r="E997" s="2"/>
      <c r="F997" s="10"/>
      <c r="G997" s="10"/>
      <c r="I997" s="2"/>
      <c r="J997" s="2"/>
      <c r="K997" s="2"/>
      <c r="L997" s="2"/>
      <c r="M997" s="2"/>
      <c r="N997" s="2"/>
      <c r="O997" s="2"/>
      <c r="P997" s="2"/>
      <c r="Q997" s="2"/>
      <c r="R997" s="2"/>
      <c r="S997" s="2"/>
      <c r="T997" s="2"/>
      <c r="U997" s="2"/>
      <c r="V997" s="2"/>
      <c r="W997" s="2"/>
      <c r="X997" s="2"/>
      <c r="Y997" s="2"/>
      <c r="Z997" s="2"/>
      <c r="AA997" s="2"/>
    </row>
    <row r="998">
      <c r="A998" s="2"/>
      <c r="B998" s="2"/>
      <c r="D998" s="2"/>
      <c r="E998" s="2"/>
      <c r="F998" s="10"/>
      <c r="G998" s="10"/>
      <c r="I998" s="2"/>
      <c r="J998" s="2"/>
      <c r="K998" s="2"/>
      <c r="L998" s="2"/>
      <c r="M998" s="2"/>
      <c r="N998" s="2"/>
      <c r="O998" s="2"/>
      <c r="P998" s="2"/>
      <c r="Q998" s="2"/>
      <c r="R998" s="2"/>
      <c r="S998" s="2"/>
      <c r="T998" s="2"/>
      <c r="U998" s="2"/>
      <c r="V998" s="2"/>
      <c r="W998" s="2"/>
      <c r="X998" s="2"/>
      <c r="Y998" s="2"/>
      <c r="Z998" s="2"/>
      <c r="AA998" s="2"/>
    </row>
    <row r="999">
      <c r="A999" s="2"/>
      <c r="B999" s="2"/>
      <c r="D999" s="2"/>
      <c r="E999" s="2"/>
      <c r="F999" s="10"/>
      <c r="G999" s="10"/>
      <c r="I999" s="2"/>
      <c r="J999" s="2"/>
      <c r="K999" s="2"/>
      <c r="L999" s="2"/>
      <c r="M999" s="2"/>
      <c r="N999" s="2"/>
      <c r="O999" s="2"/>
      <c r="P999" s="2"/>
      <c r="Q999" s="2"/>
      <c r="R999" s="2"/>
      <c r="S999" s="2"/>
      <c r="T999" s="2"/>
      <c r="U999" s="2"/>
      <c r="V999" s="2"/>
      <c r="W999" s="2"/>
      <c r="X999" s="2"/>
      <c r="Y999" s="2"/>
      <c r="Z999" s="2"/>
      <c r="AA999" s="2"/>
    </row>
    <row r="1000">
      <c r="A1000" s="2"/>
      <c r="B1000" s="2"/>
      <c r="D1000" s="2"/>
      <c r="E1000" s="2"/>
      <c r="F1000" s="10"/>
      <c r="G1000" s="10"/>
      <c r="I1000" s="2"/>
      <c r="J1000" s="2"/>
      <c r="K1000" s="2"/>
      <c r="L1000" s="2"/>
      <c r="M1000" s="2"/>
      <c r="N1000" s="2"/>
      <c r="O1000" s="2"/>
      <c r="P1000" s="2"/>
      <c r="Q1000" s="2"/>
      <c r="R1000" s="2"/>
      <c r="S1000" s="2"/>
      <c r="T1000" s="2"/>
      <c r="U1000" s="2"/>
      <c r="V1000" s="2"/>
      <c r="W1000" s="2"/>
      <c r="X1000" s="2"/>
      <c r="Y1000" s="2"/>
      <c r="Z1000" s="2"/>
      <c r="AA1000" s="2"/>
    </row>
  </sheetData>
  <dataValidations>
    <dataValidation type="list" allowBlank="1" showErrorMessage="1" sqref="D2:D659">
      <formula1>"DONE,TODO,IN REVIEW,BLOCKED,RETEST"</formula1>
    </dataValidation>
  </dataValidations>
  <hyperlinks>
    <hyperlink r:id="rId1" ref="B19"/>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13"/>
    <col customWidth="1" min="2" max="2" width="12.25"/>
    <col customWidth="1" min="3" max="3" width="30.5"/>
    <col customWidth="1" min="4" max="4" width="6.13"/>
    <col customWidth="1" min="5" max="5" width="19.38"/>
    <col customWidth="1" min="6" max="6" width="48.5"/>
    <col customWidth="1" min="7" max="7" width="83.88"/>
    <col customWidth="1" min="8" max="8" width="99.13"/>
    <col customWidth="1" min="9" max="9" width="12.0"/>
    <col customWidth="1" min="10" max="10" width="10.88"/>
    <col customWidth="1" min="11" max="11" width="5.38"/>
    <col customWidth="1" min="12" max="12" width="11.38"/>
    <col customWidth="1" min="13" max="13" width="8.0"/>
  </cols>
  <sheetData>
    <row r="1">
      <c r="A1" s="3" t="s">
        <v>1</v>
      </c>
      <c r="B1" s="3" t="s">
        <v>2</v>
      </c>
      <c r="C1" s="3" t="s">
        <v>5</v>
      </c>
      <c r="D1" s="3" t="s">
        <v>6</v>
      </c>
      <c r="E1" s="3" t="s">
        <v>7</v>
      </c>
      <c r="F1" s="3" t="s">
        <v>8</v>
      </c>
      <c r="G1" s="3" t="s">
        <v>3</v>
      </c>
      <c r="H1" s="3" t="s">
        <v>4</v>
      </c>
      <c r="I1" s="3" t="s">
        <v>0</v>
      </c>
      <c r="J1" s="3" t="s">
        <v>9</v>
      </c>
      <c r="K1" s="3" t="s">
        <v>10</v>
      </c>
      <c r="L1" s="3" t="s">
        <v>11</v>
      </c>
      <c r="M1" s="3" t="s">
        <v>12</v>
      </c>
    </row>
    <row r="2">
      <c r="A2" s="3" t="s">
        <v>14</v>
      </c>
      <c r="B2" s="3" t="s">
        <v>15</v>
      </c>
      <c r="C2" s="3" t="s">
        <v>19</v>
      </c>
      <c r="D2" s="3" t="s">
        <v>21</v>
      </c>
      <c r="E2" s="3" t="s">
        <v>22</v>
      </c>
      <c r="F2" s="3" t="s">
        <v>23</v>
      </c>
      <c r="G2" s="3" t="s">
        <v>17</v>
      </c>
      <c r="H2" s="3" t="s">
        <v>18</v>
      </c>
      <c r="I2" s="3" t="s">
        <v>13</v>
      </c>
    </row>
    <row r="3">
      <c r="A3" s="3" t="s">
        <v>26</v>
      </c>
      <c r="B3" s="3" t="s">
        <v>15</v>
      </c>
      <c r="C3" s="3" t="s">
        <v>29</v>
      </c>
      <c r="D3" s="3" t="s">
        <v>21</v>
      </c>
      <c r="E3" s="3" t="s">
        <v>22</v>
      </c>
      <c r="F3" s="3" t="s">
        <v>30</v>
      </c>
      <c r="G3" s="3" t="s">
        <v>27</v>
      </c>
      <c r="H3" s="3" t="s">
        <v>28</v>
      </c>
      <c r="I3" s="3" t="s">
        <v>13</v>
      </c>
    </row>
    <row r="4">
      <c r="A4" s="3" t="s">
        <v>31</v>
      </c>
      <c r="B4" s="3" t="s">
        <v>15</v>
      </c>
      <c r="C4" s="3" t="s">
        <v>32</v>
      </c>
      <c r="D4" s="3" t="s">
        <v>21</v>
      </c>
      <c r="E4" s="3" t="s">
        <v>22</v>
      </c>
      <c r="F4" s="3" t="s">
        <v>35</v>
      </c>
      <c r="G4" s="3" t="s">
        <v>33</v>
      </c>
      <c r="H4" s="3" t="s">
        <v>34</v>
      </c>
      <c r="I4" s="3" t="s">
        <v>13</v>
      </c>
    </row>
    <row r="5">
      <c r="A5" s="3" t="s">
        <v>36</v>
      </c>
      <c r="B5" s="3" t="s">
        <v>15</v>
      </c>
      <c r="C5" s="3" t="s">
        <v>37</v>
      </c>
      <c r="D5" s="3" t="s">
        <v>21</v>
      </c>
      <c r="E5" s="3" t="s">
        <v>22</v>
      </c>
      <c r="F5" s="3" t="s">
        <v>38</v>
      </c>
      <c r="G5" s="3" t="s">
        <v>39</v>
      </c>
      <c r="H5" s="3" t="s">
        <v>40</v>
      </c>
      <c r="I5" s="3" t="s">
        <v>13</v>
      </c>
    </row>
    <row r="6">
      <c r="A6" s="3" t="s">
        <v>41</v>
      </c>
      <c r="B6" s="3" t="s">
        <v>15</v>
      </c>
      <c r="C6" s="3" t="s">
        <v>42</v>
      </c>
      <c r="D6" s="3" t="s">
        <v>43</v>
      </c>
      <c r="E6" s="3" t="s">
        <v>22</v>
      </c>
      <c r="F6" s="3" t="s">
        <v>45</v>
      </c>
      <c r="G6" s="3" t="s">
        <v>44</v>
      </c>
      <c r="H6" s="3" t="s">
        <v>46</v>
      </c>
      <c r="I6" s="3" t="s">
        <v>13</v>
      </c>
    </row>
    <row r="7">
      <c r="A7" s="3" t="s">
        <v>47</v>
      </c>
      <c r="B7" s="3" t="s">
        <v>15</v>
      </c>
      <c r="C7" s="3" t="s">
        <v>48</v>
      </c>
      <c r="D7" s="3" t="s">
        <v>43</v>
      </c>
      <c r="E7" s="3" t="s">
        <v>22</v>
      </c>
      <c r="F7" s="3" t="s">
        <v>38</v>
      </c>
      <c r="G7" s="3" t="s">
        <v>49</v>
      </c>
      <c r="H7" s="3" t="s">
        <v>50</v>
      </c>
      <c r="I7" s="3" t="s">
        <v>13</v>
      </c>
    </row>
    <row r="8">
      <c r="A8" s="3" t="s">
        <v>51</v>
      </c>
      <c r="B8" s="3" t="s">
        <v>15</v>
      </c>
      <c r="C8" s="3" t="s">
        <v>52</v>
      </c>
      <c r="D8" s="3" t="s">
        <v>43</v>
      </c>
      <c r="E8" s="3" t="s">
        <v>22</v>
      </c>
      <c r="F8" s="3" t="s">
        <v>53</v>
      </c>
      <c r="G8" s="3" t="s">
        <v>54</v>
      </c>
      <c r="H8" s="3" t="s">
        <v>55</v>
      </c>
      <c r="I8" s="3" t="s">
        <v>13</v>
      </c>
    </row>
    <row r="9">
      <c r="A9" s="3" t="s">
        <v>57</v>
      </c>
      <c r="B9" s="3" t="s">
        <v>15</v>
      </c>
      <c r="C9" s="3" t="s">
        <v>58</v>
      </c>
      <c r="D9" s="3" t="s">
        <v>43</v>
      </c>
      <c r="E9" s="3" t="s">
        <v>22</v>
      </c>
      <c r="F9" s="3" t="s">
        <v>59</v>
      </c>
      <c r="G9" s="3" t="s">
        <v>61</v>
      </c>
      <c r="H9" s="3" t="s">
        <v>62</v>
      </c>
      <c r="I9" s="3" t="s">
        <v>13</v>
      </c>
    </row>
    <row r="10">
      <c r="A10" s="3" t="s">
        <v>64</v>
      </c>
      <c r="B10" s="3" t="s">
        <v>15</v>
      </c>
      <c r="C10" s="3" t="s">
        <v>65</v>
      </c>
      <c r="D10" s="3" t="s">
        <v>21</v>
      </c>
      <c r="E10" s="3" t="s">
        <v>22</v>
      </c>
      <c r="F10" s="3" t="s">
        <v>66</v>
      </c>
      <c r="G10" s="3" t="s">
        <v>67</v>
      </c>
      <c r="H10" s="3" t="s">
        <v>69</v>
      </c>
      <c r="I10" s="3" t="s">
        <v>13</v>
      </c>
    </row>
    <row r="11">
      <c r="A11" s="3" t="s">
        <v>71</v>
      </c>
      <c r="B11" s="3" t="s">
        <v>15</v>
      </c>
      <c r="C11" s="3" t="s">
        <v>72</v>
      </c>
      <c r="D11" s="3" t="s">
        <v>73</v>
      </c>
      <c r="E11" s="3" t="s">
        <v>22</v>
      </c>
      <c r="F11" s="3" t="s">
        <v>38</v>
      </c>
      <c r="G11" s="3" t="s">
        <v>74</v>
      </c>
      <c r="H11" s="3" t="s">
        <v>75</v>
      </c>
      <c r="I11" s="3" t="s">
        <v>13</v>
      </c>
    </row>
    <row r="12">
      <c r="A12" s="3" t="s">
        <v>76</v>
      </c>
      <c r="B12" s="3" t="s">
        <v>77</v>
      </c>
      <c r="C12" s="3" t="s">
        <v>79</v>
      </c>
      <c r="D12" s="3" t="s">
        <v>21</v>
      </c>
      <c r="E12" s="3" t="s">
        <v>22</v>
      </c>
      <c r="F12" s="3" t="s">
        <v>80</v>
      </c>
      <c r="G12" s="3" t="s">
        <v>81</v>
      </c>
      <c r="H12" s="3" t="s">
        <v>82</v>
      </c>
      <c r="I12" s="3" t="s">
        <v>13</v>
      </c>
    </row>
    <row r="13">
      <c r="A13" s="3" t="s">
        <v>83</v>
      </c>
      <c r="B13" s="3" t="s">
        <v>77</v>
      </c>
      <c r="C13" s="3" t="s">
        <v>84</v>
      </c>
      <c r="D13" s="3" t="s">
        <v>21</v>
      </c>
      <c r="E13" s="3" t="s">
        <v>85</v>
      </c>
      <c r="F13" s="3" t="s">
        <v>86</v>
      </c>
      <c r="G13" s="3" t="s">
        <v>87</v>
      </c>
      <c r="H13" s="3" t="s">
        <v>88</v>
      </c>
      <c r="I13" s="3" t="s">
        <v>13</v>
      </c>
    </row>
    <row r="14">
      <c r="A14" s="3" t="s">
        <v>89</v>
      </c>
      <c r="B14" s="3" t="s">
        <v>77</v>
      </c>
      <c r="C14" s="3" t="s">
        <v>90</v>
      </c>
      <c r="D14" s="3" t="s">
        <v>43</v>
      </c>
      <c r="E14" s="3" t="s">
        <v>22</v>
      </c>
      <c r="F14" s="3" t="s">
        <v>91</v>
      </c>
      <c r="G14" s="3" t="s">
        <v>92</v>
      </c>
      <c r="H14" s="3" t="s">
        <v>93</v>
      </c>
      <c r="I14" s="3" t="s">
        <v>13</v>
      </c>
    </row>
    <row r="15">
      <c r="A15" s="3" t="s">
        <v>94</v>
      </c>
      <c r="B15" s="3" t="s">
        <v>77</v>
      </c>
      <c r="C15" s="3" t="s">
        <v>95</v>
      </c>
      <c r="D15" s="3" t="s">
        <v>21</v>
      </c>
      <c r="E15" s="3" t="s">
        <v>96</v>
      </c>
      <c r="F15" s="3" t="s">
        <v>97</v>
      </c>
      <c r="G15" s="3" t="s">
        <v>98</v>
      </c>
      <c r="H15" s="3" t="s">
        <v>99</v>
      </c>
      <c r="I15" s="3" t="s">
        <v>13</v>
      </c>
    </row>
    <row r="16">
      <c r="A16" s="3" t="s">
        <v>100</v>
      </c>
      <c r="B16" s="3" t="s">
        <v>77</v>
      </c>
      <c r="C16" s="3" t="s">
        <v>101</v>
      </c>
      <c r="D16" s="3" t="s">
        <v>43</v>
      </c>
      <c r="E16" s="3" t="s">
        <v>22</v>
      </c>
      <c r="F16" s="3" t="s">
        <v>102</v>
      </c>
      <c r="G16" s="3" t="s">
        <v>103</v>
      </c>
      <c r="H16" s="3" t="s">
        <v>104</v>
      </c>
      <c r="I16" s="3" t="s">
        <v>13</v>
      </c>
    </row>
    <row r="17">
      <c r="A17" s="3" t="s">
        <v>105</v>
      </c>
      <c r="B17" s="3" t="s">
        <v>77</v>
      </c>
      <c r="C17" s="3" t="s">
        <v>106</v>
      </c>
      <c r="D17" s="3" t="s">
        <v>21</v>
      </c>
      <c r="E17" s="3" t="s">
        <v>22</v>
      </c>
      <c r="F17" s="3" t="s">
        <v>107</v>
      </c>
      <c r="G17" s="3" t="s">
        <v>108</v>
      </c>
      <c r="H17" s="3" t="s">
        <v>109</v>
      </c>
      <c r="I17" s="3" t="s">
        <v>13</v>
      </c>
    </row>
    <row r="18">
      <c r="A18" s="3" t="s">
        <v>110</v>
      </c>
      <c r="B18" s="3" t="s">
        <v>77</v>
      </c>
      <c r="C18" s="3" t="s">
        <v>111</v>
      </c>
      <c r="D18" s="3" t="s">
        <v>43</v>
      </c>
      <c r="E18" s="3" t="s">
        <v>96</v>
      </c>
      <c r="F18" s="3" t="s">
        <v>97</v>
      </c>
      <c r="G18" s="3" t="s">
        <v>112</v>
      </c>
      <c r="H18" s="3" t="s">
        <v>113</v>
      </c>
      <c r="I18" s="3" t="s">
        <v>13</v>
      </c>
    </row>
    <row r="19">
      <c r="A19" s="3" t="s">
        <v>114</v>
      </c>
      <c r="B19" s="3" t="s">
        <v>115</v>
      </c>
      <c r="C19" s="3" t="s">
        <v>116</v>
      </c>
      <c r="D19" s="3" t="s">
        <v>21</v>
      </c>
      <c r="E19" s="3" t="s">
        <v>216</v>
      </c>
      <c r="F19" s="3" t="s">
        <v>117</v>
      </c>
      <c r="G19" s="3" t="s">
        <v>118</v>
      </c>
      <c r="H19" s="3" t="s">
        <v>119</v>
      </c>
      <c r="I19" s="3" t="s">
        <v>13</v>
      </c>
    </row>
    <row r="20">
      <c r="A20" s="3" t="s">
        <v>120</v>
      </c>
      <c r="B20" s="3" t="s">
        <v>115</v>
      </c>
      <c r="C20" s="3" t="s">
        <v>121</v>
      </c>
      <c r="D20" s="3" t="s">
        <v>21</v>
      </c>
      <c r="E20" s="3" t="s">
        <v>216</v>
      </c>
      <c r="F20" s="3" t="s">
        <v>122</v>
      </c>
      <c r="G20" s="3" t="s">
        <v>123</v>
      </c>
      <c r="H20" s="3" t="s">
        <v>124</v>
      </c>
      <c r="I20" s="3" t="s">
        <v>13</v>
      </c>
    </row>
    <row r="21">
      <c r="A21" s="3" t="s">
        <v>125</v>
      </c>
      <c r="B21" s="3" t="s">
        <v>115</v>
      </c>
      <c r="C21" s="3" t="s">
        <v>126</v>
      </c>
      <c r="D21" s="3" t="s">
        <v>43</v>
      </c>
      <c r="E21" s="3" t="s">
        <v>216</v>
      </c>
      <c r="F21" s="3" t="s">
        <v>122</v>
      </c>
      <c r="G21" s="3" t="s">
        <v>127</v>
      </c>
      <c r="H21" s="3" t="s">
        <v>128</v>
      </c>
      <c r="I21" s="3" t="s">
        <v>13</v>
      </c>
    </row>
    <row r="22">
      <c r="A22" s="3" t="s">
        <v>129</v>
      </c>
      <c r="B22" s="3" t="s">
        <v>115</v>
      </c>
      <c r="C22" s="3" t="s">
        <v>130</v>
      </c>
      <c r="D22" s="3" t="s">
        <v>43</v>
      </c>
      <c r="E22" s="3" t="s">
        <v>216</v>
      </c>
      <c r="F22" s="3" t="s">
        <v>132</v>
      </c>
      <c r="G22" s="3" t="s">
        <v>133</v>
      </c>
      <c r="H22" s="3" t="s">
        <v>134</v>
      </c>
      <c r="I22" s="3" t="s">
        <v>13</v>
      </c>
    </row>
    <row r="23">
      <c r="A23" s="3" t="s">
        <v>135</v>
      </c>
      <c r="B23" s="3" t="s">
        <v>115</v>
      </c>
      <c r="C23" s="3" t="s">
        <v>136</v>
      </c>
      <c r="D23" s="3" t="s">
        <v>43</v>
      </c>
      <c r="E23" s="3" t="s">
        <v>216</v>
      </c>
      <c r="F23" s="3" t="s">
        <v>137</v>
      </c>
      <c r="G23" s="3" t="s">
        <v>138</v>
      </c>
      <c r="H23" s="3" t="s">
        <v>139</v>
      </c>
      <c r="I23" s="3" t="s">
        <v>13</v>
      </c>
    </row>
    <row r="24">
      <c r="A24" s="3" t="s">
        <v>140</v>
      </c>
      <c r="B24" s="3" t="s">
        <v>141</v>
      </c>
      <c r="C24" s="3" t="s">
        <v>142</v>
      </c>
      <c r="D24" s="3" t="s">
        <v>21</v>
      </c>
      <c r="E24" s="3" t="s">
        <v>96</v>
      </c>
      <c r="F24" s="3" t="s">
        <v>143</v>
      </c>
      <c r="G24" s="3" t="s">
        <v>144</v>
      </c>
      <c r="H24" s="3" t="s">
        <v>145</v>
      </c>
      <c r="I24" s="3" t="s">
        <v>13</v>
      </c>
    </row>
    <row r="25">
      <c r="A25" s="3" t="s">
        <v>147</v>
      </c>
      <c r="B25" s="3" t="s">
        <v>141</v>
      </c>
      <c r="C25" s="3" t="s">
        <v>148</v>
      </c>
      <c r="D25" s="3" t="s">
        <v>21</v>
      </c>
      <c r="E25" s="3" t="s">
        <v>96</v>
      </c>
      <c r="F25" s="3" t="s">
        <v>149</v>
      </c>
      <c r="G25" s="3" t="s">
        <v>150</v>
      </c>
      <c r="H25" s="3" t="s">
        <v>151</v>
      </c>
      <c r="I25" s="3" t="s">
        <v>13</v>
      </c>
    </row>
    <row r="26">
      <c r="A26" s="3" t="s">
        <v>152</v>
      </c>
      <c r="B26" s="3" t="s">
        <v>141</v>
      </c>
      <c r="C26" s="3" t="s">
        <v>153</v>
      </c>
      <c r="D26" s="3" t="s">
        <v>43</v>
      </c>
      <c r="E26" s="3" t="s">
        <v>96</v>
      </c>
      <c r="F26" s="3" t="s">
        <v>154</v>
      </c>
      <c r="G26" s="3" t="s">
        <v>155</v>
      </c>
      <c r="H26" s="3" t="s">
        <v>156</v>
      </c>
      <c r="I26" s="3" t="s">
        <v>13</v>
      </c>
    </row>
    <row r="27">
      <c r="A27" s="3" t="s">
        <v>157</v>
      </c>
      <c r="B27" s="3" t="s">
        <v>141</v>
      </c>
      <c r="C27" s="3" t="s">
        <v>158</v>
      </c>
      <c r="D27" s="3" t="s">
        <v>43</v>
      </c>
      <c r="E27" s="3" t="s">
        <v>96</v>
      </c>
      <c r="F27" s="3" t="s">
        <v>154</v>
      </c>
      <c r="G27" s="3" t="s">
        <v>159</v>
      </c>
      <c r="H27" s="3" t="s">
        <v>160</v>
      </c>
      <c r="I27" s="3" t="s">
        <v>13</v>
      </c>
    </row>
    <row r="28">
      <c r="A28" s="3" t="s">
        <v>161</v>
      </c>
      <c r="B28" s="3" t="s">
        <v>162</v>
      </c>
      <c r="C28" s="3" t="s">
        <v>163</v>
      </c>
      <c r="D28" s="3" t="s">
        <v>21</v>
      </c>
      <c r="E28" s="3" t="s">
        <v>216</v>
      </c>
      <c r="F28" s="3" t="s">
        <v>164</v>
      </c>
      <c r="G28" s="3" t="s">
        <v>165</v>
      </c>
      <c r="H28" s="3" t="s">
        <v>166</v>
      </c>
      <c r="I28" s="3" t="s">
        <v>13</v>
      </c>
    </row>
    <row r="29">
      <c r="A29" s="3" t="s">
        <v>167</v>
      </c>
      <c r="B29" s="3" t="s">
        <v>162</v>
      </c>
      <c r="C29" s="3" t="s">
        <v>168</v>
      </c>
      <c r="D29" s="3" t="s">
        <v>43</v>
      </c>
      <c r="E29" s="3" t="s">
        <v>216</v>
      </c>
      <c r="F29" s="3" t="s">
        <v>169</v>
      </c>
      <c r="G29" s="3" t="s">
        <v>170</v>
      </c>
      <c r="H29" s="3" t="s">
        <v>171</v>
      </c>
      <c r="I29" s="3" t="s">
        <v>13</v>
      </c>
    </row>
    <row r="30">
      <c r="A30" s="3" t="s">
        <v>172</v>
      </c>
      <c r="B30" s="3" t="s">
        <v>162</v>
      </c>
      <c r="C30" s="3" t="s">
        <v>173</v>
      </c>
      <c r="D30" s="3" t="s">
        <v>21</v>
      </c>
      <c r="E30" s="3" t="s">
        <v>216</v>
      </c>
      <c r="F30" s="3" t="s">
        <v>174</v>
      </c>
      <c r="G30" s="3" t="s">
        <v>175</v>
      </c>
      <c r="H30" s="3" t="s">
        <v>176</v>
      </c>
      <c r="I30" s="3" t="s">
        <v>13</v>
      </c>
    </row>
    <row r="31">
      <c r="A31" s="3" t="s">
        <v>177</v>
      </c>
      <c r="B31" s="3" t="s">
        <v>162</v>
      </c>
      <c r="C31" s="3" t="s">
        <v>178</v>
      </c>
      <c r="D31" s="3" t="s">
        <v>21</v>
      </c>
      <c r="E31" s="3" t="s">
        <v>216</v>
      </c>
      <c r="F31" s="3" t="s">
        <v>179</v>
      </c>
      <c r="G31" s="3" t="s">
        <v>180</v>
      </c>
      <c r="H31" s="3" t="s">
        <v>181</v>
      </c>
      <c r="I31" s="3" t="s">
        <v>13</v>
      </c>
    </row>
    <row r="32">
      <c r="A32" s="3" t="s">
        <v>182</v>
      </c>
      <c r="B32" s="3" t="s">
        <v>162</v>
      </c>
      <c r="C32" s="3" t="s">
        <v>183</v>
      </c>
      <c r="D32" s="3" t="s">
        <v>43</v>
      </c>
      <c r="E32" s="3" t="s">
        <v>216</v>
      </c>
      <c r="F32" s="3" t="s">
        <v>184</v>
      </c>
      <c r="G32" s="3" t="s">
        <v>185</v>
      </c>
      <c r="H32" s="3" t="s">
        <v>186</v>
      </c>
      <c r="I32" s="3" t="s">
        <v>13</v>
      </c>
    </row>
    <row r="33">
      <c r="A33" s="3" t="s">
        <v>187</v>
      </c>
      <c r="B33" s="3" t="s">
        <v>162</v>
      </c>
      <c r="C33" s="3" t="s">
        <v>188</v>
      </c>
      <c r="D33" s="3" t="s">
        <v>43</v>
      </c>
      <c r="E33" s="3" t="s">
        <v>216</v>
      </c>
      <c r="F33" s="3" t="s">
        <v>137</v>
      </c>
      <c r="G33" s="3" t="s">
        <v>189</v>
      </c>
      <c r="H33" s="3" t="s">
        <v>190</v>
      </c>
      <c r="I33" s="3" t="s">
        <v>13</v>
      </c>
    </row>
    <row r="34">
      <c r="A34" s="3" t="s">
        <v>191</v>
      </c>
      <c r="B34" s="3" t="s">
        <v>192</v>
      </c>
      <c r="C34" s="3" t="s">
        <v>193</v>
      </c>
      <c r="D34" s="3" t="s">
        <v>21</v>
      </c>
      <c r="E34" s="3" t="s">
        <v>22</v>
      </c>
      <c r="F34" s="3" t="s">
        <v>194</v>
      </c>
      <c r="G34" s="3" t="s">
        <v>195</v>
      </c>
      <c r="H34" s="3" t="s">
        <v>196</v>
      </c>
      <c r="I34" s="3" t="s">
        <v>13</v>
      </c>
    </row>
    <row r="35">
      <c r="A35" s="3" t="s">
        <v>197</v>
      </c>
      <c r="B35" s="3" t="s">
        <v>192</v>
      </c>
      <c r="C35" s="3" t="s">
        <v>199</v>
      </c>
      <c r="D35" s="3" t="s">
        <v>21</v>
      </c>
      <c r="E35" s="3" t="s">
        <v>22</v>
      </c>
      <c r="F35" s="3" t="s">
        <v>200</v>
      </c>
      <c r="G35" s="3" t="s">
        <v>201</v>
      </c>
      <c r="H35" s="3" t="s">
        <v>202</v>
      </c>
      <c r="I35" s="3" t="s">
        <v>13</v>
      </c>
    </row>
    <row r="36">
      <c r="A36" s="3" t="s">
        <v>203</v>
      </c>
      <c r="B36" s="3" t="s">
        <v>192</v>
      </c>
      <c r="C36" s="3" t="s">
        <v>204</v>
      </c>
      <c r="D36" s="3" t="s">
        <v>21</v>
      </c>
      <c r="E36" s="3" t="s">
        <v>205</v>
      </c>
      <c r="F36" s="3" t="s">
        <v>206</v>
      </c>
      <c r="G36" s="3" t="s">
        <v>207</v>
      </c>
      <c r="H36" s="3" t="s">
        <v>208</v>
      </c>
      <c r="I36" s="3" t="s">
        <v>13</v>
      </c>
    </row>
    <row r="37">
      <c r="A37" s="3" t="s">
        <v>209</v>
      </c>
      <c r="B37" s="3" t="s">
        <v>192</v>
      </c>
      <c r="C37" s="3" t="s">
        <v>210</v>
      </c>
      <c r="D37" s="3" t="s">
        <v>21</v>
      </c>
      <c r="E37" s="3" t="s">
        <v>85</v>
      </c>
      <c r="F37" s="3" t="s">
        <v>211</v>
      </c>
      <c r="G37" s="3" t="s">
        <v>212</v>
      </c>
      <c r="H37" s="3" t="s">
        <v>213</v>
      </c>
      <c r="I37" s="3" t="s">
        <v>13</v>
      </c>
    </row>
    <row r="38">
      <c r="A38" s="3" t="s">
        <v>214</v>
      </c>
      <c r="B38" s="3" t="s">
        <v>192</v>
      </c>
      <c r="C38" s="3" t="s">
        <v>215</v>
      </c>
      <c r="D38" s="3" t="s">
        <v>21</v>
      </c>
      <c r="E38" s="3" t="s">
        <v>216</v>
      </c>
      <c r="F38" s="3" t="s">
        <v>217</v>
      </c>
      <c r="G38" s="3" t="s">
        <v>212</v>
      </c>
      <c r="H38" s="3" t="s">
        <v>218</v>
      </c>
      <c r="I38" s="3" t="s">
        <v>13</v>
      </c>
    </row>
    <row r="39">
      <c r="A39" s="3" t="s">
        <v>219</v>
      </c>
      <c r="B39" s="3" t="s">
        <v>192</v>
      </c>
      <c r="C39" s="3" t="s">
        <v>220</v>
      </c>
      <c r="D39" s="3" t="s">
        <v>21</v>
      </c>
      <c r="E39" s="3" t="s">
        <v>221</v>
      </c>
      <c r="F39" s="3" t="s">
        <v>222</v>
      </c>
      <c r="G39" s="3" t="s">
        <v>223</v>
      </c>
      <c r="H39" s="3" t="s">
        <v>224</v>
      </c>
      <c r="I39" s="3" t="s">
        <v>13</v>
      </c>
    </row>
    <row r="40">
      <c r="A40" s="3" t="s">
        <v>225</v>
      </c>
      <c r="B40" s="3" t="s">
        <v>192</v>
      </c>
      <c r="C40" s="3" t="s">
        <v>226</v>
      </c>
      <c r="D40" s="3" t="s">
        <v>43</v>
      </c>
      <c r="E40" s="3" t="s">
        <v>221</v>
      </c>
      <c r="F40" s="3" t="s">
        <v>227</v>
      </c>
      <c r="G40" s="3" t="s">
        <v>228</v>
      </c>
      <c r="H40" s="3" t="s">
        <v>229</v>
      </c>
      <c r="I40" s="3" t="s">
        <v>13</v>
      </c>
    </row>
    <row r="41">
      <c r="A41" s="3" t="s">
        <v>230</v>
      </c>
      <c r="B41" s="3" t="s">
        <v>192</v>
      </c>
      <c r="C41" s="3" t="s">
        <v>231</v>
      </c>
      <c r="D41" s="3" t="s">
        <v>21</v>
      </c>
      <c r="E41" s="3" t="s">
        <v>221</v>
      </c>
      <c r="F41" s="3" t="s">
        <v>232</v>
      </c>
      <c r="G41" s="3" t="s">
        <v>233</v>
      </c>
      <c r="H41" s="3" t="s">
        <v>234</v>
      </c>
      <c r="I41" s="3" t="s">
        <v>13</v>
      </c>
    </row>
    <row r="42">
      <c r="A42" s="3" t="s">
        <v>235</v>
      </c>
      <c r="B42" s="3" t="s">
        <v>192</v>
      </c>
      <c r="C42" s="3" t="s">
        <v>236</v>
      </c>
      <c r="D42" s="3" t="s">
        <v>21</v>
      </c>
      <c r="E42" s="3" t="s">
        <v>237</v>
      </c>
      <c r="F42" s="3" t="s">
        <v>238</v>
      </c>
      <c r="G42" s="3" t="s">
        <v>239</v>
      </c>
      <c r="H42" s="3" t="s">
        <v>240</v>
      </c>
      <c r="I42" s="3" t="s">
        <v>13</v>
      </c>
    </row>
    <row r="43">
      <c r="A43" s="3" t="s">
        <v>241</v>
      </c>
      <c r="B43" s="3" t="s">
        <v>192</v>
      </c>
      <c r="C43" s="3" t="s">
        <v>242</v>
      </c>
      <c r="D43" s="3" t="s">
        <v>21</v>
      </c>
      <c r="E43" s="3" t="s">
        <v>237</v>
      </c>
      <c r="F43" s="3" t="s">
        <v>238</v>
      </c>
      <c r="G43" s="3" t="s">
        <v>243</v>
      </c>
      <c r="H43" s="3" t="s">
        <v>244</v>
      </c>
      <c r="I43" s="3" t="s">
        <v>13</v>
      </c>
    </row>
    <row r="44">
      <c r="A44" s="3" t="s">
        <v>245</v>
      </c>
      <c r="B44" s="3" t="s">
        <v>192</v>
      </c>
      <c r="C44" s="3" t="s">
        <v>246</v>
      </c>
      <c r="D44" s="3" t="s">
        <v>21</v>
      </c>
      <c r="E44" s="3" t="s">
        <v>247</v>
      </c>
      <c r="F44" s="3" t="s">
        <v>248</v>
      </c>
      <c r="G44" s="3" t="s">
        <v>249</v>
      </c>
      <c r="H44" s="3" t="s">
        <v>250</v>
      </c>
      <c r="I44" s="3" t="s">
        <v>13</v>
      </c>
    </row>
    <row r="45">
      <c r="A45" s="3" t="s">
        <v>251</v>
      </c>
      <c r="B45" s="3" t="s">
        <v>192</v>
      </c>
      <c r="C45" s="3" t="s">
        <v>252</v>
      </c>
      <c r="D45" s="3" t="s">
        <v>43</v>
      </c>
      <c r="E45" s="3" t="s">
        <v>247</v>
      </c>
      <c r="F45" s="3" t="s">
        <v>253</v>
      </c>
      <c r="G45" s="3" t="s">
        <v>254</v>
      </c>
      <c r="H45" s="3" t="s">
        <v>255</v>
      </c>
      <c r="I45" s="3" t="s">
        <v>13</v>
      </c>
    </row>
    <row r="46">
      <c r="A46" s="3" t="s">
        <v>256</v>
      </c>
      <c r="B46" s="3" t="s">
        <v>192</v>
      </c>
      <c r="C46" s="3" t="s">
        <v>257</v>
      </c>
      <c r="D46" s="3" t="s">
        <v>43</v>
      </c>
      <c r="E46" s="3" t="s">
        <v>258</v>
      </c>
      <c r="F46" s="3" t="s">
        <v>253</v>
      </c>
      <c r="G46" s="3" t="s">
        <v>259</v>
      </c>
      <c r="H46" s="3" t="s">
        <v>260</v>
      </c>
      <c r="I46" s="3" t="s">
        <v>13</v>
      </c>
    </row>
    <row r="47">
      <c r="A47" s="3" t="s">
        <v>261</v>
      </c>
      <c r="B47" s="3" t="s">
        <v>192</v>
      </c>
      <c r="C47" s="3" t="s">
        <v>262</v>
      </c>
      <c r="D47" s="3" t="s">
        <v>43</v>
      </c>
      <c r="E47" s="3" t="s">
        <v>258</v>
      </c>
      <c r="F47" s="3" t="s">
        <v>263</v>
      </c>
      <c r="G47" s="3" t="s">
        <v>264</v>
      </c>
      <c r="H47" s="3" t="s">
        <v>265</v>
      </c>
      <c r="I47" s="3" t="s">
        <v>13</v>
      </c>
    </row>
    <row r="48">
      <c r="A48" s="3" t="s">
        <v>266</v>
      </c>
      <c r="B48" s="3" t="s">
        <v>192</v>
      </c>
      <c r="C48" s="3" t="s">
        <v>267</v>
      </c>
      <c r="D48" s="3" t="s">
        <v>21</v>
      </c>
      <c r="E48" s="3" t="s">
        <v>237</v>
      </c>
      <c r="F48" s="3" t="s">
        <v>269</v>
      </c>
      <c r="G48" s="3" t="s">
        <v>270</v>
      </c>
      <c r="H48" s="3" t="s">
        <v>271</v>
      </c>
      <c r="I48" s="3" t="s">
        <v>13</v>
      </c>
    </row>
    <row r="49">
      <c r="A49" s="3" t="s">
        <v>272</v>
      </c>
      <c r="B49" s="3" t="s">
        <v>192</v>
      </c>
      <c r="C49" s="3" t="s">
        <v>273</v>
      </c>
      <c r="D49" s="3" t="s">
        <v>21</v>
      </c>
      <c r="E49" s="3" t="s">
        <v>247</v>
      </c>
      <c r="F49" s="3" t="s">
        <v>274</v>
      </c>
      <c r="G49" s="3" t="s">
        <v>275</v>
      </c>
      <c r="H49" s="3" t="s">
        <v>276</v>
      </c>
      <c r="I49" s="3" t="s">
        <v>13</v>
      </c>
    </row>
    <row r="50">
      <c r="A50" s="3" t="s">
        <v>277</v>
      </c>
      <c r="B50" s="3" t="s">
        <v>192</v>
      </c>
      <c r="C50" s="3" t="s">
        <v>278</v>
      </c>
      <c r="D50" s="3" t="s">
        <v>21</v>
      </c>
      <c r="E50" s="3" t="s">
        <v>279</v>
      </c>
      <c r="F50" s="3" t="s">
        <v>274</v>
      </c>
      <c r="G50" s="3" t="s">
        <v>280</v>
      </c>
      <c r="H50" s="3" t="s">
        <v>281</v>
      </c>
      <c r="I50" s="3" t="s">
        <v>13</v>
      </c>
    </row>
    <row r="51">
      <c r="A51" s="3" t="s">
        <v>282</v>
      </c>
      <c r="B51" s="3" t="s">
        <v>283</v>
      </c>
      <c r="C51" s="3" t="s">
        <v>284</v>
      </c>
      <c r="D51" s="3" t="s">
        <v>21</v>
      </c>
      <c r="E51" s="3" t="s">
        <v>85</v>
      </c>
      <c r="F51" s="3" t="s">
        <v>285</v>
      </c>
      <c r="G51" s="3" t="s">
        <v>286</v>
      </c>
      <c r="H51" s="3" t="s">
        <v>287</v>
      </c>
      <c r="I51" s="3" t="s">
        <v>13</v>
      </c>
    </row>
    <row r="52">
      <c r="A52" s="3" t="s">
        <v>290</v>
      </c>
      <c r="B52" s="3" t="s">
        <v>283</v>
      </c>
      <c r="C52" s="3" t="s">
        <v>293</v>
      </c>
      <c r="D52" s="3" t="s">
        <v>21</v>
      </c>
      <c r="E52" s="3" t="s">
        <v>216</v>
      </c>
      <c r="F52" s="3" t="s">
        <v>294</v>
      </c>
      <c r="G52" s="3" t="s">
        <v>291</v>
      </c>
      <c r="H52" s="3" t="s">
        <v>292</v>
      </c>
      <c r="I52" s="3" t="s">
        <v>13</v>
      </c>
    </row>
    <row r="53">
      <c r="A53" s="3" t="s">
        <v>295</v>
      </c>
      <c r="B53" s="3" t="s">
        <v>283</v>
      </c>
      <c r="C53" s="3" t="s">
        <v>298</v>
      </c>
      <c r="D53" s="3" t="s">
        <v>21</v>
      </c>
      <c r="E53" s="3" t="s">
        <v>216</v>
      </c>
      <c r="F53" s="3" t="s">
        <v>299</v>
      </c>
      <c r="G53" s="3" t="s">
        <v>296</v>
      </c>
      <c r="H53" s="3" t="s">
        <v>297</v>
      </c>
      <c r="I53" s="3" t="s">
        <v>13</v>
      </c>
    </row>
    <row r="54">
      <c r="A54" s="3" t="s">
        <v>300</v>
      </c>
      <c r="B54" s="3" t="s">
        <v>283</v>
      </c>
      <c r="C54" s="3" t="s">
        <v>303</v>
      </c>
      <c r="D54" s="3" t="s">
        <v>21</v>
      </c>
      <c r="E54" s="3" t="s">
        <v>216</v>
      </c>
      <c r="F54" s="3" t="s">
        <v>304</v>
      </c>
      <c r="G54" s="3" t="s">
        <v>301</v>
      </c>
      <c r="H54" s="3" t="s">
        <v>302</v>
      </c>
      <c r="I54" s="3" t="s">
        <v>13</v>
      </c>
    </row>
    <row r="55">
      <c r="A55" s="3" t="s">
        <v>305</v>
      </c>
      <c r="B55" s="3" t="s">
        <v>283</v>
      </c>
      <c r="C55" s="3" t="s">
        <v>308</v>
      </c>
      <c r="D55" s="3" t="s">
        <v>43</v>
      </c>
      <c r="E55" s="3" t="s">
        <v>309</v>
      </c>
      <c r="F55" s="3" t="s">
        <v>310</v>
      </c>
      <c r="G55" s="3" t="s">
        <v>306</v>
      </c>
      <c r="H55" s="3" t="s">
        <v>307</v>
      </c>
      <c r="I55" s="3" t="s">
        <v>13</v>
      </c>
    </row>
    <row r="56">
      <c r="A56" s="3" t="s">
        <v>311</v>
      </c>
      <c r="B56" s="3" t="s">
        <v>283</v>
      </c>
      <c r="C56" s="3" t="s">
        <v>314</v>
      </c>
      <c r="D56" s="3" t="s">
        <v>21</v>
      </c>
      <c r="E56" s="3" t="s">
        <v>216</v>
      </c>
      <c r="F56" s="3" t="s">
        <v>315</v>
      </c>
      <c r="G56" s="3" t="s">
        <v>312</v>
      </c>
      <c r="H56" s="3" t="s">
        <v>313</v>
      </c>
      <c r="I56" s="3" t="s">
        <v>13</v>
      </c>
    </row>
    <row r="57">
      <c r="A57" s="3" t="s">
        <v>316</v>
      </c>
      <c r="B57" s="3" t="s">
        <v>283</v>
      </c>
      <c r="C57" s="3" t="s">
        <v>320</v>
      </c>
      <c r="D57" s="3" t="s">
        <v>21</v>
      </c>
      <c r="E57" s="3" t="s">
        <v>237</v>
      </c>
      <c r="F57" s="3" t="s">
        <v>321</v>
      </c>
      <c r="G57" s="3" t="s">
        <v>317</v>
      </c>
      <c r="H57" s="3" t="s">
        <v>318</v>
      </c>
      <c r="I57" s="3" t="s">
        <v>13</v>
      </c>
    </row>
    <row r="58">
      <c r="A58" s="3" t="s">
        <v>322</v>
      </c>
      <c r="B58" s="3" t="s">
        <v>283</v>
      </c>
      <c r="C58" s="3" t="s">
        <v>325</v>
      </c>
      <c r="D58" s="3" t="s">
        <v>21</v>
      </c>
      <c r="E58" s="3" t="s">
        <v>279</v>
      </c>
      <c r="F58" s="3" t="s">
        <v>321</v>
      </c>
      <c r="G58" s="3" t="s">
        <v>323</v>
      </c>
      <c r="H58" s="3" t="s">
        <v>324</v>
      </c>
      <c r="I58" s="3" t="s">
        <v>13</v>
      </c>
    </row>
    <row r="59">
      <c r="A59" s="3" t="s">
        <v>326</v>
      </c>
      <c r="B59" s="3" t="s">
        <v>283</v>
      </c>
      <c r="C59" s="3" t="s">
        <v>329</v>
      </c>
      <c r="D59" s="3" t="s">
        <v>21</v>
      </c>
      <c r="E59" s="3" t="s">
        <v>237</v>
      </c>
      <c r="F59" s="3" t="s">
        <v>330</v>
      </c>
      <c r="G59" s="3" t="s">
        <v>327</v>
      </c>
      <c r="H59" s="3" t="s">
        <v>328</v>
      </c>
      <c r="I59" s="3" t="s">
        <v>13</v>
      </c>
    </row>
    <row r="60">
      <c r="A60" s="3" t="s">
        <v>331</v>
      </c>
      <c r="B60" s="3" t="s">
        <v>283</v>
      </c>
      <c r="C60" s="3" t="s">
        <v>334</v>
      </c>
      <c r="D60" s="3" t="s">
        <v>43</v>
      </c>
      <c r="E60" s="3" t="s">
        <v>237</v>
      </c>
      <c r="F60" s="3" t="s">
        <v>330</v>
      </c>
      <c r="G60" s="3" t="s">
        <v>332</v>
      </c>
      <c r="H60" s="3" t="s">
        <v>333</v>
      </c>
      <c r="I60" s="3" t="s">
        <v>13</v>
      </c>
    </row>
    <row r="61">
      <c r="A61" s="3" t="s">
        <v>335</v>
      </c>
      <c r="B61" s="3" t="s">
        <v>283</v>
      </c>
      <c r="C61" s="3" t="s">
        <v>338</v>
      </c>
      <c r="D61" s="3" t="s">
        <v>43</v>
      </c>
      <c r="E61" s="3" t="s">
        <v>216</v>
      </c>
      <c r="F61" s="3" t="s">
        <v>340</v>
      </c>
      <c r="G61" s="3" t="s">
        <v>336</v>
      </c>
      <c r="H61" s="3" t="s">
        <v>337</v>
      </c>
      <c r="I61" s="3" t="s">
        <v>13</v>
      </c>
    </row>
    <row r="62">
      <c r="A62" s="3" t="s">
        <v>341</v>
      </c>
      <c r="B62" s="3" t="s">
        <v>342</v>
      </c>
      <c r="C62" s="3" t="s">
        <v>345</v>
      </c>
      <c r="D62" s="3" t="s">
        <v>21</v>
      </c>
      <c r="E62" s="3" t="s">
        <v>346</v>
      </c>
      <c r="F62" s="3" t="s">
        <v>347</v>
      </c>
      <c r="G62" s="3" t="s">
        <v>343</v>
      </c>
      <c r="H62" s="3" t="s">
        <v>344</v>
      </c>
      <c r="I62" s="3" t="s">
        <v>13</v>
      </c>
    </row>
    <row r="63">
      <c r="A63" s="3" t="s">
        <v>348</v>
      </c>
      <c r="B63" s="3" t="s">
        <v>342</v>
      </c>
      <c r="C63" s="3" t="s">
        <v>351</v>
      </c>
      <c r="D63" s="3" t="s">
        <v>21</v>
      </c>
      <c r="E63" s="3" t="s">
        <v>247</v>
      </c>
      <c r="F63" s="3" t="s">
        <v>352</v>
      </c>
      <c r="G63" s="3" t="s">
        <v>349</v>
      </c>
      <c r="H63" s="3" t="s">
        <v>350</v>
      </c>
      <c r="I63" s="3" t="s">
        <v>13</v>
      </c>
    </row>
    <row r="64">
      <c r="A64" s="3" t="s">
        <v>353</v>
      </c>
      <c r="B64" s="3" t="s">
        <v>342</v>
      </c>
      <c r="C64" s="3" t="s">
        <v>356</v>
      </c>
      <c r="D64" s="3" t="s">
        <v>43</v>
      </c>
      <c r="E64" s="3" t="s">
        <v>247</v>
      </c>
      <c r="F64" s="3" t="s">
        <v>357</v>
      </c>
      <c r="G64" s="3" t="s">
        <v>354</v>
      </c>
      <c r="H64" s="3" t="s">
        <v>355</v>
      </c>
      <c r="I64" s="3" t="s">
        <v>13</v>
      </c>
    </row>
    <row r="65">
      <c r="A65" s="3" t="s">
        <v>358</v>
      </c>
      <c r="B65" s="3" t="s">
        <v>342</v>
      </c>
      <c r="C65" s="3" t="s">
        <v>361</v>
      </c>
      <c r="D65" s="3" t="s">
        <v>21</v>
      </c>
      <c r="E65" s="3" t="s">
        <v>247</v>
      </c>
      <c r="F65" s="3" t="s">
        <v>362</v>
      </c>
      <c r="G65" s="3" t="s">
        <v>359</v>
      </c>
      <c r="H65" s="3" t="s">
        <v>360</v>
      </c>
      <c r="I65" s="3" t="s">
        <v>13</v>
      </c>
    </row>
    <row r="66">
      <c r="A66" s="3" t="s">
        <v>363</v>
      </c>
      <c r="B66" s="3" t="s">
        <v>342</v>
      </c>
      <c r="C66" s="3" t="s">
        <v>366</v>
      </c>
      <c r="D66" s="3" t="s">
        <v>21</v>
      </c>
      <c r="E66" s="3" t="s">
        <v>247</v>
      </c>
      <c r="F66" s="3" t="s">
        <v>367</v>
      </c>
      <c r="G66" s="3" t="s">
        <v>364</v>
      </c>
      <c r="H66" s="3" t="s">
        <v>365</v>
      </c>
      <c r="I66" s="3" t="s">
        <v>13</v>
      </c>
    </row>
    <row r="67">
      <c r="A67" s="3" t="s">
        <v>369</v>
      </c>
      <c r="B67" s="3" t="s">
        <v>342</v>
      </c>
      <c r="C67" s="3" t="s">
        <v>372</v>
      </c>
      <c r="D67" s="3" t="s">
        <v>21</v>
      </c>
      <c r="E67" s="3" t="s">
        <v>373</v>
      </c>
      <c r="F67" s="3" t="s">
        <v>374</v>
      </c>
      <c r="G67" s="3" t="s">
        <v>370</v>
      </c>
      <c r="H67" s="3" t="s">
        <v>371</v>
      </c>
      <c r="I67" s="3" t="s">
        <v>13</v>
      </c>
    </row>
    <row r="68">
      <c r="A68" s="3" t="s">
        <v>375</v>
      </c>
      <c r="B68" s="3" t="s">
        <v>376</v>
      </c>
      <c r="C68" s="3" t="s">
        <v>379</v>
      </c>
      <c r="D68" s="3" t="s">
        <v>21</v>
      </c>
      <c r="E68" s="3" t="s">
        <v>380</v>
      </c>
      <c r="F68" s="3" t="s">
        <v>381</v>
      </c>
      <c r="G68" s="3" t="s">
        <v>377</v>
      </c>
      <c r="H68" s="3" t="s">
        <v>378</v>
      </c>
      <c r="I68" s="3" t="s">
        <v>13</v>
      </c>
    </row>
    <row r="69">
      <c r="A69" s="3" t="s">
        <v>382</v>
      </c>
      <c r="B69" s="3" t="s">
        <v>376</v>
      </c>
      <c r="C69" s="3" t="s">
        <v>385</v>
      </c>
      <c r="D69" s="3" t="s">
        <v>21</v>
      </c>
      <c r="E69" s="3" t="s">
        <v>96</v>
      </c>
      <c r="F69" s="3" t="s">
        <v>386</v>
      </c>
      <c r="G69" s="3" t="s">
        <v>383</v>
      </c>
      <c r="H69" s="3" t="s">
        <v>384</v>
      </c>
      <c r="I69" s="3" t="s">
        <v>13</v>
      </c>
    </row>
    <row r="70">
      <c r="A70" s="3" t="s">
        <v>387</v>
      </c>
      <c r="B70" s="3" t="s">
        <v>376</v>
      </c>
      <c r="C70" s="3" t="s">
        <v>390</v>
      </c>
      <c r="D70" s="3" t="s">
        <v>21</v>
      </c>
      <c r="E70" s="3" t="s">
        <v>96</v>
      </c>
      <c r="F70" s="3" t="s">
        <v>386</v>
      </c>
      <c r="G70" s="3" t="s">
        <v>388</v>
      </c>
      <c r="H70" s="3" t="s">
        <v>389</v>
      </c>
      <c r="I70" s="3" t="s">
        <v>13</v>
      </c>
    </row>
    <row r="71">
      <c r="A71" s="3" t="s">
        <v>391</v>
      </c>
      <c r="B71" s="3" t="s">
        <v>376</v>
      </c>
      <c r="C71" s="3" t="s">
        <v>394</v>
      </c>
      <c r="D71" s="3" t="s">
        <v>21</v>
      </c>
      <c r="E71" s="3" t="s">
        <v>96</v>
      </c>
      <c r="F71" s="3" t="s">
        <v>386</v>
      </c>
      <c r="G71" s="3" t="s">
        <v>392</v>
      </c>
      <c r="H71" s="3" t="s">
        <v>393</v>
      </c>
      <c r="I71" s="3" t="s">
        <v>13</v>
      </c>
    </row>
    <row r="72">
      <c r="A72" s="3" t="s">
        <v>395</v>
      </c>
      <c r="B72" s="3" t="s">
        <v>376</v>
      </c>
      <c r="C72" s="3" t="s">
        <v>398</v>
      </c>
      <c r="D72" s="3" t="s">
        <v>21</v>
      </c>
      <c r="E72" s="3" t="s">
        <v>96</v>
      </c>
      <c r="F72" s="3" t="s">
        <v>386</v>
      </c>
      <c r="G72" s="3" t="s">
        <v>396</v>
      </c>
      <c r="H72" s="3" t="s">
        <v>397</v>
      </c>
      <c r="I72" s="3" t="s">
        <v>13</v>
      </c>
    </row>
    <row r="73">
      <c r="A73" s="3" t="s">
        <v>399</v>
      </c>
      <c r="B73" s="3" t="s">
        <v>376</v>
      </c>
      <c r="C73" s="3" t="s">
        <v>402</v>
      </c>
      <c r="D73" s="3" t="s">
        <v>21</v>
      </c>
      <c r="E73" s="3" t="s">
        <v>96</v>
      </c>
      <c r="F73" s="3" t="s">
        <v>403</v>
      </c>
      <c r="G73" s="3" t="s">
        <v>400</v>
      </c>
      <c r="H73" s="3" t="s">
        <v>401</v>
      </c>
      <c r="I73" s="3" t="s">
        <v>13</v>
      </c>
    </row>
    <row r="74">
      <c r="A74" s="3" t="s">
        <v>404</v>
      </c>
      <c r="B74" s="3" t="s">
        <v>376</v>
      </c>
      <c r="C74" s="3" t="s">
        <v>407</v>
      </c>
      <c r="D74" s="3" t="s">
        <v>21</v>
      </c>
      <c r="E74" s="3" t="s">
        <v>96</v>
      </c>
      <c r="F74" s="3" t="s">
        <v>403</v>
      </c>
      <c r="G74" s="3" t="s">
        <v>405</v>
      </c>
      <c r="H74" s="3" t="s">
        <v>406</v>
      </c>
      <c r="I74" s="3" t="s">
        <v>13</v>
      </c>
    </row>
    <row r="75">
      <c r="A75" s="3" t="s">
        <v>408</v>
      </c>
      <c r="B75" s="3" t="s">
        <v>376</v>
      </c>
      <c r="C75" s="3" t="s">
        <v>411</v>
      </c>
      <c r="D75" s="3" t="s">
        <v>21</v>
      </c>
      <c r="E75" s="3" t="s">
        <v>412</v>
      </c>
      <c r="F75" s="3" t="s">
        <v>413</v>
      </c>
      <c r="G75" s="3" t="s">
        <v>409</v>
      </c>
      <c r="H75" s="3" t="s">
        <v>410</v>
      </c>
      <c r="I75" s="3" t="s">
        <v>13</v>
      </c>
    </row>
    <row r="76">
      <c r="A76" s="3" t="s">
        <v>414</v>
      </c>
      <c r="B76" s="3" t="s">
        <v>376</v>
      </c>
      <c r="C76" s="3" t="s">
        <v>417</v>
      </c>
      <c r="D76" s="3" t="s">
        <v>21</v>
      </c>
      <c r="E76" s="3" t="s">
        <v>412</v>
      </c>
      <c r="F76" s="3" t="s">
        <v>418</v>
      </c>
      <c r="G76" s="3" t="s">
        <v>415</v>
      </c>
      <c r="H76" s="3" t="s">
        <v>416</v>
      </c>
      <c r="I76" s="3" t="s">
        <v>13</v>
      </c>
    </row>
    <row r="77">
      <c r="A77" s="3" t="s">
        <v>419</v>
      </c>
      <c r="B77" s="3" t="s">
        <v>376</v>
      </c>
      <c r="C77" s="3" t="s">
        <v>422</v>
      </c>
      <c r="D77" s="3" t="s">
        <v>21</v>
      </c>
      <c r="E77" s="3" t="s">
        <v>412</v>
      </c>
      <c r="F77" s="3" t="s">
        <v>423</v>
      </c>
      <c r="G77" s="3" t="s">
        <v>420</v>
      </c>
      <c r="H77" s="3" t="s">
        <v>421</v>
      </c>
      <c r="I77" s="3" t="s">
        <v>13</v>
      </c>
    </row>
    <row r="78">
      <c r="A78" s="3" t="s">
        <v>424</v>
      </c>
      <c r="B78" s="3" t="s">
        <v>376</v>
      </c>
      <c r="C78" s="3" t="s">
        <v>427</v>
      </c>
      <c r="D78" s="3" t="s">
        <v>21</v>
      </c>
      <c r="E78" s="3" t="s">
        <v>412</v>
      </c>
      <c r="F78" s="3" t="s">
        <v>428</v>
      </c>
      <c r="G78" s="3" t="s">
        <v>425</v>
      </c>
      <c r="H78" s="3" t="s">
        <v>426</v>
      </c>
      <c r="I78" s="3" t="s">
        <v>13</v>
      </c>
    </row>
    <row r="79">
      <c r="A79" s="3" t="s">
        <v>429</v>
      </c>
      <c r="B79" s="3" t="s">
        <v>376</v>
      </c>
      <c r="C79" s="3" t="s">
        <v>432</v>
      </c>
      <c r="D79" s="3" t="s">
        <v>21</v>
      </c>
      <c r="E79" s="3" t="s">
        <v>412</v>
      </c>
      <c r="F79" s="3" t="s">
        <v>433</v>
      </c>
      <c r="G79" s="3" t="s">
        <v>430</v>
      </c>
      <c r="H79" s="3" t="s">
        <v>431</v>
      </c>
      <c r="I79" s="3" t="s">
        <v>13</v>
      </c>
    </row>
    <row r="80">
      <c r="A80" s="3" t="s">
        <v>434</v>
      </c>
      <c r="B80" s="3" t="s">
        <v>376</v>
      </c>
      <c r="C80" s="3" t="s">
        <v>437</v>
      </c>
      <c r="D80" s="3" t="s">
        <v>21</v>
      </c>
      <c r="E80" s="3" t="s">
        <v>438</v>
      </c>
      <c r="F80" s="3" t="s">
        <v>439</v>
      </c>
      <c r="G80" s="3" t="s">
        <v>435</v>
      </c>
      <c r="H80" s="3" t="s">
        <v>436</v>
      </c>
      <c r="I80" s="3" t="s">
        <v>13</v>
      </c>
    </row>
    <row r="81">
      <c r="A81" s="3" t="s">
        <v>440</v>
      </c>
      <c r="B81" s="3" t="s">
        <v>376</v>
      </c>
      <c r="C81" s="3" t="s">
        <v>443</v>
      </c>
      <c r="D81" s="3" t="s">
        <v>21</v>
      </c>
      <c r="E81" s="3" t="s">
        <v>438</v>
      </c>
      <c r="F81" s="3" t="s">
        <v>444</v>
      </c>
      <c r="G81" s="3" t="s">
        <v>441</v>
      </c>
      <c r="H81" s="3" t="s">
        <v>442</v>
      </c>
      <c r="I81" s="3" t="s">
        <v>13</v>
      </c>
    </row>
    <row r="82">
      <c r="A82" s="3" t="s">
        <v>445</v>
      </c>
      <c r="B82" s="3" t="s">
        <v>376</v>
      </c>
      <c r="C82" s="3" t="s">
        <v>448</v>
      </c>
      <c r="D82" s="3" t="s">
        <v>21</v>
      </c>
      <c r="E82" s="3" t="s">
        <v>438</v>
      </c>
      <c r="F82" s="3" t="s">
        <v>449</v>
      </c>
      <c r="G82" s="3" t="s">
        <v>446</v>
      </c>
      <c r="H82" s="3" t="s">
        <v>447</v>
      </c>
      <c r="I82" s="3" t="s">
        <v>13</v>
      </c>
    </row>
    <row r="83">
      <c r="A83" s="3" t="s">
        <v>450</v>
      </c>
      <c r="B83" s="3" t="s">
        <v>376</v>
      </c>
      <c r="C83" s="3" t="s">
        <v>453</v>
      </c>
      <c r="D83" s="3" t="s">
        <v>43</v>
      </c>
      <c r="E83" s="3" t="s">
        <v>438</v>
      </c>
      <c r="F83" s="3" t="s">
        <v>449</v>
      </c>
      <c r="G83" s="3" t="s">
        <v>451</v>
      </c>
      <c r="H83" s="3" t="s">
        <v>452</v>
      </c>
      <c r="I83" s="3" t="s">
        <v>13</v>
      </c>
    </row>
    <row r="84">
      <c r="A84" s="3" t="s">
        <v>454</v>
      </c>
      <c r="B84" s="3" t="s">
        <v>376</v>
      </c>
      <c r="C84" s="3" t="s">
        <v>457</v>
      </c>
      <c r="D84" s="3" t="s">
        <v>43</v>
      </c>
      <c r="E84" s="3" t="s">
        <v>438</v>
      </c>
      <c r="F84" s="3" t="s">
        <v>458</v>
      </c>
      <c r="G84" s="3" t="s">
        <v>455</v>
      </c>
      <c r="H84" s="3" t="s">
        <v>456</v>
      </c>
      <c r="I84" s="3" t="s">
        <v>13</v>
      </c>
    </row>
    <row r="85">
      <c r="A85" s="3" t="s">
        <v>460</v>
      </c>
      <c r="B85" s="3" t="s">
        <v>461</v>
      </c>
      <c r="C85" s="3" t="s">
        <v>464</v>
      </c>
      <c r="D85" s="3" t="s">
        <v>21</v>
      </c>
      <c r="E85" s="3" t="s">
        <v>465</v>
      </c>
      <c r="F85" s="3" t="s">
        <v>466</v>
      </c>
      <c r="G85" s="3" t="s">
        <v>462</v>
      </c>
      <c r="H85" s="3" t="s">
        <v>463</v>
      </c>
      <c r="I85" s="3" t="s">
        <v>13</v>
      </c>
    </row>
    <row r="86">
      <c r="A86" s="3" t="s">
        <v>467</v>
      </c>
      <c r="B86" s="3" t="s">
        <v>461</v>
      </c>
      <c r="C86" s="3" t="s">
        <v>470</v>
      </c>
      <c r="D86" s="3" t="s">
        <v>21</v>
      </c>
      <c r="E86" s="3" t="s">
        <v>465</v>
      </c>
      <c r="F86" s="3" t="s">
        <v>466</v>
      </c>
      <c r="G86" s="3" t="s">
        <v>468</v>
      </c>
      <c r="H86" s="3" t="s">
        <v>469</v>
      </c>
      <c r="I86" s="3" t="s">
        <v>13</v>
      </c>
    </row>
    <row r="87">
      <c r="A87" s="3" t="s">
        <v>472</v>
      </c>
      <c r="B87" s="3" t="s">
        <v>461</v>
      </c>
      <c r="C87" s="3" t="s">
        <v>475</v>
      </c>
      <c r="D87" s="3" t="s">
        <v>21</v>
      </c>
      <c r="E87" s="3" t="s">
        <v>465</v>
      </c>
      <c r="F87" s="3" t="s">
        <v>466</v>
      </c>
      <c r="G87" s="3" t="s">
        <v>473</v>
      </c>
      <c r="H87" s="3" t="s">
        <v>474</v>
      </c>
      <c r="I87" s="3" t="s">
        <v>13</v>
      </c>
    </row>
    <row r="88">
      <c r="A88" s="3" t="s">
        <v>476</v>
      </c>
      <c r="B88" s="3" t="s">
        <v>461</v>
      </c>
      <c r="C88" s="3" t="s">
        <v>479</v>
      </c>
      <c r="D88" s="3" t="s">
        <v>21</v>
      </c>
      <c r="E88" s="3" t="s">
        <v>465</v>
      </c>
      <c r="F88" s="3" t="s">
        <v>466</v>
      </c>
      <c r="G88" s="3" t="s">
        <v>477</v>
      </c>
      <c r="H88" s="3" t="s">
        <v>478</v>
      </c>
      <c r="I88" s="3" t="s">
        <v>13</v>
      </c>
    </row>
    <row r="89">
      <c r="A89" s="3" t="s">
        <v>480</v>
      </c>
      <c r="B89" s="3" t="s">
        <v>461</v>
      </c>
      <c r="C89" s="3" t="s">
        <v>483</v>
      </c>
      <c r="D89" s="3" t="s">
        <v>21</v>
      </c>
      <c r="E89" s="3" t="s">
        <v>465</v>
      </c>
      <c r="F89" s="3" t="s">
        <v>466</v>
      </c>
      <c r="G89" s="3" t="s">
        <v>481</v>
      </c>
      <c r="H89" s="3" t="s">
        <v>482</v>
      </c>
      <c r="I89" s="3" t="s">
        <v>13</v>
      </c>
    </row>
    <row r="90">
      <c r="A90" s="3" t="s">
        <v>484</v>
      </c>
      <c r="B90" s="3" t="s">
        <v>461</v>
      </c>
      <c r="C90" s="3" t="s">
        <v>487</v>
      </c>
      <c r="D90" s="3" t="s">
        <v>21</v>
      </c>
      <c r="E90" s="3" t="s">
        <v>465</v>
      </c>
      <c r="F90" s="3" t="s">
        <v>466</v>
      </c>
      <c r="G90" s="3" t="s">
        <v>485</v>
      </c>
      <c r="H90" s="3" t="s">
        <v>486</v>
      </c>
      <c r="I90" s="3" t="s">
        <v>13</v>
      </c>
    </row>
    <row r="91">
      <c r="A91" s="3" t="s">
        <v>489</v>
      </c>
      <c r="B91" s="3" t="s">
        <v>461</v>
      </c>
      <c r="C91" s="3" t="s">
        <v>492</v>
      </c>
      <c r="D91" s="3" t="s">
        <v>21</v>
      </c>
      <c r="E91" s="3" t="s">
        <v>465</v>
      </c>
      <c r="F91" s="3" t="s">
        <v>466</v>
      </c>
      <c r="G91" s="3" t="s">
        <v>490</v>
      </c>
      <c r="H91" s="3" t="s">
        <v>491</v>
      </c>
      <c r="I91" s="3" t="s">
        <v>13</v>
      </c>
    </row>
    <row r="92">
      <c r="A92" s="3" t="s">
        <v>493</v>
      </c>
      <c r="B92" s="3" t="s">
        <v>494</v>
      </c>
      <c r="C92" s="3" t="s">
        <v>497</v>
      </c>
      <c r="D92" s="3" t="s">
        <v>43</v>
      </c>
      <c r="E92" s="3" t="s">
        <v>96</v>
      </c>
      <c r="F92" s="3" t="s">
        <v>498</v>
      </c>
      <c r="G92" s="3" t="s">
        <v>495</v>
      </c>
      <c r="H92" s="3" t="s">
        <v>496</v>
      </c>
      <c r="I92" s="3" t="s">
        <v>13</v>
      </c>
    </row>
    <row r="93">
      <c r="A93" s="3" t="s">
        <v>499</v>
      </c>
      <c r="B93" s="3" t="s">
        <v>494</v>
      </c>
      <c r="C93" s="3" t="s">
        <v>502</v>
      </c>
      <c r="D93" s="3" t="s">
        <v>43</v>
      </c>
      <c r="E93" s="3" t="s">
        <v>96</v>
      </c>
      <c r="F93" s="3" t="s">
        <v>503</v>
      </c>
      <c r="G93" s="3" t="s">
        <v>500</v>
      </c>
      <c r="H93" s="3" t="s">
        <v>501</v>
      </c>
      <c r="I93" s="3" t="s">
        <v>13</v>
      </c>
    </row>
    <row r="94">
      <c r="A94" s="3" t="s">
        <v>504</v>
      </c>
      <c r="B94" s="3" t="s">
        <v>494</v>
      </c>
      <c r="C94" s="3" t="s">
        <v>507</v>
      </c>
      <c r="D94" s="3" t="s">
        <v>43</v>
      </c>
      <c r="E94" s="3" t="s">
        <v>96</v>
      </c>
      <c r="F94" s="3" t="s">
        <v>508</v>
      </c>
      <c r="G94" s="3" t="s">
        <v>505</v>
      </c>
      <c r="H94" s="3" t="s">
        <v>506</v>
      </c>
      <c r="I94" s="3" t="s">
        <v>13</v>
      </c>
    </row>
    <row r="95">
      <c r="A95" s="3" t="s">
        <v>509</v>
      </c>
      <c r="B95" s="3" t="s">
        <v>494</v>
      </c>
      <c r="C95" s="3" t="s">
        <v>512</v>
      </c>
      <c r="D95" s="3" t="s">
        <v>21</v>
      </c>
      <c r="E95" s="3" t="s">
        <v>513</v>
      </c>
      <c r="F95" s="3" t="s">
        <v>253</v>
      </c>
      <c r="G95" s="3" t="s">
        <v>510</v>
      </c>
      <c r="H95" s="3" t="s">
        <v>511</v>
      </c>
      <c r="I95" s="3" t="s">
        <v>13</v>
      </c>
    </row>
    <row r="96">
      <c r="A96" s="3" t="s">
        <v>514</v>
      </c>
      <c r="B96" s="3" t="s">
        <v>494</v>
      </c>
      <c r="C96" s="3" t="s">
        <v>517</v>
      </c>
      <c r="D96" s="3" t="s">
        <v>73</v>
      </c>
      <c r="E96" s="3" t="s">
        <v>96</v>
      </c>
      <c r="F96" s="3" t="s">
        <v>518</v>
      </c>
      <c r="G96" s="3" t="s">
        <v>515</v>
      </c>
      <c r="H96" s="3" t="s">
        <v>516</v>
      </c>
      <c r="I96" s="3" t="s">
        <v>13</v>
      </c>
    </row>
    <row r="97">
      <c r="A97" s="3" t="s">
        <v>519</v>
      </c>
      <c r="B97" s="3" t="s">
        <v>494</v>
      </c>
      <c r="C97" s="3" t="s">
        <v>522</v>
      </c>
      <c r="D97" s="3" t="s">
        <v>43</v>
      </c>
      <c r="E97" s="3" t="s">
        <v>523</v>
      </c>
      <c r="F97" s="3" t="s">
        <v>38</v>
      </c>
      <c r="G97" s="3" t="s">
        <v>520</v>
      </c>
      <c r="H97" s="3" t="s">
        <v>521</v>
      </c>
      <c r="I97" s="3" t="s">
        <v>13</v>
      </c>
    </row>
    <row r="98">
      <c r="A98" s="3" t="s">
        <v>524</v>
      </c>
      <c r="B98" s="3" t="s">
        <v>494</v>
      </c>
      <c r="C98" s="3" t="s">
        <v>527</v>
      </c>
      <c r="D98" s="3" t="s">
        <v>43</v>
      </c>
      <c r="E98" s="3" t="s">
        <v>528</v>
      </c>
      <c r="F98" s="3" t="s">
        <v>137</v>
      </c>
      <c r="G98" s="3" t="s">
        <v>525</v>
      </c>
      <c r="H98" s="3" t="s">
        <v>526</v>
      </c>
      <c r="I98" s="3" t="s">
        <v>13</v>
      </c>
    </row>
    <row r="99">
      <c r="A99" s="3" t="s">
        <v>529</v>
      </c>
      <c r="B99" s="3" t="s">
        <v>494</v>
      </c>
      <c r="C99" s="3" t="s">
        <v>532</v>
      </c>
      <c r="D99" s="3" t="s">
        <v>43</v>
      </c>
      <c r="E99" s="3" t="s">
        <v>523</v>
      </c>
      <c r="F99" s="3" t="s">
        <v>534</v>
      </c>
      <c r="G99" s="3" t="s">
        <v>530</v>
      </c>
      <c r="H99" s="3" t="s">
        <v>531</v>
      </c>
      <c r="I99" s="3" t="s">
        <v>13</v>
      </c>
    </row>
    <row r="100">
      <c r="A100" s="3" t="s">
        <v>535</v>
      </c>
      <c r="B100" s="3" t="s">
        <v>536</v>
      </c>
      <c r="C100" s="3" t="s">
        <v>539</v>
      </c>
      <c r="D100" s="3" t="s">
        <v>21</v>
      </c>
      <c r="E100" s="3" t="s">
        <v>465</v>
      </c>
      <c r="F100" s="3" t="s">
        <v>540</v>
      </c>
      <c r="G100" s="3" t="s">
        <v>537</v>
      </c>
      <c r="H100" s="3" t="s">
        <v>538</v>
      </c>
      <c r="I100" s="3" t="s">
        <v>13</v>
      </c>
    </row>
    <row r="101">
      <c r="A101" s="3" t="s">
        <v>541</v>
      </c>
      <c r="B101" s="3" t="s">
        <v>536</v>
      </c>
      <c r="C101" s="3" t="s">
        <v>544</v>
      </c>
      <c r="D101" s="3" t="s">
        <v>21</v>
      </c>
      <c r="E101" s="3" t="s">
        <v>465</v>
      </c>
      <c r="F101" s="3" t="s">
        <v>545</v>
      </c>
      <c r="G101" s="3" t="s">
        <v>542</v>
      </c>
      <c r="H101" s="3" t="s">
        <v>543</v>
      </c>
      <c r="I101" s="3" t="s">
        <v>13</v>
      </c>
    </row>
    <row r="102">
      <c r="I102" s="5"/>
    </row>
    <row r="103">
      <c r="I103" s="5"/>
    </row>
    <row r="104">
      <c r="I104" s="5"/>
    </row>
    <row r="105">
      <c r="I105" s="5"/>
    </row>
    <row r="106">
      <c r="I106" s="5"/>
    </row>
    <row r="107">
      <c r="I107" s="5"/>
    </row>
    <row r="108">
      <c r="I108" s="5"/>
    </row>
    <row r="109">
      <c r="I109" s="5"/>
    </row>
    <row r="110">
      <c r="I110" s="5"/>
    </row>
    <row r="111">
      <c r="I111" s="5"/>
    </row>
    <row r="112">
      <c r="I112" s="5"/>
    </row>
    <row r="113">
      <c r="I113" s="5"/>
    </row>
    <row r="114">
      <c r="I114" s="5"/>
    </row>
    <row r="115">
      <c r="I115" s="5"/>
    </row>
    <row r="116">
      <c r="I116" s="5"/>
    </row>
    <row r="117">
      <c r="I117" s="5"/>
    </row>
    <row r="118">
      <c r="I118" s="5"/>
    </row>
    <row r="119">
      <c r="I119" s="5"/>
    </row>
    <row r="120">
      <c r="I120" s="5"/>
    </row>
    <row r="121">
      <c r="I121" s="5"/>
    </row>
    <row r="122">
      <c r="I122" s="5"/>
    </row>
    <row r="123">
      <c r="I123" s="5"/>
    </row>
    <row r="124">
      <c r="I124" s="5"/>
    </row>
    <row r="125">
      <c r="I125" s="5"/>
    </row>
    <row r="126">
      <c r="I126" s="5"/>
    </row>
    <row r="127">
      <c r="I127" s="5"/>
    </row>
    <row r="128">
      <c r="I128" s="5"/>
    </row>
    <row r="129">
      <c r="I129" s="5"/>
    </row>
    <row r="130">
      <c r="I130" s="5"/>
    </row>
    <row r="131">
      <c r="I131" s="5"/>
    </row>
    <row r="132">
      <c r="I132" s="5"/>
    </row>
    <row r="133">
      <c r="I133" s="5"/>
    </row>
    <row r="134">
      <c r="I134" s="5"/>
    </row>
    <row r="135">
      <c r="I135" s="5"/>
    </row>
    <row r="136">
      <c r="I136" s="5"/>
    </row>
    <row r="137">
      <c r="I137" s="5"/>
    </row>
    <row r="138">
      <c r="I138" s="5"/>
    </row>
    <row r="139">
      <c r="I139" s="5"/>
    </row>
    <row r="140">
      <c r="I140" s="5"/>
    </row>
    <row r="141">
      <c r="I141" s="5"/>
    </row>
    <row r="142">
      <c r="I142" s="5"/>
    </row>
    <row r="143">
      <c r="I143" s="5"/>
    </row>
    <row r="144">
      <c r="I144" s="5"/>
    </row>
    <row r="145">
      <c r="I145" s="5"/>
    </row>
    <row r="146">
      <c r="I146" s="5"/>
    </row>
    <row r="147">
      <c r="I147" s="5"/>
    </row>
    <row r="148">
      <c r="I148" s="5"/>
    </row>
    <row r="149">
      <c r="I149" s="5"/>
    </row>
    <row r="150">
      <c r="I150" s="5"/>
    </row>
    <row r="151">
      <c r="I151" s="5"/>
    </row>
    <row r="152">
      <c r="I152" s="5"/>
    </row>
    <row r="153">
      <c r="I153" s="5"/>
    </row>
    <row r="154">
      <c r="I154" s="5"/>
    </row>
    <row r="155">
      <c r="I155" s="5"/>
    </row>
    <row r="156">
      <c r="I156" s="5"/>
    </row>
    <row r="157">
      <c r="I157" s="5"/>
    </row>
    <row r="158">
      <c r="I158" s="5"/>
    </row>
    <row r="159">
      <c r="I159" s="5"/>
    </row>
    <row r="160">
      <c r="I160" s="5"/>
    </row>
    <row r="161">
      <c r="I161" s="5"/>
    </row>
    <row r="162">
      <c r="I162" s="5"/>
    </row>
    <row r="163">
      <c r="I163" s="5"/>
    </row>
    <row r="164">
      <c r="I164" s="5"/>
    </row>
    <row r="165">
      <c r="I165" s="5"/>
    </row>
    <row r="166">
      <c r="I166" s="5"/>
    </row>
    <row r="167">
      <c r="I167" s="5"/>
    </row>
    <row r="168">
      <c r="I168" s="5"/>
    </row>
    <row r="169">
      <c r="I169" s="5"/>
    </row>
    <row r="170">
      <c r="I170" s="5"/>
    </row>
    <row r="171">
      <c r="I171" s="5"/>
    </row>
    <row r="172">
      <c r="I172" s="5"/>
    </row>
    <row r="173">
      <c r="I173" s="5"/>
    </row>
    <row r="174">
      <c r="I174" s="5"/>
    </row>
    <row r="175">
      <c r="I175" s="5"/>
    </row>
    <row r="176">
      <c r="I176" s="5"/>
    </row>
    <row r="177">
      <c r="I177" s="5"/>
    </row>
    <row r="178">
      <c r="I178" s="5"/>
    </row>
    <row r="179">
      <c r="I179" s="5"/>
    </row>
    <row r="180">
      <c r="I180" s="5"/>
    </row>
    <row r="181">
      <c r="I181" s="5"/>
    </row>
    <row r="182">
      <c r="I182" s="5"/>
    </row>
    <row r="183">
      <c r="I183" s="5"/>
    </row>
    <row r="184">
      <c r="I184" s="5"/>
    </row>
    <row r="185">
      <c r="I185" s="5"/>
    </row>
    <row r="186">
      <c r="I186" s="5"/>
    </row>
    <row r="187">
      <c r="I187" s="5"/>
    </row>
    <row r="188">
      <c r="I188" s="5"/>
    </row>
    <row r="189">
      <c r="I189" s="5"/>
    </row>
    <row r="190">
      <c r="I190" s="5"/>
    </row>
    <row r="191">
      <c r="I191" s="5"/>
    </row>
    <row r="192">
      <c r="I192" s="5"/>
    </row>
    <row r="193">
      <c r="I193" s="5"/>
    </row>
    <row r="194">
      <c r="I194" s="5"/>
    </row>
    <row r="195">
      <c r="I195" s="5"/>
    </row>
    <row r="196">
      <c r="I196" s="5"/>
    </row>
    <row r="197">
      <c r="I197" s="5"/>
    </row>
    <row r="198">
      <c r="I198" s="5"/>
    </row>
    <row r="199">
      <c r="I199" s="5"/>
    </row>
    <row r="200">
      <c r="I200" s="5"/>
    </row>
    <row r="201">
      <c r="I201" s="5"/>
    </row>
    <row r="202">
      <c r="I202" s="5"/>
    </row>
    <row r="203">
      <c r="I203" s="5"/>
    </row>
    <row r="204">
      <c r="I204" s="5"/>
    </row>
    <row r="205">
      <c r="I205" s="5"/>
    </row>
    <row r="206">
      <c r="I206" s="5"/>
    </row>
    <row r="207">
      <c r="I207" s="5"/>
    </row>
    <row r="208">
      <c r="I208" s="5"/>
    </row>
    <row r="209">
      <c r="I209" s="5"/>
    </row>
    <row r="210">
      <c r="I210" s="5"/>
    </row>
    <row r="211">
      <c r="I211" s="5"/>
    </row>
    <row r="212">
      <c r="I212" s="5"/>
    </row>
    <row r="213">
      <c r="I213" s="5"/>
    </row>
    <row r="214">
      <c r="I214" s="5"/>
    </row>
    <row r="215">
      <c r="I215" s="5"/>
    </row>
    <row r="216">
      <c r="I216" s="5"/>
    </row>
    <row r="217">
      <c r="I217" s="5"/>
    </row>
    <row r="218">
      <c r="I218" s="5"/>
    </row>
    <row r="219">
      <c r="I219" s="5"/>
    </row>
    <row r="220">
      <c r="I220" s="5"/>
    </row>
    <row r="221">
      <c r="I221" s="5"/>
    </row>
    <row r="222">
      <c r="I222" s="5"/>
    </row>
    <row r="223">
      <c r="I223" s="5"/>
    </row>
    <row r="224">
      <c r="I224" s="5"/>
    </row>
    <row r="225">
      <c r="I225" s="5"/>
    </row>
    <row r="226">
      <c r="I226" s="5"/>
    </row>
    <row r="227">
      <c r="I227" s="5"/>
    </row>
    <row r="228">
      <c r="I228" s="5"/>
    </row>
    <row r="229">
      <c r="I229" s="5"/>
    </row>
    <row r="230">
      <c r="I230" s="5"/>
    </row>
    <row r="231">
      <c r="I231" s="5"/>
    </row>
    <row r="232">
      <c r="I232" s="5"/>
    </row>
    <row r="233">
      <c r="I233" s="5"/>
    </row>
    <row r="234">
      <c r="I234" s="5"/>
    </row>
    <row r="235">
      <c r="I235" s="5"/>
    </row>
    <row r="236">
      <c r="I236" s="5"/>
    </row>
    <row r="237">
      <c r="I237" s="5"/>
    </row>
    <row r="238">
      <c r="I238" s="5"/>
    </row>
    <row r="239">
      <c r="I239" s="5"/>
    </row>
    <row r="240">
      <c r="I240" s="5"/>
    </row>
    <row r="241">
      <c r="I241" s="5"/>
    </row>
    <row r="242">
      <c r="I242" s="5"/>
    </row>
    <row r="243">
      <c r="I243" s="5"/>
    </row>
    <row r="244">
      <c r="I244" s="5"/>
    </row>
    <row r="245">
      <c r="I245" s="5"/>
    </row>
    <row r="246">
      <c r="I246" s="5"/>
    </row>
    <row r="247">
      <c r="I247" s="5"/>
    </row>
    <row r="248">
      <c r="I248" s="5"/>
    </row>
    <row r="249">
      <c r="I249" s="5"/>
    </row>
    <row r="250">
      <c r="I250" s="5"/>
    </row>
    <row r="251">
      <c r="I251" s="5"/>
    </row>
    <row r="252">
      <c r="I252" s="5"/>
    </row>
    <row r="253">
      <c r="I253" s="5"/>
    </row>
    <row r="254">
      <c r="I254" s="5"/>
    </row>
    <row r="255">
      <c r="I255" s="5"/>
    </row>
    <row r="256">
      <c r="I256" s="5"/>
    </row>
    <row r="257">
      <c r="I257" s="5"/>
    </row>
    <row r="258">
      <c r="I258" s="5"/>
    </row>
    <row r="259">
      <c r="I259" s="5"/>
    </row>
    <row r="260">
      <c r="I260" s="5"/>
    </row>
    <row r="261">
      <c r="I261" s="5"/>
    </row>
    <row r="262">
      <c r="I262" s="5"/>
    </row>
    <row r="263">
      <c r="I263" s="5"/>
    </row>
    <row r="264">
      <c r="I264" s="5"/>
    </row>
    <row r="265">
      <c r="I265" s="5"/>
    </row>
    <row r="266">
      <c r="I266" s="5"/>
    </row>
    <row r="267">
      <c r="I267" s="5"/>
    </row>
    <row r="268">
      <c r="I268" s="5"/>
    </row>
    <row r="269">
      <c r="I269" s="5"/>
    </row>
    <row r="270">
      <c r="I270" s="5"/>
    </row>
    <row r="271">
      <c r="I271" s="5"/>
    </row>
    <row r="272">
      <c r="I272" s="5"/>
    </row>
    <row r="273">
      <c r="I273" s="5"/>
    </row>
    <row r="274">
      <c r="I274" s="5"/>
    </row>
    <row r="275">
      <c r="I275" s="5"/>
    </row>
    <row r="276">
      <c r="I276" s="5"/>
    </row>
    <row r="277">
      <c r="I277" s="5"/>
    </row>
    <row r="278">
      <c r="I278" s="5"/>
    </row>
    <row r="279">
      <c r="I279" s="5"/>
    </row>
    <row r="280">
      <c r="I280" s="5"/>
    </row>
    <row r="281">
      <c r="I281" s="5"/>
    </row>
    <row r="282">
      <c r="I282" s="5"/>
    </row>
    <row r="283">
      <c r="I283" s="5"/>
    </row>
    <row r="284">
      <c r="I284" s="5"/>
    </row>
    <row r="285">
      <c r="I285" s="5"/>
    </row>
    <row r="286">
      <c r="I286" s="5"/>
    </row>
    <row r="287">
      <c r="I287" s="5"/>
    </row>
    <row r="288">
      <c r="I288" s="5"/>
    </row>
    <row r="289">
      <c r="I289" s="5"/>
    </row>
    <row r="290">
      <c r="I290" s="5"/>
    </row>
    <row r="291">
      <c r="I291" s="5"/>
    </row>
    <row r="292">
      <c r="I292" s="5"/>
    </row>
    <row r="293">
      <c r="I293" s="5"/>
    </row>
    <row r="294">
      <c r="I294" s="5"/>
    </row>
    <row r="295">
      <c r="I295" s="5"/>
    </row>
    <row r="296">
      <c r="I296" s="5"/>
    </row>
    <row r="297">
      <c r="I297" s="5"/>
    </row>
    <row r="298">
      <c r="I298" s="5"/>
    </row>
    <row r="299">
      <c r="I299" s="5"/>
    </row>
    <row r="300">
      <c r="I300" s="5"/>
    </row>
    <row r="301">
      <c r="I301" s="5"/>
    </row>
    <row r="302">
      <c r="I302" s="5"/>
    </row>
    <row r="303">
      <c r="I303" s="5"/>
    </row>
    <row r="304">
      <c r="I304" s="5"/>
    </row>
    <row r="305">
      <c r="I305" s="5"/>
    </row>
    <row r="306">
      <c r="I306" s="5"/>
    </row>
    <row r="307">
      <c r="I307" s="5"/>
    </row>
    <row r="308">
      <c r="I308" s="5"/>
    </row>
    <row r="309">
      <c r="I309" s="5"/>
    </row>
    <row r="310">
      <c r="I310" s="5"/>
    </row>
    <row r="311">
      <c r="I311" s="5"/>
    </row>
    <row r="312">
      <c r="I312" s="5"/>
    </row>
    <row r="313">
      <c r="I313" s="5"/>
    </row>
    <row r="314">
      <c r="I314" s="5"/>
    </row>
    <row r="315">
      <c r="I315" s="5"/>
    </row>
    <row r="316">
      <c r="I316" s="5"/>
    </row>
    <row r="317">
      <c r="I317" s="5"/>
    </row>
    <row r="318">
      <c r="I318" s="5"/>
    </row>
    <row r="319">
      <c r="I319" s="5"/>
    </row>
    <row r="320">
      <c r="I320" s="5"/>
    </row>
    <row r="321">
      <c r="I321" s="5"/>
    </row>
    <row r="322">
      <c r="I322" s="5"/>
    </row>
    <row r="323">
      <c r="I323" s="5"/>
    </row>
    <row r="324">
      <c r="I324" s="5"/>
    </row>
    <row r="325">
      <c r="I325" s="5"/>
    </row>
    <row r="326">
      <c r="I326" s="5"/>
    </row>
    <row r="327">
      <c r="I327" s="5"/>
    </row>
    <row r="328">
      <c r="I328" s="5"/>
    </row>
    <row r="329">
      <c r="I329" s="5"/>
    </row>
    <row r="330">
      <c r="I330" s="5"/>
    </row>
    <row r="331">
      <c r="I331" s="5"/>
    </row>
    <row r="332">
      <c r="I332" s="5"/>
    </row>
    <row r="333">
      <c r="I333" s="5"/>
    </row>
    <row r="334">
      <c r="I334" s="5"/>
    </row>
    <row r="335">
      <c r="I335" s="5"/>
    </row>
    <row r="336">
      <c r="I336" s="5"/>
    </row>
    <row r="337">
      <c r="I337" s="5"/>
    </row>
    <row r="338">
      <c r="I338" s="5"/>
    </row>
    <row r="339">
      <c r="I339" s="5"/>
    </row>
    <row r="340">
      <c r="I340" s="5"/>
    </row>
    <row r="341">
      <c r="I341" s="5"/>
    </row>
    <row r="342">
      <c r="I342" s="5"/>
    </row>
    <row r="343">
      <c r="I343" s="5"/>
    </row>
    <row r="344">
      <c r="I344" s="5"/>
    </row>
    <row r="345">
      <c r="I345" s="5"/>
    </row>
    <row r="346">
      <c r="I346" s="5"/>
    </row>
    <row r="347">
      <c r="I347" s="5"/>
    </row>
    <row r="348">
      <c r="I348" s="5"/>
    </row>
    <row r="349">
      <c r="I349" s="5"/>
    </row>
    <row r="350">
      <c r="I350" s="5"/>
    </row>
    <row r="351">
      <c r="I351" s="5"/>
    </row>
    <row r="352">
      <c r="I352" s="5"/>
    </row>
    <row r="353">
      <c r="I353" s="5"/>
    </row>
    <row r="354">
      <c r="I354" s="5"/>
    </row>
    <row r="355">
      <c r="I355" s="5"/>
    </row>
    <row r="356">
      <c r="I356" s="5"/>
    </row>
    <row r="357">
      <c r="I357" s="5"/>
    </row>
    <row r="358">
      <c r="I358" s="5"/>
    </row>
    <row r="359">
      <c r="I359" s="5"/>
    </row>
    <row r="360">
      <c r="I360" s="5"/>
    </row>
    <row r="361">
      <c r="I361" s="5"/>
    </row>
    <row r="362">
      <c r="I362" s="5"/>
    </row>
    <row r="363">
      <c r="I363" s="5"/>
    </row>
    <row r="364">
      <c r="I364" s="5"/>
    </row>
    <row r="365">
      <c r="I365" s="5"/>
    </row>
    <row r="366">
      <c r="I366" s="5"/>
    </row>
    <row r="367">
      <c r="I367" s="5"/>
    </row>
    <row r="368">
      <c r="I368" s="5"/>
    </row>
    <row r="369">
      <c r="I369" s="5"/>
    </row>
    <row r="370">
      <c r="I370" s="5"/>
    </row>
    <row r="371">
      <c r="I371" s="5"/>
    </row>
    <row r="372">
      <c r="I372" s="5"/>
    </row>
    <row r="373">
      <c r="I373" s="5"/>
    </row>
    <row r="374">
      <c r="I374" s="5"/>
    </row>
    <row r="375">
      <c r="I375" s="5"/>
    </row>
    <row r="376">
      <c r="I376" s="5"/>
    </row>
    <row r="377">
      <c r="I377" s="5"/>
    </row>
    <row r="378">
      <c r="I378" s="5"/>
    </row>
    <row r="379">
      <c r="I379" s="5"/>
    </row>
    <row r="380">
      <c r="I380" s="5"/>
    </row>
    <row r="381">
      <c r="I381" s="5"/>
    </row>
    <row r="382">
      <c r="I382" s="5"/>
    </row>
    <row r="383">
      <c r="I383" s="5"/>
    </row>
    <row r="384">
      <c r="I384" s="5"/>
    </row>
    <row r="385">
      <c r="I385" s="5"/>
    </row>
    <row r="386">
      <c r="I386" s="5"/>
    </row>
    <row r="387">
      <c r="I387" s="5"/>
    </row>
    <row r="388">
      <c r="I388" s="5"/>
    </row>
    <row r="389">
      <c r="I389" s="5"/>
    </row>
    <row r="390">
      <c r="I390" s="5"/>
    </row>
    <row r="391">
      <c r="I391" s="5"/>
    </row>
    <row r="392">
      <c r="I392" s="5"/>
    </row>
    <row r="393">
      <c r="I393" s="5"/>
    </row>
    <row r="394">
      <c r="I394" s="5"/>
    </row>
    <row r="395">
      <c r="I395" s="5"/>
    </row>
    <row r="396">
      <c r="I396" s="5"/>
    </row>
    <row r="397">
      <c r="I397" s="5"/>
    </row>
    <row r="398">
      <c r="I398" s="5"/>
    </row>
    <row r="399">
      <c r="I399" s="5"/>
    </row>
    <row r="400">
      <c r="I400" s="5"/>
    </row>
    <row r="401">
      <c r="I401" s="5"/>
    </row>
    <row r="402">
      <c r="I402" s="5"/>
    </row>
    <row r="403">
      <c r="I403" s="5"/>
    </row>
    <row r="404">
      <c r="I404" s="5"/>
    </row>
    <row r="405">
      <c r="I405" s="5"/>
    </row>
    <row r="406">
      <c r="I406" s="5"/>
    </row>
    <row r="407">
      <c r="I407" s="5"/>
    </row>
    <row r="408">
      <c r="I408" s="5"/>
    </row>
    <row r="409">
      <c r="I409" s="5"/>
    </row>
    <row r="410">
      <c r="I410" s="5"/>
    </row>
    <row r="411">
      <c r="I411" s="5"/>
    </row>
    <row r="412">
      <c r="I412" s="5"/>
    </row>
    <row r="413">
      <c r="I413" s="5"/>
    </row>
    <row r="414">
      <c r="I414" s="5"/>
    </row>
    <row r="415">
      <c r="I415" s="5"/>
    </row>
    <row r="416">
      <c r="I416" s="5"/>
    </row>
    <row r="417">
      <c r="I417" s="5"/>
    </row>
    <row r="418">
      <c r="I418" s="5"/>
    </row>
    <row r="419">
      <c r="I419" s="5"/>
    </row>
    <row r="420">
      <c r="I420" s="5"/>
    </row>
    <row r="421">
      <c r="I421" s="5"/>
    </row>
    <row r="422">
      <c r="I422" s="5"/>
    </row>
    <row r="423">
      <c r="I423" s="5"/>
    </row>
    <row r="424">
      <c r="I424" s="5"/>
    </row>
    <row r="425">
      <c r="I425" s="5"/>
    </row>
    <row r="426">
      <c r="I426" s="5"/>
    </row>
    <row r="427">
      <c r="I427" s="5"/>
    </row>
    <row r="428">
      <c r="I428" s="5"/>
    </row>
    <row r="429">
      <c r="I429" s="5"/>
    </row>
    <row r="430">
      <c r="I430" s="5"/>
    </row>
    <row r="431">
      <c r="I431" s="5"/>
    </row>
    <row r="432">
      <c r="I432" s="5"/>
    </row>
    <row r="433">
      <c r="I433" s="5"/>
    </row>
    <row r="434">
      <c r="I434" s="5"/>
    </row>
    <row r="435">
      <c r="I435" s="5"/>
    </row>
    <row r="436">
      <c r="I436" s="5"/>
    </row>
    <row r="437">
      <c r="I437" s="5"/>
    </row>
    <row r="438">
      <c r="I438" s="5"/>
    </row>
    <row r="439">
      <c r="I439" s="5"/>
    </row>
    <row r="440">
      <c r="I440" s="5"/>
    </row>
    <row r="441">
      <c r="I441" s="5"/>
    </row>
    <row r="442">
      <c r="I442" s="5"/>
    </row>
    <row r="443">
      <c r="I443" s="5"/>
    </row>
    <row r="444">
      <c r="I444" s="5"/>
    </row>
    <row r="445">
      <c r="I445" s="5"/>
    </row>
    <row r="446">
      <c r="I446" s="5"/>
    </row>
    <row r="447">
      <c r="I447" s="5"/>
    </row>
    <row r="448">
      <c r="I448" s="5"/>
    </row>
    <row r="449">
      <c r="I449" s="5"/>
    </row>
    <row r="450">
      <c r="I450" s="5"/>
    </row>
    <row r="451">
      <c r="I451" s="5"/>
    </row>
    <row r="452">
      <c r="I452" s="5"/>
    </row>
    <row r="453">
      <c r="I453" s="5"/>
    </row>
    <row r="454">
      <c r="I454" s="5"/>
    </row>
    <row r="455">
      <c r="I455" s="5"/>
    </row>
    <row r="456">
      <c r="I456" s="5"/>
    </row>
    <row r="457">
      <c r="I457" s="5"/>
    </row>
    <row r="458">
      <c r="I458" s="5"/>
    </row>
    <row r="459">
      <c r="I459" s="5"/>
    </row>
    <row r="460">
      <c r="I460" s="5"/>
    </row>
    <row r="461">
      <c r="I461" s="5"/>
    </row>
    <row r="462">
      <c r="I462" s="5"/>
    </row>
    <row r="463">
      <c r="I463" s="5"/>
    </row>
    <row r="464">
      <c r="I464" s="5"/>
    </row>
    <row r="465">
      <c r="I465" s="5"/>
    </row>
    <row r="466">
      <c r="I466" s="5"/>
    </row>
    <row r="467">
      <c r="I467" s="5"/>
    </row>
    <row r="468">
      <c r="I468" s="5"/>
    </row>
    <row r="469">
      <c r="I469" s="5"/>
    </row>
    <row r="470">
      <c r="I470" s="5"/>
    </row>
    <row r="471">
      <c r="I471" s="5"/>
    </row>
    <row r="472">
      <c r="I472" s="5"/>
    </row>
    <row r="473">
      <c r="I473" s="5"/>
    </row>
    <row r="474">
      <c r="I474" s="5"/>
    </row>
    <row r="475">
      <c r="I475" s="5"/>
    </row>
    <row r="476">
      <c r="I476" s="5"/>
    </row>
    <row r="477">
      <c r="I477" s="5"/>
    </row>
    <row r="478">
      <c r="I478" s="5"/>
    </row>
    <row r="479">
      <c r="I479" s="5"/>
    </row>
    <row r="480">
      <c r="I480" s="5"/>
    </row>
    <row r="481">
      <c r="I481" s="5"/>
    </row>
    <row r="482">
      <c r="I482" s="5"/>
    </row>
    <row r="483">
      <c r="I483" s="5"/>
    </row>
    <row r="484">
      <c r="I484" s="5"/>
    </row>
    <row r="485">
      <c r="I485" s="5"/>
    </row>
    <row r="486">
      <c r="I486" s="5"/>
    </row>
    <row r="487">
      <c r="I487" s="5"/>
    </row>
    <row r="488">
      <c r="I488" s="5"/>
    </row>
    <row r="489">
      <c r="I489" s="5"/>
    </row>
    <row r="490">
      <c r="I490" s="5"/>
    </row>
    <row r="491">
      <c r="I491" s="5"/>
    </row>
    <row r="492">
      <c r="I492" s="5"/>
    </row>
    <row r="493">
      <c r="I493" s="5"/>
    </row>
    <row r="494">
      <c r="I494" s="5"/>
    </row>
    <row r="495">
      <c r="I495" s="5"/>
    </row>
    <row r="496">
      <c r="I496" s="5"/>
    </row>
    <row r="497">
      <c r="I497" s="5"/>
    </row>
    <row r="498">
      <c r="I498" s="5"/>
    </row>
    <row r="499">
      <c r="I499" s="5"/>
    </row>
    <row r="500">
      <c r="I500" s="5"/>
    </row>
    <row r="501">
      <c r="I501" s="5"/>
    </row>
    <row r="502">
      <c r="I502" s="5"/>
    </row>
    <row r="503">
      <c r="I503" s="5"/>
    </row>
    <row r="504">
      <c r="I504" s="5"/>
    </row>
    <row r="505">
      <c r="I505" s="5"/>
    </row>
    <row r="506">
      <c r="I506" s="5"/>
    </row>
    <row r="507">
      <c r="I507" s="5"/>
    </row>
    <row r="508">
      <c r="I508" s="5"/>
    </row>
    <row r="509">
      <c r="I509" s="5"/>
    </row>
    <row r="510">
      <c r="I510" s="5"/>
    </row>
    <row r="511">
      <c r="I511" s="5"/>
    </row>
    <row r="512">
      <c r="I512" s="5"/>
    </row>
    <row r="513">
      <c r="I513" s="5"/>
    </row>
    <row r="514">
      <c r="I514" s="5"/>
    </row>
    <row r="515">
      <c r="I515" s="5"/>
    </row>
    <row r="516">
      <c r="I516" s="5"/>
    </row>
    <row r="517">
      <c r="I517" s="5"/>
    </row>
    <row r="518">
      <c r="I518" s="5"/>
    </row>
    <row r="519">
      <c r="I519" s="5"/>
    </row>
    <row r="520">
      <c r="I520" s="5"/>
    </row>
    <row r="521">
      <c r="I521" s="5"/>
    </row>
    <row r="522">
      <c r="I522" s="5"/>
    </row>
    <row r="523">
      <c r="I523" s="5"/>
    </row>
    <row r="524">
      <c r="I524" s="5"/>
    </row>
    <row r="525">
      <c r="I525" s="5"/>
    </row>
    <row r="526">
      <c r="I526" s="5"/>
    </row>
    <row r="527">
      <c r="I527" s="5"/>
    </row>
    <row r="528">
      <c r="I528" s="5"/>
    </row>
    <row r="529">
      <c r="I529" s="5"/>
    </row>
    <row r="530">
      <c r="I530" s="5"/>
    </row>
    <row r="531">
      <c r="I531" s="5"/>
    </row>
    <row r="532">
      <c r="I532" s="5"/>
    </row>
    <row r="533">
      <c r="I533" s="5"/>
    </row>
    <row r="534">
      <c r="I534" s="5"/>
    </row>
    <row r="535">
      <c r="I535" s="5"/>
    </row>
    <row r="536">
      <c r="I536" s="5"/>
    </row>
    <row r="537">
      <c r="I537" s="5"/>
    </row>
    <row r="538">
      <c r="I538" s="5"/>
    </row>
    <row r="539">
      <c r="I539" s="5"/>
    </row>
    <row r="540">
      <c r="I540" s="5"/>
    </row>
    <row r="541">
      <c r="I541" s="5"/>
    </row>
    <row r="542">
      <c r="I542" s="5"/>
    </row>
    <row r="543">
      <c r="I543" s="5"/>
    </row>
    <row r="544">
      <c r="I544" s="5"/>
    </row>
    <row r="545">
      <c r="I545" s="5"/>
    </row>
    <row r="546">
      <c r="I546" s="5"/>
    </row>
    <row r="547">
      <c r="I547" s="5"/>
    </row>
    <row r="548">
      <c r="I548" s="5"/>
    </row>
    <row r="549">
      <c r="I549" s="5"/>
    </row>
    <row r="550">
      <c r="I550" s="5"/>
    </row>
    <row r="551">
      <c r="I551" s="5"/>
    </row>
    <row r="552">
      <c r="I552" s="5"/>
    </row>
    <row r="553">
      <c r="I553" s="5"/>
    </row>
    <row r="554">
      <c r="I554" s="5"/>
    </row>
    <row r="555">
      <c r="I555" s="5"/>
    </row>
    <row r="556">
      <c r="I556" s="5"/>
    </row>
    <row r="557">
      <c r="I557" s="5"/>
    </row>
    <row r="558">
      <c r="I558" s="5"/>
    </row>
    <row r="559">
      <c r="I559" s="5"/>
    </row>
    <row r="560">
      <c r="I560" s="5"/>
    </row>
    <row r="561">
      <c r="I561" s="5"/>
    </row>
    <row r="562">
      <c r="I562" s="5"/>
    </row>
    <row r="563">
      <c r="I563" s="5"/>
    </row>
    <row r="564">
      <c r="I564" s="5"/>
    </row>
    <row r="565">
      <c r="I565" s="5"/>
    </row>
    <row r="566">
      <c r="I566" s="5"/>
    </row>
    <row r="567">
      <c r="I567" s="5"/>
    </row>
    <row r="568">
      <c r="I568" s="5"/>
    </row>
    <row r="569">
      <c r="I569" s="5"/>
    </row>
    <row r="570">
      <c r="I570" s="5"/>
    </row>
    <row r="571">
      <c r="I571" s="5"/>
    </row>
    <row r="572">
      <c r="I572" s="5"/>
    </row>
    <row r="573">
      <c r="I573" s="5"/>
    </row>
    <row r="574">
      <c r="I574" s="5"/>
    </row>
    <row r="575">
      <c r="I575" s="5"/>
    </row>
    <row r="576">
      <c r="I576" s="5"/>
    </row>
    <row r="577">
      <c r="I577" s="5"/>
    </row>
    <row r="578">
      <c r="I578" s="5"/>
    </row>
    <row r="579">
      <c r="I579" s="5"/>
    </row>
    <row r="580">
      <c r="I580" s="5"/>
    </row>
    <row r="581">
      <c r="I581" s="5"/>
    </row>
    <row r="582">
      <c r="I582" s="5"/>
    </row>
    <row r="583">
      <c r="I583" s="5"/>
    </row>
    <row r="584">
      <c r="I584" s="5"/>
    </row>
    <row r="585">
      <c r="I585" s="5"/>
    </row>
    <row r="586">
      <c r="I586" s="5"/>
    </row>
    <row r="587">
      <c r="I587" s="5"/>
    </row>
    <row r="588">
      <c r="I588" s="5"/>
    </row>
    <row r="589">
      <c r="I589" s="5"/>
    </row>
    <row r="590">
      <c r="I590" s="5"/>
    </row>
    <row r="591">
      <c r="I591" s="5"/>
    </row>
    <row r="592">
      <c r="I592" s="5"/>
    </row>
    <row r="593">
      <c r="I593" s="5"/>
    </row>
    <row r="594">
      <c r="I594" s="5"/>
    </row>
    <row r="595">
      <c r="I595" s="5"/>
    </row>
    <row r="596">
      <c r="I596" s="5"/>
    </row>
    <row r="597">
      <c r="I597" s="5"/>
    </row>
    <row r="598">
      <c r="I598" s="5"/>
    </row>
    <row r="599">
      <c r="I599" s="5"/>
    </row>
    <row r="600">
      <c r="I600" s="5"/>
    </row>
    <row r="601">
      <c r="I601" s="5"/>
    </row>
    <row r="602">
      <c r="I602" s="5"/>
    </row>
    <row r="603">
      <c r="I603" s="5"/>
    </row>
    <row r="604">
      <c r="I604" s="5"/>
    </row>
    <row r="605">
      <c r="I605" s="5"/>
    </row>
    <row r="606">
      <c r="I606" s="5"/>
    </row>
    <row r="607">
      <c r="I607" s="5"/>
    </row>
    <row r="608">
      <c r="I608" s="5"/>
    </row>
    <row r="609">
      <c r="I609" s="5"/>
    </row>
    <row r="610">
      <c r="I610" s="5"/>
    </row>
    <row r="611">
      <c r="I611" s="5"/>
    </row>
    <row r="612">
      <c r="I612" s="5"/>
    </row>
    <row r="613">
      <c r="I613" s="5"/>
    </row>
    <row r="614">
      <c r="I614" s="5"/>
    </row>
    <row r="615">
      <c r="I615" s="5"/>
    </row>
    <row r="616">
      <c r="I616" s="5"/>
    </row>
    <row r="617">
      <c r="I617" s="5"/>
    </row>
    <row r="618">
      <c r="I618" s="5"/>
    </row>
    <row r="619">
      <c r="I619" s="5"/>
    </row>
    <row r="620">
      <c r="I620" s="5"/>
    </row>
    <row r="621">
      <c r="I621" s="5"/>
    </row>
    <row r="622">
      <c r="I622" s="5"/>
    </row>
    <row r="623">
      <c r="I623" s="5"/>
    </row>
    <row r="624">
      <c r="I624" s="5"/>
    </row>
    <row r="625">
      <c r="I625" s="5"/>
    </row>
    <row r="626">
      <c r="I626" s="5"/>
    </row>
    <row r="627">
      <c r="I627" s="5"/>
    </row>
    <row r="628">
      <c r="I628" s="5"/>
    </row>
    <row r="629">
      <c r="I629" s="5"/>
    </row>
    <row r="630">
      <c r="I630" s="5"/>
    </row>
    <row r="631">
      <c r="I631" s="5"/>
    </row>
    <row r="632">
      <c r="I632" s="5"/>
    </row>
    <row r="633">
      <c r="I633" s="5"/>
    </row>
    <row r="634">
      <c r="I634" s="5"/>
    </row>
    <row r="635">
      <c r="I635" s="5"/>
    </row>
    <row r="636">
      <c r="I636" s="5"/>
    </row>
    <row r="637">
      <c r="I637" s="5"/>
    </row>
    <row r="638">
      <c r="I638" s="5"/>
    </row>
    <row r="639">
      <c r="I639" s="5"/>
    </row>
    <row r="640">
      <c r="I640" s="5"/>
    </row>
    <row r="641">
      <c r="I641" s="5"/>
    </row>
    <row r="642">
      <c r="I642" s="5"/>
    </row>
    <row r="643">
      <c r="I643" s="5"/>
    </row>
    <row r="644">
      <c r="I644" s="5"/>
    </row>
    <row r="645">
      <c r="I645" s="5"/>
    </row>
    <row r="646">
      <c r="I646" s="5"/>
    </row>
    <row r="647">
      <c r="I647" s="5"/>
    </row>
    <row r="648">
      <c r="I648" s="5"/>
    </row>
    <row r="649">
      <c r="I649" s="5"/>
    </row>
    <row r="650">
      <c r="I650" s="5"/>
    </row>
    <row r="651">
      <c r="I651" s="5"/>
    </row>
    <row r="652">
      <c r="I652" s="5"/>
    </row>
    <row r="653">
      <c r="I653" s="5"/>
    </row>
    <row r="654">
      <c r="I654" s="5"/>
    </row>
    <row r="655">
      <c r="I655" s="5"/>
    </row>
    <row r="656">
      <c r="I656" s="5"/>
    </row>
    <row r="657">
      <c r="I657" s="5"/>
    </row>
    <row r="658">
      <c r="I658" s="5"/>
    </row>
    <row r="659">
      <c r="I659" s="5"/>
    </row>
    <row r="660">
      <c r="I660" s="5"/>
    </row>
    <row r="661">
      <c r="I661" s="5"/>
    </row>
    <row r="662">
      <c r="I662" s="5"/>
    </row>
    <row r="663">
      <c r="I663" s="5"/>
    </row>
    <row r="664">
      <c r="I664" s="5"/>
    </row>
    <row r="665">
      <c r="I665" s="5"/>
    </row>
    <row r="666">
      <c r="I666" s="5"/>
    </row>
    <row r="667">
      <c r="I667" s="5"/>
    </row>
    <row r="668">
      <c r="I668" s="5"/>
    </row>
    <row r="669">
      <c r="I669" s="5"/>
    </row>
    <row r="670">
      <c r="I670" s="5"/>
    </row>
    <row r="671">
      <c r="I671" s="5"/>
    </row>
    <row r="672">
      <c r="I672" s="5"/>
    </row>
    <row r="673">
      <c r="I673" s="5"/>
    </row>
    <row r="674">
      <c r="I674" s="5"/>
    </row>
    <row r="675">
      <c r="I675" s="5"/>
    </row>
    <row r="676">
      <c r="I676" s="5"/>
    </row>
    <row r="677">
      <c r="I677" s="5"/>
    </row>
    <row r="678">
      <c r="I678" s="5"/>
    </row>
    <row r="679">
      <c r="I679" s="5"/>
    </row>
    <row r="680">
      <c r="I680" s="5"/>
    </row>
    <row r="681">
      <c r="I681" s="5"/>
    </row>
    <row r="682">
      <c r="I682" s="5"/>
    </row>
    <row r="683">
      <c r="I683" s="5"/>
    </row>
    <row r="684">
      <c r="I684" s="5"/>
    </row>
    <row r="685">
      <c r="I685" s="5"/>
    </row>
    <row r="686">
      <c r="I686" s="5"/>
    </row>
    <row r="687">
      <c r="I687" s="5"/>
    </row>
    <row r="688">
      <c r="I688" s="5"/>
    </row>
    <row r="689">
      <c r="I689" s="5"/>
    </row>
    <row r="690">
      <c r="I690" s="5"/>
    </row>
    <row r="691">
      <c r="I691" s="5"/>
    </row>
    <row r="692">
      <c r="I692" s="5"/>
    </row>
    <row r="693">
      <c r="I693" s="5"/>
    </row>
    <row r="694">
      <c r="I694" s="5"/>
    </row>
    <row r="695">
      <c r="I695" s="5"/>
    </row>
    <row r="696">
      <c r="I696" s="5"/>
    </row>
    <row r="697">
      <c r="I697" s="5"/>
    </row>
    <row r="698">
      <c r="I698" s="5"/>
    </row>
    <row r="699">
      <c r="I699" s="5"/>
    </row>
    <row r="700">
      <c r="I700" s="5"/>
    </row>
    <row r="701">
      <c r="I701" s="5"/>
    </row>
    <row r="702">
      <c r="I702" s="5"/>
    </row>
    <row r="703">
      <c r="I703" s="5"/>
    </row>
    <row r="704">
      <c r="I704" s="5"/>
    </row>
    <row r="705">
      <c r="I705" s="5"/>
    </row>
    <row r="706">
      <c r="I706" s="5"/>
    </row>
    <row r="707">
      <c r="I707" s="5"/>
    </row>
    <row r="708">
      <c r="I708" s="5"/>
    </row>
    <row r="709">
      <c r="I709" s="5"/>
    </row>
    <row r="710">
      <c r="I710" s="5"/>
    </row>
    <row r="711">
      <c r="I711" s="5"/>
    </row>
    <row r="712">
      <c r="I712" s="5"/>
    </row>
    <row r="713">
      <c r="I713" s="5"/>
    </row>
    <row r="714">
      <c r="I714" s="5"/>
    </row>
    <row r="715">
      <c r="I715" s="5"/>
    </row>
    <row r="716">
      <c r="I716" s="5"/>
    </row>
    <row r="717">
      <c r="I717" s="5"/>
    </row>
    <row r="718">
      <c r="I718" s="5"/>
    </row>
    <row r="719">
      <c r="I719" s="5"/>
    </row>
    <row r="720">
      <c r="I720" s="5"/>
    </row>
    <row r="721">
      <c r="I721" s="5"/>
    </row>
    <row r="722">
      <c r="I722" s="5"/>
    </row>
    <row r="723">
      <c r="I723" s="5"/>
    </row>
    <row r="724">
      <c r="I724" s="5"/>
    </row>
    <row r="725">
      <c r="I725" s="5"/>
    </row>
    <row r="726">
      <c r="I726" s="5"/>
    </row>
    <row r="727">
      <c r="I727" s="5"/>
    </row>
    <row r="728">
      <c r="I728" s="5"/>
    </row>
    <row r="729">
      <c r="I729" s="5"/>
    </row>
    <row r="730">
      <c r="I730" s="5"/>
    </row>
    <row r="731">
      <c r="I731" s="5"/>
    </row>
    <row r="732">
      <c r="I732" s="5"/>
    </row>
    <row r="733">
      <c r="I733" s="5"/>
    </row>
    <row r="734">
      <c r="I734" s="5"/>
    </row>
    <row r="735">
      <c r="I735" s="5"/>
    </row>
    <row r="736">
      <c r="I736" s="5"/>
    </row>
    <row r="737">
      <c r="I737" s="5"/>
    </row>
    <row r="738">
      <c r="I738" s="5"/>
    </row>
    <row r="739">
      <c r="I739" s="5"/>
    </row>
    <row r="740">
      <c r="I740" s="5"/>
    </row>
    <row r="741">
      <c r="I741" s="5"/>
    </row>
    <row r="742">
      <c r="I742" s="5"/>
    </row>
    <row r="743">
      <c r="I743" s="5"/>
    </row>
    <row r="744">
      <c r="I744" s="5"/>
    </row>
    <row r="745">
      <c r="I745" s="5"/>
    </row>
    <row r="746">
      <c r="I746" s="5"/>
    </row>
    <row r="747">
      <c r="I747" s="5"/>
    </row>
    <row r="748">
      <c r="I748" s="5"/>
    </row>
    <row r="749">
      <c r="I749" s="5"/>
    </row>
    <row r="750">
      <c r="I750" s="5"/>
    </row>
    <row r="751">
      <c r="I751" s="5"/>
    </row>
    <row r="752">
      <c r="I752" s="5"/>
    </row>
    <row r="753">
      <c r="I753" s="5"/>
    </row>
    <row r="754">
      <c r="I754" s="5"/>
    </row>
    <row r="755">
      <c r="I755" s="5"/>
    </row>
    <row r="756">
      <c r="I756" s="5"/>
    </row>
    <row r="757">
      <c r="I757" s="5"/>
    </row>
    <row r="758">
      <c r="I758" s="5"/>
    </row>
    <row r="759">
      <c r="I759" s="5"/>
    </row>
    <row r="760">
      <c r="I760" s="5"/>
    </row>
    <row r="761">
      <c r="I761" s="5"/>
    </row>
    <row r="762">
      <c r="I762" s="5"/>
    </row>
    <row r="763">
      <c r="I763" s="5"/>
    </row>
    <row r="764">
      <c r="I764" s="5"/>
    </row>
    <row r="765">
      <c r="I765" s="5"/>
    </row>
    <row r="766">
      <c r="I766" s="5"/>
    </row>
    <row r="767">
      <c r="I767" s="5"/>
    </row>
    <row r="768">
      <c r="I768" s="5"/>
    </row>
    <row r="769">
      <c r="I769" s="5"/>
    </row>
    <row r="770">
      <c r="I770" s="5"/>
    </row>
    <row r="771">
      <c r="I771" s="5"/>
    </row>
    <row r="772">
      <c r="I772" s="5"/>
    </row>
    <row r="773">
      <c r="I773" s="5"/>
    </row>
    <row r="774">
      <c r="I774" s="5"/>
    </row>
    <row r="775">
      <c r="I775" s="5"/>
    </row>
    <row r="776">
      <c r="I776" s="5"/>
    </row>
    <row r="777">
      <c r="I777" s="5"/>
    </row>
    <row r="778">
      <c r="I778" s="5"/>
    </row>
    <row r="779">
      <c r="I779" s="5"/>
    </row>
    <row r="780">
      <c r="I780" s="5"/>
    </row>
    <row r="781">
      <c r="I781" s="5"/>
    </row>
    <row r="782">
      <c r="I782" s="5"/>
    </row>
    <row r="783">
      <c r="I783" s="5"/>
    </row>
    <row r="784">
      <c r="I784" s="5"/>
    </row>
    <row r="785">
      <c r="I785" s="5"/>
    </row>
    <row r="786">
      <c r="I786" s="5"/>
    </row>
    <row r="787">
      <c r="I787" s="5"/>
    </row>
    <row r="788">
      <c r="I788" s="5"/>
    </row>
    <row r="789">
      <c r="I789" s="5"/>
    </row>
    <row r="790">
      <c r="I790" s="5"/>
    </row>
    <row r="791">
      <c r="I791" s="5"/>
    </row>
    <row r="792">
      <c r="I792" s="5"/>
    </row>
    <row r="793">
      <c r="I793" s="5"/>
    </row>
    <row r="794">
      <c r="I794" s="5"/>
    </row>
    <row r="795">
      <c r="I795" s="5"/>
    </row>
    <row r="796">
      <c r="I796" s="5"/>
    </row>
    <row r="797">
      <c r="I797" s="5"/>
    </row>
    <row r="798">
      <c r="I798" s="5"/>
    </row>
    <row r="799">
      <c r="I799" s="5"/>
    </row>
    <row r="800">
      <c r="I800" s="5"/>
    </row>
    <row r="801">
      <c r="I801" s="5"/>
    </row>
    <row r="802">
      <c r="I802" s="5"/>
    </row>
    <row r="803">
      <c r="I803" s="5"/>
    </row>
    <row r="804">
      <c r="I804" s="5"/>
    </row>
    <row r="805">
      <c r="I805" s="5"/>
    </row>
    <row r="806">
      <c r="I806" s="5"/>
    </row>
    <row r="807">
      <c r="I807" s="5"/>
    </row>
    <row r="808">
      <c r="I808" s="5"/>
    </row>
    <row r="809">
      <c r="I809" s="5"/>
    </row>
    <row r="810">
      <c r="I810" s="5"/>
    </row>
    <row r="811">
      <c r="I811" s="5"/>
    </row>
    <row r="812">
      <c r="I812" s="5"/>
    </row>
    <row r="813">
      <c r="I813" s="5"/>
    </row>
    <row r="814">
      <c r="I814" s="5"/>
    </row>
    <row r="815">
      <c r="I815" s="5"/>
    </row>
    <row r="816">
      <c r="I816" s="5"/>
    </row>
    <row r="817">
      <c r="I817" s="5"/>
    </row>
    <row r="818">
      <c r="I818" s="5"/>
    </row>
    <row r="819">
      <c r="I819" s="5"/>
    </row>
    <row r="820">
      <c r="I820" s="5"/>
    </row>
    <row r="821">
      <c r="I821" s="5"/>
    </row>
    <row r="822">
      <c r="I822" s="5"/>
    </row>
    <row r="823">
      <c r="I823" s="5"/>
    </row>
    <row r="824">
      <c r="I824" s="5"/>
    </row>
    <row r="825">
      <c r="I825" s="5"/>
    </row>
    <row r="826">
      <c r="I826" s="5"/>
    </row>
    <row r="827">
      <c r="I827" s="5"/>
    </row>
    <row r="828">
      <c r="I828" s="5"/>
    </row>
    <row r="829">
      <c r="I829" s="5"/>
    </row>
    <row r="830">
      <c r="I830" s="5"/>
    </row>
    <row r="831">
      <c r="I831" s="5"/>
    </row>
    <row r="832">
      <c r="I832" s="5"/>
    </row>
    <row r="833">
      <c r="I833" s="5"/>
    </row>
    <row r="834">
      <c r="I834" s="5"/>
    </row>
    <row r="835">
      <c r="I835" s="5"/>
    </row>
    <row r="836">
      <c r="I836" s="5"/>
    </row>
    <row r="837">
      <c r="I837" s="5"/>
    </row>
    <row r="838">
      <c r="I838" s="5"/>
    </row>
    <row r="839">
      <c r="I839" s="5"/>
    </row>
    <row r="840">
      <c r="I840" s="5"/>
    </row>
    <row r="841">
      <c r="I841" s="5"/>
    </row>
    <row r="842">
      <c r="I842" s="5"/>
    </row>
    <row r="843">
      <c r="I843" s="5"/>
    </row>
    <row r="844">
      <c r="I844" s="5"/>
    </row>
    <row r="845">
      <c r="I845" s="5"/>
    </row>
    <row r="846">
      <c r="I846" s="5"/>
    </row>
    <row r="847">
      <c r="I847" s="5"/>
    </row>
    <row r="848">
      <c r="I848" s="5"/>
    </row>
    <row r="849">
      <c r="I849" s="5"/>
    </row>
    <row r="850">
      <c r="I850" s="5"/>
    </row>
    <row r="851">
      <c r="I851" s="5"/>
    </row>
    <row r="852">
      <c r="I852" s="5"/>
    </row>
    <row r="853">
      <c r="I853" s="5"/>
    </row>
    <row r="854">
      <c r="I854" s="5"/>
    </row>
    <row r="855">
      <c r="I855" s="5"/>
    </row>
    <row r="856">
      <c r="I856" s="5"/>
    </row>
    <row r="857">
      <c r="I857" s="5"/>
    </row>
    <row r="858">
      <c r="I858" s="5"/>
    </row>
    <row r="859">
      <c r="I859" s="5"/>
    </row>
    <row r="860">
      <c r="I860" s="5"/>
    </row>
    <row r="861">
      <c r="I861" s="5"/>
    </row>
    <row r="862">
      <c r="I862" s="5"/>
    </row>
    <row r="863">
      <c r="I863" s="5"/>
    </row>
    <row r="864">
      <c r="I864" s="5"/>
    </row>
    <row r="865">
      <c r="I865" s="5"/>
    </row>
    <row r="866">
      <c r="I866" s="5"/>
    </row>
    <row r="867">
      <c r="I867" s="5"/>
    </row>
    <row r="868">
      <c r="I868" s="5"/>
    </row>
    <row r="869">
      <c r="I869" s="5"/>
    </row>
    <row r="870">
      <c r="I870" s="5"/>
    </row>
    <row r="871">
      <c r="I871" s="5"/>
    </row>
    <row r="872">
      <c r="I872" s="5"/>
    </row>
    <row r="873">
      <c r="I873" s="5"/>
    </row>
    <row r="874">
      <c r="I874" s="5"/>
    </row>
    <row r="875">
      <c r="I875" s="5"/>
    </row>
    <row r="876">
      <c r="I876" s="5"/>
    </row>
    <row r="877">
      <c r="I877" s="5"/>
    </row>
    <row r="878">
      <c r="I878" s="5"/>
    </row>
    <row r="879">
      <c r="I879" s="5"/>
    </row>
    <row r="880">
      <c r="I880" s="5"/>
    </row>
    <row r="881">
      <c r="I881" s="5"/>
    </row>
    <row r="882">
      <c r="I882" s="5"/>
    </row>
    <row r="883">
      <c r="I883" s="5"/>
    </row>
    <row r="884">
      <c r="I884" s="5"/>
    </row>
    <row r="885">
      <c r="I885" s="5"/>
    </row>
    <row r="886">
      <c r="I886" s="5"/>
    </row>
    <row r="887">
      <c r="I887" s="5"/>
    </row>
    <row r="888">
      <c r="I888" s="5"/>
    </row>
    <row r="889">
      <c r="I889" s="5"/>
    </row>
    <row r="890">
      <c r="I890" s="5"/>
    </row>
    <row r="891">
      <c r="I891" s="5"/>
    </row>
    <row r="892">
      <c r="I892" s="5"/>
    </row>
    <row r="893">
      <c r="I893" s="5"/>
    </row>
    <row r="894">
      <c r="I894" s="5"/>
    </row>
    <row r="895">
      <c r="I895" s="5"/>
    </row>
    <row r="896">
      <c r="I896" s="5"/>
    </row>
    <row r="897">
      <c r="I897" s="5"/>
    </row>
    <row r="898">
      <c r="I898" s="5"/>
    </row>
    <row r="899">
      <c r="I899" s="5"/>
    </row>
    <row r="900">
      <c r="I900" s="5"/>
    </row>
    <row r="901">
      <c r="I901" s="5"/>
    </row>
    <row r="902">
      <c r="I902" s="5"/>
    </row>
    <row r="903">
      <c r="I903" s="5"/>
    </row>
    <row r="904">
      <c r="I904" s="5"/>
    </row>
    <row r="905">
      <c r="I905" s="5"/>
    </row>
    <row r="906">
      <c r="I906" s="5"/>
    </row>
    <row r="907">
      <c r="I907" s="5"/>
    </row>
    <row r="908">
      <c r="I908" s="5"/>
    </row>
    <row r="909">
      <c r="I909" s="5"/>
    </row>
    <row r="910">
      <c r="I910" s="5"/>
    </row>
    <row r="911">
      <c r="I911" s="5"/>
    </row>
    <row r="912">
      <c r="I912" s="5"/>
    </row>
    <row r="913">
      <c r="I913" s="5"/>
    </row>
    <row r="914">
      <c r="I914" s="5"/>
    </row>
    <row r="915">
      <c r="I915" s="5"/>
    </row>
    <row r="916">
      <c r="I916" s="5"/>
    </row>
    <row r="917">
      <c r="I917" s="5"/>
    </row>
    <row r="918">
      <c r="I918" s="5"/>
    </row>
    <row r="919">
      <c r="I919" s="5"/>
    </row>
    <row r="920">
      <c r="I920" s="5"/>
    </row>
    <row r="921">
      <c r="I921" s="5"/>
    </row>
    <row r="922">
      <c r="I922" s="5"/>
    </row>
    <row r="923">
      <c r="I923" s="5"/>
    </row>
    <row r="924">
      <c r="I924" s="5"/>
    </row>
    <row r="925">
      <c r="I925" s="5"/>
    </row>
    <row r="926">
      <c r="I926" s="5"/>
    </row>
    <row r="927">
      <c r="I927" s="5"/>
    </row>
    <row r="928">
      <c r="I928" s="5"/>
    </row>
    <row r="929">
      <c r="I929" s="5"/>
    </row>
    <row r="930">
      <c r="I930" s="5"/>
    </row>
    <row r="931">
      <c r="I931" s="5"/>
    </row>
    <row r="932">
      <c r="I932" s="5"/>
    </row>
    <row r="933">
      <c r="I933" s="5"/>
    </row>
    <row r="934">
      <c r="I934" s="5"/>
    </row>
    <row r="935">
      <c r="I935" s="5"/>
    </row>
    <row r="936">
      <c r="I936" s="5"/>
    </row>
    <row r="937">
      <c r="I937" s="5"/>
    </row>
    <row r="938">
      <c r="I938" s="5"/>
    </row>
    <row r="939">
      <c r="I939" s="5"/>
    </row>
    <row r="940">
      <c r="I940" s="5"/>
    </row>
    <row r="941">
      <c r="I941" s="5"/>
    </row>
    <row r="942">
      <c r="I942" s="5"/>
    </row>
    <row r="943">
      <c r="I943" s="5"/>
    </row>
    <row r="944">
      <c r="I944" s="5"/>
    </row>
    <row r="945">
      <c r="I945" s="5"/>
    </row>
    <row r="946">
      <c r="I946" s="5"/>
    </row>
    <row r="947">
      <c r="I947" s="5"/>
    </row>
    <row r="948">
      <c r="I948" s="5"/>
    </row>
    <row r="949">
      <c r="I949" s="5"/>
    </row>
    <row r="950">
      <c r="I950" s="5"/>
    </row>
    <row r="951">
      <c r="I951" s="5"/>
    </row>
    <row r="952">
      <c r="I952" s="5"/>
    </row>
    <row r="953">
      <c r="I953" s="5"/>
    </row>
    <row r="954">
      <c r="I954" s="5"/>
    </row>
    <row r="955">
      <c r="I955" s="5"/>
    </row>
    <row r="956">
      <c r="I956" s="5"/>
    </row>
    <row r="957">
      <c r="I957" s="5"/>
    </row>
    <row r="958">
      <c r="I958" s="5"/>
    </row>
    <row r="959">
      <c r="I959" s="5"/>
    </row>
    <row r="960">
      <c r="I960" s="5"/>
    </row>
    <row r="961">
      <c r="I961" s="5"/>
    </row>
    <row r="962">
      <c r="I962" s="5"/>
    </row>
    <row r="963">
      <c r="I963" s="5"/>
    </row>
    <row r="964">
      <c r="I964" s="5"/>
    </row>
    <row r="965">
      <c r="I965" s="5"/>
    </row>
    <row r="966">
      <c r="I966" s="5"/>
    </row>
    <row r="967">
      <c r="I967" s="5"/>
    </row>
    <row r="968">
      <c r="I968" s="5"/>
    </row>
    <row r="969">
      <c r="I969" s="5"/>
    </row>
    <row r="970">
      <c r="I970" s="5"/>
    </row>
    <row r="971">
      <c r="I971" s="5"/>
    </row>
    <row r="972">
      <c r="I972" s="5"/>
    </row>
    <row r="973">
      <c r="I973" s="5"/>
    </row>
    <row r="974">
      <c r="I974" s="5"/>
    </row>
    <row r="975">
      <c r="I975" s="5"/>
    </row>
    <row r="976">
      <c r="I976" s="5"/>
    </row>
    <row r="977">
      <c r="I977" s="5"/>
    </row>
    <row r="978">
      <c r="I978" s="5"/>
    </row>
    <row r="979">
      <c r="I979" s="5"/>
    </row>
    <row r="980">
      <c r="I980" s="5"/>
    </row>
    <row r="981">
      <c r="I981" s="5"/>
    </row>
    <row r="982">
      <c r="I982" s="5"/>
    </row>
    <row r="983">
      <c r="I983" s="5"/>
    </row>
    <row r="984">
      <c r="I984" s="5"/>
    </row>
    <row r="985">
      <c r="I985" s="5"/>
    </row>
    <row r="986">
      <c r="I986" s="5"/>
    </row>
    <row r="987">
      <c r="I987" s="5"/>
    </row>
    <row r="988">
      <c r="I988" s="5"/>
    </row>
    <row r="989">
      <c r="I989" s="5"/>
    </row>
    <row r="990">
      <c r="I990" s="5"/>
    </row>
    <row r="991">
      <c r="I991" s="5"/>
    </row>
    <row r="992">
      <c r="I992" s="5"/>
    </row>
    <row r="993">
      <c r="I993" s="5"/>
    </row>
    <row r="994">
      <c r="I994" s="5"/>
    </row>
    <row r="995">
      <c r="I995" s="5"/>
    </row>
    <row r="996">
      <c r="I996" s="5"/>
    </row>
    <row r="997">
      <c r="I997" s="5"/>
    </row>
    <row r="998">
      <c r="I998" s="5"/>
    </row>
    <row r="999">
      <c r="I999" s="5"/>
    </row>
    <row r="1000">
      <c r="I1000" s="5"/>
    </row>
  </sheetData>
  <dataValidations>
    <dataValidation type="list" allowBlank="1" showErrorMessage="1" sqref="I1:I1000">
      <formula1>"Not Run,Pass,Fail,Blocked,Retest,N/A"</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5"/>
    <col customWidth="1" min="2" max="2" width="48.38"/>
  </cols>
  <sheetData>
    <row r="1">
      <c r="A1" s="11" t="s">
        <v>2472</v>
      </c>
      <c r="B1" s="11" t="s">
        <v>2473</v>
      </c>
      <c r="C1" s="3" t="s">
        <v>2474</v>
      </c>
    </row>
    <row r="2">
      <c r="A2" s="3" t="s">
        <v>2475</v>
      </c>
      <c r="B2" s="3" t="s">
        <v>2476</v>
      </c>
      <c r="C2" s="3" t="s">
        <v>2477</v>
      </c>
    </row>
    <row r="3">
      <c r="A3" s="3" t="s">
        <v>2478</v>
      </c>
      <c r="B3" s="3" t="s">
        <v>2479</v>
      </c>
      <c r="C3" s="3" t="s">
        <v>2480</v>
      </c>
    </row>
    <row r="4">
      <c r="A4" s="3" t="s">
        <v>2481</v>
      </c>
      <c r="B4" s="3" t="s">
        <v>2482</v>
      </c>
      <c r="C4" s="3" t="s">
        <v>2483</v>
      </c>
    </row>
    <row r="5">
      <c r="A5" s="3" t="s">
        <v>2484</v>
      </c>
      <c r="B5" s="3" t="s">
        <v>2485</v>
      </c>
      <c r="C5" s="3" t="s">
        <v>2486</v>
      </c>
    </row>
    <row r="6">
      <c r="A6" s="3" t="s">
        <v>2487</v>
      </c>
      <c r="B6" s="3" t="s">
        <v>2488</v>
      </c>
      <c r="C6" s="3" t="s">
        <v>2489</v>
      </c>
    </row>
    <row r="7">
      <c r="A7" s="3" t="s">
        <v>247</v>
      </c>
      <c r="B7" s="3" t="s">
        <v>2490</v>
      </c>
      <c r="C7" s="3" t="s">
        <v>2491</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6" width="12.63"/>
  </cols>
  <sheetData>
    <row r="1">
      <c r="A1" s="12" t="s">
        <v>2492</v>
      </c>
    </row>
    <row r="3" ht="22.5" customHeight="1">
      <c r="A3" s="13" t="s">
        <v>0</v>
      </c>
      <c r="B3" s="13" t="s">
        <v>16</v>
      </c>
      <c r="C3" s="13" t="s">
        <v>146</v>
      </c>
      <c r="D3" s="13" t="s">
        <v>60</v>
      </c>
      <c r="E3" s="13" t="s">
        <v>13</v>
      </c>
      <c r="F3" s="13" t="s">
        <v>20</v>
      </c>
    </row>
    <row r="4" ht="22.5" customHeight="1">
      <c r="A4" s="14" t="s">
        <v>16</v>
      </c>
      <c r="B4" s="15">
        <v>68.0</v>
      </c>
      <c r="C4" s="14"/>
      <c r="D4" s="14"/>
      <c r="E4" s="14"/>
      <c r="F4" s="14"/>
    </row>
    <row r="5" ht="22.5" customHeight="1">
      <c r="A5" s="14" t="s">
        <v>60</v>
      </c>
      <c r="B5" s="14"/>
      <c r="C5" s="14"/>
      <c r="D5" s="15">
        <v>9.0</v>
      </c>
      <c r="E5" s="14"/>
      <c r="F5" s="14"/>
    </row>
    <row r="6" ht="22.5" customHeight="1">
      <c r="A6" s="14" t="s">
        <v>20</v>
      </c>
      <c r="B6" s="14"/>
      <c r="C6" s="14"/>
      <c r="D6" s="14"/>
      <c r="E6" s="14"/>
      <c r="F6" s="15">
        <v>2.0</v>
      </c>
    </row>
    <row r="7" ht="22.5" customHeight="1">
      <c r="A7" s="14" t="s">
        <v>146</v>
      </c>
      <c r="B7" s="14"/>
      <c r="C7" s="15">
        <v>14.0</v>
      </c>
      <c r="D7" s="14"/>
      <c r="E7" s="14"/>
      <c r="F7" s="14"/>
    </row>
    <row r="8" ht="22.5" customHeight="1">
      <c r="A8" s="14" t="s">
        <v>13</v>
      </c>
      <c r="B8" s="14"/>
      <c r="C8" s="14"/>
      <c r="D8" s="14"/>
      <c r="E8" s="15">
        <v>7.0</v>
      </c>
      <c r="F8" s="14"/>
    </row>
  </sheetData>
  <mergeCells count="1">
    <mergeCell ref="A1:Z1"/>
  </mergeCells>
  <dataValidations>
    <dataValidation type="custom" allowBlank="1" showDropDown="1" sqref="B4:F8">
      <formula1>AND(ISNUMBER(B4),(NOT(OR(NOT(ISERROR(DATEVALUE(B4))), AND(ISNUMBER(B4), LEFT(CELL("format", B4))="D")))))</formula1>
    </dataValidation>
  </dataValidations>
  <drawing r:id="rId1"/>
  <tableParts count="1">
    <tablePart r:id="rId3"/>
  </tableParts>
</worksheet>
</file>